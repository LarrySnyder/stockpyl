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413" codeName="{A5273A89-FDBA-A9CC-58D2-03FBE188E8EF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larry/Documents/GitHubProjects/pyinv/"/>
    </mc:Choice>
  </mc:AlternateContent>
  <xr:revisionPtr revIDLastSave="0" documentId="13_ncr:1_{D8D00C0A-5F6D-0D48-A8E9-42AC7B4DBC51}" xr6:coauthVersionLast="45" xr6:coauthVersionMax="45" xr10:uidLastSave="{00000000-0000-0000-0000-000000000000}"/>
  <bookViews>
    <workbookView xWindow="0" yWindow="460" windowWidth="25600" windowHeight="16000" tabRatio="500" activeTab="1" xr2:uid="{00000000-000D-0000-FFFF-FFFF00000000}"/>
  </bookViews>
  <sheets>
    <sheet name="Sheet4" sheetId="6" r:id="rId1"/>
    <sheet name="inventory" sheetId="1" r:id="rId2"/>
    <sheet name="loss function" sheetId="2" r:id="rId3"/>
  </sheets>
  <externalReferences>
    <externalReference r:id="rId4"/>
  </externalReferences>
  <definedNames>
    <definedName name="_xlnm._FilterDatabase" localSheetId="1" hidden="1">inventory!$A$24:$O$225</definedName>
    <definedName name="BSL">inventory!$B$20</definedName>
    <definedName name="h">inventory!$B$11</definedName>
    <definedName name="IOQ">inventory!$B$10</definedName>
    <definedName name="K">inventory!$B$13</definedName>
    <definedName name="MOQ">inventory!$B$9</definedName>
    <definedName name="mu_D">inventory!$B$3</definedName>
    <definedName name="mu_L">inventory!$B$5</definedName>
    <definedName name="mu_LTD">inventory!$K$4</definedName>
    <definedName name="p">inventory!$B$12</definedName>
    <definedName name="ROP">inventory!$B$21</definedName>
    <definedName name="RP">inventory!$B$7</definedName>
    <definedName name="sigma_D">inventory!$B$4</definedName>
    <definedName name="sigma_L">inventory!$B$6</definedName>
    <definedName name="sigma_LTD">inventory!$K$5</definedName>
    <definedName name="SL">inventory!$B$8</definedName>
  </definedNames>
  <calcPr calcId="191029"/>
  <pivotCaches>
    <pivotCache cacheId="0" r:id="rId5"/>
  </pivotCaches>
  <extLs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K4" i="1" l="1"/>
  <c r="G5" i="1" s="1"/>
  <c r="K5" i="1"/>
  <c r="A26" i="1"/>
  <c r="A27" i="1" s="1"/>
  <c r="A28" i="1" s="1"/>
  <c r="G25" i="1"/>
  <c r="J25" i="1" s="1"/>
  <c r="E25" i="1"/>
  <c r="K25" i="1" s="1"/>
  <c r="C26" i="1" s="1"/>
  <c r="D25" i="1"/>
  <c r="R26" i="1"/>
  <c r="R27" i="1"/>
  <c r="R28" i="1"/>
  <c r="R29" i="1"/>
  <c r="R30" i="1"/>
  <c r="R31" i="1"/>
  <c r="R32" i="1"/>
  <c r="R33" i="1"/>
  <c r="R34" i="1"/>
  <c r="R35" i="1"/>
  <c r="R36" i="1"/>
  <c r="R37" i="1"/>
  <c r="R38" i="1"/>
  <c r="R39" i="1"/>
  <c r="R40" i="1"/>
  <c r="R41" i="1"/>
  <c r="R42" i="1"/>
  <c r="R43" i="1"/>
  <c r="R44" i="1"/>
  <c r="R45" i="1"/>
  <c r="R46" i="1"/>
  <c r="R47" i="1"/>
  <c r="R48" i="1"/>
  <c r="R49" i="1"/>
  <c r="R50" i="1"/>
  <c r="R51" i="1"/>
  <c r="R52" i="1"/>
  <c r="R53" i="1"/>
  <c r="R54" i="1"/>
  <c r="R55" i="1"/>
  <c r="R56" i="1"/>
  <c r="R57" i="1"/>
  <c r="R58" i="1"/>
  <c r="R59" i="1"/>
  <c r="R60" i="1"/>
  <c r="R61" i="1"/>
  <c r="R62" i="1"/>
  <c r="R63" i="1"/>
  <c r="R64" i="1"/>
  <c r="R65" i="1"/>
  <c r="R66" i="1"/>
  <c r="R67" i="1"/>
  <c r="R68" i="1"/>
  <c r="R69" i="1"/>
  <c r="R70" i="1"/>
  <c r="R71" i="1"/>
  <c r="R72" i="1"/>
  <c r="R73" i="1"/>
  <c r="R74" i="1"/>
  <c r="R75" i="1"/>
  <c r="R76" i="1"/>
  <c r="R77" i="1"/>
  <c r="R78" i="1"/>
  <c r="R79" i="1"/>
  <c r="R80" i="1"/>
  <c r="R81" i="1"/>
  <c r="R82" i="1"/>
  <c r="R83" i="1"/>
  <c r="R84" i="1"/>
  <c r="R85" i="1"/>
  <c r="R86" i="1"/>
  <c r="R87" i="1"/>
  <c r="R88" i="1"/>
  <c r="R89" i="1"/>
  <c r="R90" i="1"/>
  <c r="R91" i="1"/>
  <c r="R92" i="1"/>
  <c r="R93" i="1"/>
  <c r="R94" i="1"/>
  <c r="R95" i="1"/>
  <c r="R96" i="1"/>
  <c r="R97" i="1"/>
  <c r="R98" i="1"/>
  <c r="R99" i="1"/>
  <c r="R100" i="1"/>
  <c r="R101" i="1"/>
  <c r="R102" i="1"/>
  <c r="R103" i="1"/>
  <c r="R104" i="1"/>
  <c r="R105" i="1"/>
  <c r="R106" i="1"/>
  <c r="R107" i="1"/>
  <c r="R108" i="1"/>
  <c r="R109" i="1"/>
  <c r="R110" i="1"/>
  <c r="R111" i="1"/>
  <c r="R112" i="1"/>
  <c r="R113" i="1"/>
  <c r="R114" i="1"/>
  <c r="R115" i="1"/>
  <c r="R116" i="1"/>
  <c r="R117" i="1"/>
  <c r="R118" i="1"/>
  <c r="R119" i="1"/>
  <c r="R120" i="1"/>
  <c r="R121" i="1"/>
  <c r="R122" i="1"/>
  <c r="R123" i="1"/>
  <c r="R124" i="1"/>
  <c r="R125" i="1"/>
  <c r="R25" i="1"/>
  <c r="D6" i="6"/>
  <c r="E6" i="6" s="1"/>
  <c r="D7" i="6"/>
  <c r="E7" i="6" s="1"/>
  <c r="D8" i="6"/>
  <c r="E8" i="6" s="1"/>
  <c r="D9" i="6"/>
  <c r="E9" i="6" s="1"/>
  <c r="D10" i="6"/>
  <c r="E10" i="6" s="1"/>
  <c r="D11" i="6"/>
  <c r="E11" i="6" s="1"/>
  <c r="D12" i="6"/>
  <c r="E12" i="6" s="1"/>
  <c r="D13" i="6"/>
  <c r="E13" i="6" s="1"/>
  <c r="D14" i="6"/>
  <c r="E14" i="6" s="1"/>
  <c r="D15" i="6"/>
  <c r="E15" i="6" s="1"/>
  <c r="D16" i="6"/>
  <c r="E16" i="6" s="1"/>
  <c r="D17" i="6"/>
  <c r="E17" i="6"/>
  <c r="D18" i="6"/>
  <c r="E18" i="6" s="1"/>
  <c r="D19" i="6"/>
  <c r="E19" i="6" s="1"/>
  <c r="D20" i="6"/>
  <c r="E20" i="6" s="1"/>
  <c r="D21" i="6"/>
  <c r="E21" i="6" s="1"/>
  <c r="D22" i="6"/>
  <c r="E22" i="6" s="1"/>
  <c r="D23" i="6"/>
  <c r="E23" i="6" s="1"/>
  <c r="D24" i="6"/>
  <c r="E24" i="6" s="1"/>
  <c r="D25" i="6"/>
  <c r="E25" i="6" s="1"/>
  <c r="D26" i="6"/>
  <c r="E26" i="6" s="1"/>
  <c r="D27" i="6"/>
  <c r="E27" i="6" s="1"/>
  <c r="D28" i="6"/>
  <c r="E28" i="6" s="1"/>
  <c r="D29" i="6"/>
  <c r="E29" i="6" s="1"/>
  <c r="D30" i="6"/>
  <c r="E30" i="6" s="1"/>
  <c r="D31" i="6"/>
  <c r="E31" i="6" s="1"/>
  <c r="D32" i="6"/>
  <c r="E32" i="6" s="1"/>
  <c r="D33" i="6"/>
  <c r="E33" i="6" s="1"/>
  <c r="D34" i="6"/>
  <c r="E34" i="6" s="1"/>
  <c r="D35" i="6"/>
  <c r="E35" i="6" s="1"/>
  <c r="D36" i="6"/>
  <c r="E36" i="6" s="1"/>
  <c r="D37" i="6"/>
  <c r="E37" i="6"/>
  <c r="D38" i="6"/>
  <c r="E38" i="6" s="1"/>
  <c r="D39" i="6"/>
  <c r="E39" i="6" s="1"/>
  <c r="D40" i="6"/>
  <c r="E40" i="6" s="1"/>
  <c r="D41" i="6"/>
  <c r="E41" i="6" s="1"/>
  <c r="D42" i="6"/>
  <c r="E42" i="6" s="1"/>
  <c r="D43" i="6"/>
  <c r="E43" i="6" s="1"/>
  <c r="D44" i="6"/>
  <c r="E44" i="6" s="1"/>
  <c r="D45" i="6"/>
  <c r="E45" i="6" s="1"/>
  <c r="D46" i="6"/>
  <c r="E46" i="6" s="1"/>
  <c r="D47" i="6"/>
  <c r="E47" i="6" s="1"/>
  <c r="D48" i="6"/>
  <c r="E48" i="6" s="1"/>
  <c r="D49" i="6"/>
  <c r="E49" i="6" s="1"/>
  <c r="D50" i="6"/>
  <c r="E50" i="6" s="1"/>
  <c r="D51" i="6"/>
  <c r="E51" i="6" s="1"/>
  <c r="D52" i="6"/>
  <c r="E52" i="6" s="1"/>
  <c r="D53" i="6"/>
  <c r="E53" i="6" s="1"/>
  <c r="D54" i="6"/>
  <c r="E54" i="6" s="1"/>
  <c r="D55" i="6"/>
  <c r="E55" i="6" s="1"/>
  <c r="D56" i="6"/>
  <c r="E56" i="6" s="1"/>
  <c r="D57" i="6"/>
  <c r="E57" i="6" s="1"/>
  <c r="D58" i="6"/>
  <c r="E58" i="6" s="1"/>
  <c r="D59" i="6"/>
  <c r="E59" i="6" s="1"/>
  <c r="D60" i="6"/>
  <c r="E60" i="6" s="1"/>
  <c r="D61" i="6"/>
  <c r="E61" i="6" s="1"/>
  <c r="D62" i="6"/>
  <c r="E62" i="6" s="1"/>
  <c r="D63" i="6"/>
  <c r="E63" i="6" s="1"/>
  <c r="D64" i="6"/>
  <c r="E64" i="6" s="1"/>
  <c r="D65" i="6"/>
  <c r="E65" i="6" s="1"/>
  <c r="D66" i="6"/>
  <c r="E66" i="6" s="1"/>
  <c r="D67" i="6"/>
  <c r="E67" i="6" s="1"/>
  <c r="D68" i="6"/>
  <c r="E68" i="6" s="1"/>
  <c r="D69" i="6"/>
  <c r="E69" i="6" s="1"/>
  <c r="D70" i="6"/>
  <c r="E70" i="6" s="1"/>
  <c r="D71" i="6"/>
  <c r="E71" i="6" s="1"/>
  <c r="D72" i="6"/>
  <c r="E72" i="6" s="1"/>
  <c r="D73" i="6"/>
  <c r="E73" i="6" s="1"/>
  <c r="D74" i="6"/>
  <c r="E74" i="6" s="1"/>
  <c r="D75" i="6"/>
  <c r="E75" i="6" s="1"/>
  <c r="D76" i="6"/>
  <c r="E76" i="6" s="1"/>
  <c r="D77" i="6"/>
  <c r="E77" i="6" s="1"/>
  <c r="D78" i="6"/>
  <c r="E78" i="6" s="1"/>
  <c r="D79" i="6"/>
  <c r="E79" i="6" s="1"/>
  <c r="D80" i="6"/>
  <c r="E80" i="6" s="1"/>
  <c r="D81" i="6"/>
  <c r="E81" i="6" s="1"/>
  <c r="D82" i="6"/>
  <c r="E82" i="6" s="1"/>
  <c r="D83" i="6"/>
  <c r="E83" i="6" s="1"/>
  <c r="D84" i="6"/>
  <c r="E84" i="6" s="1"/>
  <c r="D85" i="6"/>
  <c r="E85" i="6" s="1"/>
  <c r="D86" i="6"/>
  <c r="E86" i="6" s="1"/>
  <c r="D87" i="6"/>
  <c r="E87" i="6" s="1"/>
  <c r="D88" i="6"/>
  <c r="E88" i="6" s="1"/>
  <c r="D89" i="6"/>
  <c r="E89" i="6" s="1"/>
  <c r="D90" i="6"/>
  <c r="E90" i="6" s="1"/>
  <c r="D91" i="6"/>
  <c r="E91" i="6" s="1"/>
  <c r="D92" i="6"/>
  <c r="E92" i="6" s="1"/>
  <c r="D93" i="6"/>
  <c r="E93" i="6" s="1"/>
  <c r="D94" i="6"/>
  <c r="E94" i="6" s="1"/>
  <c r="D95" i="6"/>
  <c r="E95" i="6" s="1"/>
  <c r="D96" i="6"/>
  <c r="E96" i="6" s="1"/>
  <c r="D97" i="6"/>
  <c r="E97" i="6"/>
  <c r="D98" i="6"/>
  <c r="E98" i="6" s="1"/>
  <c r="D99" i="6"/>
  <c r="E99" i="6" s="1"/>
  <c r="D100" i="6"/>
  <c r="E100" i="6" s="1"/>
  <c r="D101" i="6"/>
  <c r="E101" i="6" s="1"/>
  <c r="D102" i="6"/>
  <c r="E102" i="6" s="1"/>
  <c r="D103" i="6"/>
  <c r="E103" i="6" s="1"/>
  <c r="D104" i="6"/>
  <c r="E104" i="6" s="1"/>
  <c r="D105" i="6"/>
  <c r="E105" i="6" s="1"/>
  <c r="D106" i="6"/>
  <c r="E106" i="6" s="1"/>
  <c r="D107" i="6"/>
  <c r="E107" i="6" s="1"/>
  <c r="D108" i="6"/>
  <c r="E108" i="6" s="1"/>
  <c r="D109" i="6"/>
  <c r="E109" i="6" s="1"/>
  <c r="D110" i="6"/>
  <c r="E110" i="6" s="1"/>
  <c r="D111" i="6"/>
  <c r="E111" i="6" s="1"/>
  <c r="D112" i="6"/>
  <c r="E112" i="6" s="1"/>
  <c r="D113" i="6"/>
  <c r="E113" i="6" s="1"/>
  <c r="D114" i="6"/>
  <c r="E114" i="6" s="1"/>
  <c r="D115" i="6"/>
  <c r="E115" i="6" s="1"/>
  <c r="D116" i="6"/>
  <c r="E116" i="6" s="1"/>
  <c r="D117" i="6"/>
  <c r="E117" i="6" s="1"/>
  <c r="D118" i="6"/>
  <c r="E118" i="6" s="1"/>
  <c r="D119" i="6"/>
  <c r="E119" i="6" s="1"/>
  <c r="D120" i="6"/>
  <c r="E120" i="6" s="1"/>
  <c r="D121" i="6"/>
  <c r="E121" i="6" s="1"/>
  <c r="D122" i="6"/>
  <c r="E122" i="6" s="1"/>
  <c r="D123" i="6"/>
  <c r="E123" i="6" s="1"/>
  <c r="D124" i="6"/>
  <c r="E124" i="6" s="1"/>
  <c r="D5" i="6"/>
  <c r="E5" i="6" s="1"/>
  <c r="I21" i="1"/>
  <c r="B3" i="2"/>
  <c r="B4" i="2" s="1"/>
  <c r="A2" i="2"/>
  <c r="H5" i="1" l="1"/>
  <c r="H25" i="1"/>
  <c r="B26" i="1"/>
  <c r="L25" i="1"/>
  <c r="E27" i="1"/>
  <c r="E26" i="1"/>
  <c r="K26" i="1" s="1"/>
  <c r="C27" i="1" s="1"/>
  <c r="K27" i="1" s="1"/>
  <c r="C28" i="1" s="1"/>
  <c r="K28" i="1" s="1"/>
  <c r="G6" i="1"/>
  <c r="G4" i="1" s="1"/>
  <c r="K6" i="1" s="1"/>
  <c r="L8" i="1"/>
  <c r="B5" i="2"/>
  <c r="A4" i="2"/>
  <c r="A3" i="2"/>
  <c r="A29" i="1"/>
  <c r="E28" i="1"/>
  <c r="G26" i="1" l="1"/>
  <c r="J26" i="1" s="1"/>
  <c r="D26" i="1"/>
  <c r="H26" i="1" s="1"/>
  <c r="K7" i="1"/>
  <c r="G9" i="1" s="1"/>
  <c r="G8" i="1"/>
  <c r="C29" i="1"/>
  <c r="A30" i="1"/>
  <c r="E29" i="1"/>
  <c r="B6" i="2"/>
  <c r="A5" i="2"/>
  <c r="B27" i="1" l="1"/>
  <c r="L26" i="1"/>
  <c r="G7" i="1"/>
  <c r="B7" i="2"/>
  <c r="A6" i="2"/>
  <c r="E30" i="1"/>
  <c r="A31" i="1"/>
  <c r="K29" i="1"/>
  <c r="G27" i="1" l="1"/>
  <c r="J27" i="1" s="1"/>
  <c r="D27" i="1"/>
  <c r="H27" i="1" s="1"/>
  <c r="C30" i="1"/>
  <c r="A32" i="1"/>
  <c r="E31" i="1"/>
  <c r="B8" i="2"/>
  <c r="A7" i="2"/>
  <c r="B28" i="1" l="1"/>
  <c r="L27" i="1"/>
  <c r="B9" i="2"/>
  <c r="A8" i="2"/>
  <c r="A33" i="1"/>
  <c r="E32" i="1"/>
  <c r="K30" i="1"/>
  <c r="G28" i="1" l="1"/>
  <c r="J28" i="1" s="1"/>
  <c r="D28" i="1"/>
  <c r="H28" i="1" s="1"/>
  <c r="C31" i="1"/>
  <c r="E33" i="1"/>
  <c r="A34" i="1"/>
  <c r="B10" i="2"/>
  <c r="A9" i="2"/>
  <c r="B29" i="1" l="1"/>
  <c r="L28" i="1"/>
  <c r="B11" i="2"/>
  <c r="A10" i="2"/>
  <c r="A35" i="1"/>
  <c r="E34" i="1"/>
  <c r="K31" i="1"/>
  <c r="G29" i="1" l="1"/>
  <c r="J29" i="1" s="1"/>
  <c r="D29" i="1"/>
  <c r="H29" i="1" s="1"/>
  <c r="C32" i="1"/>
  <c r="A36" i="1"/>
  <c r="E35" i="1"/>
  <c r="B12" i="2"/>
  <c r="A11" i="2"/>
  <c r="B30" i="1" l="1"/>
  <c r="L29" i="1"/>
  <c r="B13" i="2"/>
  <c r="A12" i="2"/>
  <c r="A37" i="1"/>
  <c r="E36" i="1"/>
  <c r="K32" i="1"/>
  <c r="G30" i="1" l="1"/>
  <c r="J30" i="1" s="1"/>
  <c r="D30" i="1"/>
  <c r="H30" i="1" s="1"/>
  <c r="C33" i="1"/>
  <c r="A38" i="1"/>
  <c r="E37" i="1"/>
  <c r="B14" i="2"/>
  <c r="A13" i="2"/>
  <c r="B31" i="1" l="1"/>
  <c r="L30" i="1"/>
  <c r="B15" i="2"/>
  <c r="A14" i="2"/>
  <c r="A39" i="1"/>
  <c r="E38" i="1"/>
  <c r="K33" i="1"/>
  <c r="G31" i="1" l="1"/>
  <c r="J31" i="1" s="1"/>
  <c r="D31" i="1"/>
  <c r="H31" i="1" s="1"/>
  <c r="C34" i="1"/>
  <c r="A40" i="1"/>
  <c r="E39" i="1"/>
  <c r="B16" i="2"/>
  <c r="A15" i="2"/>
  <c r="B32" i="1" l="1"/>
  <c r="L31" i="1"/>
  <c r="A16" i="2"/>
  <c r="B17" i="2"/>
  <c r="A41" i="1"/>
  <c r="E40" i="1"/>
  <c r="K34" i="1"/>
  <c r="G32" i="1" l="1"/>
  <c r="J32" i="1" s="1"/>
  <c r="D32" i="1"/>
  <c r="H32" i="1" s="1"/>
  <c r="A42" i="1"/>
  <c r="E41" i="1"/>
  <c r="C35" i="1"/>
  <c r="A17" i="2"/>
  <c r="B18" i="2"/>
  <c r="B33" i="1" l="1"/>
  <c r="L32" i="1"/>
  <c r="K35" i="1"/>
  <c r="A18" i="2"/>
  <c r="B19" i="2"/>
  <c r="A43" i="1"/>
  <c r="E42" i="1"/>
  <c r="G33" i="1" l="1"/>
  <c r="J33" i="1" s="1"/>
  <c r="D33" i="1"/>
  <c r="H33" i="1" s="1"/>
  <c r="B20" i="2"/>
  <c r="A19" i="2"/>
  <c r="A44" i="1"/>
  <c r="E43" i="1"/>
  <c r="C36" i="1"/>
  <c r="B34" i="1" l="1"/>
  <c r="L33" i="1"/>
  <c r="K36" i="1"/>
  <c r="A45" i="1"/>
  <c r="E44" i="1"/>
  <c r="B21" i="2"/>
  <c r="A20" i="2"/>
  <c r="G34" i="1" l="1"/>
  <c r="J34" i="1" s="1"/>
  <c r="D34" i="1"/>
  <c r="H34" i="1" s="1"/>
  <c r="B22" i="2"/>
  <c r="A21" i="2"/>
  <c r="A46" i="1"/>
  <c r="E45" i="1"/>
  <c r="C37" i="1"/>
  <c r="B35" i="1" l="1"/>
  <c r="L34" i="1"/>
  <c r="A47" i="1"/>
  <c r="E46" i="1"/>
  <c r="K37" i="1"/>
  <c r="B23" i="2"/>
  <c r="A22" i="2"/>
  <c r="G35" i="1" l="1"/>
  <c r="J35" i="1" s="1"/>
  <c r="D35" i="1"/>
  <c r="H35" i="1" s="1"/>
  <c r="B24" i="2"/>
  <c r="A23" i="2"/>
  <c r="C38" i="1"/>
  <c r="A48" i="1"/>
  <c r="E47" i="1"/>
  <c r="B36" i="1" l="1"/>
  <c r="L35" i="1"/>
  <c r="A49" i="1"/>
  <c r="E48" i="1"/>
  <c r="K38" i="1"/>
  <c r="B25" i="2"/>
  <c r="A24" i="2"/>
  <c r="G36" i="1" l="1"/>
  <c r="J36" i="1" s="1"/>
  <c r="D36" i="1"/>
  <c r="H36" i="1" s="1"/>
  <c r="E49" i="1"/>
  <c r="A50" i="1"/>
  <c r="B26" i="2"/>
  <c r="A25" i="2"/>
  <c r="C39" i="1"/>
  <c r="B37" i="1" l="1"/>
  <c r="L36" i="1"/>
  <c r="A51" i="1"/>
  <c r="E50" i="1"/>
  <c r="K39" i="1"/>
  <c r="B27" i="2"/>
  <c r="A26" i="2"/>
  <c r="G37" i="1" l="1"/>
  <c r="J37" i="1" s="1"/>
  <c r="D37" i="1"/>
  <c r="H37" i="1" s="1"/>
  <c r="B28" i="2"/>
  <c r="A27" i="2"/>
  <c r="C40" i="1"/>
  <c r="A52" i="1"/>
  <c r="E51" i="1"/>
  <c r="B38" i="1" l="1"/>
  <c r="L37" i="1"/>
  <c r="A53" i="1"/>
  <c r="E52" i="1"/>
  <c r="K40" i="1"/>
  <c r="B29" i="2"/>
  <c r="A28" i="2"/>
  <c r="G38" i="1" l="1"/>
  <c r="J38" i="1" s="1"/>
  <c r="D38" i="1"/>
  <c r="H38" i="1" s="1"/>
  <c r="C41" i="1"/>
  <c r="B30" i="2"/>
  <c r="A29" i="2"/>
  <c r="A54" i="1"/>
  <c r="E53" i="1"/>
  <c r="B39" i="1" l="1"/>
  <c r="L38" i="1"/>
  <c r="A55" i="1"/>
  <c r="E54" i="1"/>
  <c r="B31" i="2"/>
  <c r="A30" i="2"/>
  <c r="K41" i="1"/>
  <c r="G39" i="1" l="1"/>
  <c r="J39" i="1" s="1"/>
  <c r="D39" i="1"/>
  <c r="H39" i="1" s="1"/>
  <c r="C42" i="1"/>
  <c r="B32" i="2"/>
  <c r="A31" i="2"/>
  <c r="A56" i="1"/>
  <c r="E55" i="1"/>
  <c r="B40" i="1" l="1"/>
  <c r="L39" i="1"/>
  <c r="A57" i="1"/>
  <c r="E56" i="1"/>
  <c r="B33" i="2"/>
  <c r="A32" i="2"/>
  <c r="K42" i="1"/>
  <c r="G40" i="1" l="1"/>
  <c r="J40" i="1" s="1"/>
  <c r="D40" i="1"/>
  <c r="H40" i="1" s="1"/>
  <c r="B34" i="2"/>
  <c r="A33" i="2"/>
  <c r="C43" i="1"/>
  <c r="A58" i="1"/>
  <c r="E57" i="1"/>
  <c r="B41" i="1" l="1"/>
  <c r="L40" i="1"/>
  <c r="A59" i="1"/>
  <c r="E58" i="1"/>
  <c r="K43" i="1"/>
  <c r="B35" i="2"/>
  <c r="A34" i="2"/>
  <c r="G41" i="1" l="1"/>
  <c r="J41" i="1" s="1"/>
  <c r="D41" i="1"/>
  <c r="H41" i="1" s="1"/>
  <c r="C44" i="1"/>
  <c r="B36" i="2"/>
  <c r="A35" i="2"/>
  <c r="A60" i="1"/>
  <c r="E59" i="1"/>
  <c r="B42" i="1" l="1"/>
  <c r="L41" i="1"/>
  <c r="A61" i="1"/>
  <c r="E60" i="1"/>
  <c r="B37" i="2"/>
  <c r="A36" i="2"/>
  <c r="K44" i="1"/>
  <c r="G42" i="1" l="1"/>
  <c r="J42" i="1" s="1"/>
  <c r="D42" i="1"/>
  <c r="H42" i="1" s="1"/>
  <c r="B38" i="2"/>
  <c r="A37" i="2"/>
  <c r="C45" i="1"/>
  <c r="A62" i="1"/>
  <c r="E61" i="1"/>
  <c r="B43" i="1" l="1"/>
  <c r="L42" i="1"/>
  <c r="A63" i="1"/>
  <c r="E62" i="1"/>
  <c r="K45" i="1"/>
  <c r="B39" i="2"/>
  <c r="A38" i="2"/>
  <c r="G43" i="1" l="1"/>
  <c r="J43" i="1" s="1"/>
  <c r="D43" i="1"/>
  <c r="H43" i="1" s="1"/>
  <c r="B40" i="2"/>
  <c r="A39" i="2"/>
  <c r="C46" i="1"/>
  <c r="A64" i="1"/>
  <c r="E63" i="1"/>
  <c r="B44" i="1" l="1"/>
  <c r="L43" i="1"/>
  <c r="A65" i="1"/>
  <c r="E64" i="1"/>
  <c r="K46" i="1"/>
  <c r="A40" i="2"/>
  <c r="B41" i="2"/>
  <c r="G44" i="1" l="1"/>
  <c r="J44" i="1" s="1"/>
  <c r="D44" i="1"/>
  <c r="H44" i="1" s="1"/>
  <c r="C47" i="1"/>
  <c r="A41" i="2"/>
  <c r="B42" i="2"/>
  <c r="E65" i="1"/>
  <c r="A66" i="1"/>
  <c r="B45" i="1" l="1"/>
  <c r="L44" i="1"/>
  <c r="A67" i="1"/>
  <c r="E66" i="1"/>
  <c r="B43" i="2"/>
  <c r="A42" i="2"/>
  <c r="K47" i="1"/>
  <c r="G45" i="1" l="1"/>
  <c r="J45" i="1" s="1"/>
  <c r="D45" i="1"/>
  <c r="H45" i="1" s="1"/>
  <c r="C48" i="1"/>
  <c r="B44" i="2"/>
  <c r="A43" i="2"/>
  <c r="A68" i="1"/>
  <c r="E67" i="1"/>
  <c r="B46" i="1" l="1"/>
  <c r="L45" i="1"/>
  <c r="A69" i="1"/>
  <c r="E68" i="1"/>
  <c r="B45" i="2"/>
  <c r="A44" i="2"/>
  <c r="K48" i="1"/>
  <c r="G46" i="1" l="1"/>
  <c r="J46" i="1" s="1"/>
  <c r="D46" i="1"/>
  <c r="H46" i="1" s="1"/>
  <c r="C49" i="1"/>
  <c r="B46" i="2"/>
  <c r="A45" i="2"/>
  <c r="A70" i="1"/>
  <c r="E69" i="1"/>
  <c r="B47" i="1" l="1"/>
  <c r="L46" i="1"/>
  <c r="A71" i="1"/>
  <c r="E70" i="1"/>
  <c r="B47" i="2"/>
  <c r="A46" i="2"/>
  <c r="K49" i="1"/>
  <c r="G47" i="1" l="1"/>
  <c r="J47" i="1" s="1"/>
  <c r="D47" i="1"/>
  <c r="H47" i="1" s="1"/>
  <c r="C50" i="1"/>
  <c r="B48" i="2"/>
  <c r="A47" i="2"/>
  <c r="A72" i="1"/>
  <c r="E71" i="1"/>
  <c r="B48" i="1" l="1"/>
  <c r="L47" i="1"/>
  <c r="A73" i="1"/>
  <c r="E72" i="1"/>
  <c r="B49" i="2"/>
  <c r="A48" i="2"/>
  <c r="K50" i="1"/>
  <c r="G48" i="1" l="1"/>
  <c r="J48" i="1" s="1"/>
  <c r="D48" i="1"/>
  <c r="H48" i="1" s="1"/>
  <c r="C51" i="1"/>
  <c r="B50" i="2"/>
  <c r="A49" i="2"/>
  <c r="E73" i="1"/>
  <c r="A74" i="1"/>
  <c r="B49" i="1" l="1"/>
  <c r="L48" i="1"/>
  <c r="A75" i="1"/>
  <c r="E74" i="1"/>
  <c r="B51" i="2"/>
  <c r="A50" i="2"/>
  <c r="K51" i="1"/>
  <c r="G49" i="1" l="1"/>
  <c r="J49" i="1" s="1"/>
  <c r="D49" i="1"/>
  <c r="H49" i="1" s="1"/>
  <c r="B52" i="2"/>
  <c r="A51" i="2"/>
  <c r="C52" i="1"/>
  <c r="A76" i="1"/>
  <c r="E75" i="1"/>
  <c r="B50" i="1" l="1"/>
  <c r="L49" i="1"/>
  <c r="K52" i="1"/>
  <c r="A77" i="1"/>
  <c r="E76" i="1"/>
  <c r="B53" i="2"/>
  <c r="A52" i="2"/>
  <c r="G50" i="1" l="1"/>
  <c r="J50" i="1" s="1"/>
  <c r="D50" i="1"/>
  <c r="H50" i="1" s="1"/>
  <c r="B54" i="2"/>
  <c r="A53" i="2"/>
  <c r="A78" i="1"/>
  <c r="E77" i="1"/>
  <c r="C53" i="1"/>
  <c r="B51" i="1" l="1"/>
  <c r="L50" i="1"/>
  <c r="B55" i="2"/>
  <c r="A54" i="2"/>
  <c r="K53" i="1"/>
  <c r="A79" i="1"/>
  <c r="E78" i="1"/>
  <c r="G51" i="1" l="1"/>
  <c r="J51" i="1" s="1"/>
  <c r="D51" i="1"/>
  <c r="H51" i="1" s="1"/>
  <c r="C54" i="1"/>
  <c r="A80" i="1"/>
  <c r="E79" i="1"/>
  <c r="B56" i="2"/>
  <c r="A55" i="2"/>
  <c r="B52" i="1" l="1"/>
  <c r="L51" i="1"/>
  <c r="B57" i="2"/>
  <c r="A56" i="2"/>
  <c r="A81" i="1"/>
  <c r="E80" i="1"/>
  <c r="K54" i="1"/>
  <c r="G52" i="1" l="1"/>
  <c r="J52" i="1" s="1"/>
  <c r="D52" i="1"/>
  <c r="H52" i="1" s="1"/>
  <c r="C55" i="1"/>
  <c r="E81" i="1"/>
  <c r="A82" i="1"/>
  <c r="B58" i="2"/>
  <c r="A57" i="2"/>
  <c r="B53" i="1" l="1"/>
  <c r="L52" i="1"/>
  <c r="A58" i="2"/>
  <c r="B59" i="2"/>
  <c r="A83" i="1"/>
  <c r="E82" i="1"/>
  <c r="K55" i="1"/>
  <c r="G53" i="1" l="1"/>
  <c r="J53" i="1" s="1"/>
  <c r="D53" i="1"/>
  <c r="H53" i="1" s="1"/>
  <c r="A84" i="1"/>
  <c r="E83" i="1"/>
  <c r="B60" i="2"/>
  <c r="A59" i="2"/>
  <c r="C56" i="1"/>
  <c r="B54" i="1" l="1"/>
  <c r="L53" i="1"/>
  <c r="K56" i="1"/>
  <c r="B61" i="2"/>
  <c r="A60" i="2"/>
  <c r="A85" i="1"/>
  <c r="E84" i="1"/>
  <c r="G54" i="1" l="1"/>
  <c r="J54" i="1" s="1"/>
  <c r="D54" i="1"/>
  <c r="H54" i="1" s="1"/>
  <c r="A86" i="1"/>
  <c r="E85" i="1"/>
  <c r="B62" i="2"/>
  <c r="A61" i="2"/>
  <c r="C57" i="1"/>
  <c r="B55" i="1" l="1"/>
  <c r="L54" i="1"/>
  <c r="K57" i="1"/>
  <c r="B63" i="2"/>
  <c r="A62" i="2"/>
  <c r="A87" i="1"/>
  <c r="E86" i="1"/>
  <c r="G55" i="1" l="1"/>
  <c r="J55" i="1" s="1"/>
  <c r="D55" i="1"/>
  <c r="H55" i="1" s="1"/>
  <c r="A88" i="1"/>
  <c r="E87" i="1"/>
  <c r="B64" i="2"/>
  <c r="A63" i="2"/>
  <c r="C58" i="1"/>
  <c r="B56" i="1" l="1"/>
  <c r="L55" i="1"/>
  <c r="K58" i="1"/>
  <c r="A64" i="2"/>
  <c r="B65" i="2"/>
  <c r="A89" i="1"/>
  <c r="E88" i="1"/>
  <c r="G56" i="1" l="1"/>
  <c r="J56" i="1" s="1"/>
  <c r="D56" i="1"/>
  <c r="H56" i="1" s="1"/>
  <c r="A90" i="1"/>
  <c r="E89" i="1"/>
  <c r="B66" i="2"/>
  <c r="A65" i="2"/>
  <c r="C59" i="1"/>
  <c r="B57" i="1" l="1"/>
  <c r="L56" i="1"/>
  <c r="K59" i="1"/>
  <c r="B67" i="2"/>
  <c r="A66" i="2"/>
  <c r="A91" i="1"/>
  <c r="E90" i="1"/>
  <c r="G57" i="1" l="1"/>
  <c r="J57" i="1" s="1"/>
  <c r="D57" i="1"/>
  <c r="H57" i="1" s="1"/>
  <c r="B68" i="2"/>
  <c r="A67" i="2"/>
  <c r="A92" i="1"/>
  <c r="E91" i="1"/>
  <c r="C60" i="1"/>
  <c r="B58" i="1" l="1"/>
  <c r="L57" i="1"/>
  <c r="A93" i="1"/>
  <c r="E92" i="1"/>
  <c r="K60" i="1"/>
  <c r="B69" i="2"/>
  <c r="A68" i="2"/>
  <c r="G58" i="1" l="1"/>
  <c r="J58" i="1" s="1"/>
  <c r="D58" i="1"/>
  <c r="H58" i="1" s="1"/>
  <c r="C61" i="1"/>
  <c r="B70" i="2"/>
  <c r="A69" i="2"/>
  <c r="A94" i="1"/>
  <c r="E93" i="1"/>
  <c r="B59" i="1" l="1"/>
  <c r="L58" i="1"/>
  <c r="A95" i="1"/>
  <c r="E94" i="1"/>
  <c r="B71" i="2"/>
  <c r="A70" i="2"/>
  <c r="K61" i="1"/>
  <c r="G59" i="1" l="1"/>
  <c r="J59" i="1" s="1"/>
  <c r="D59" i="1"/>
  <c r="H59" i="1" s="1"/>
  <c r="C62" i="1"/>
  <c r="B72" i="2"/>
  <c r="A71" i="2"/>
  <c r="A96" i="1"/>
  <c r="E95" i="1"/>
  <c r="B60" i="1" l="1"/>
  <c r="L59" i="1"/>
  <c r="A97" i="1"/>
  <c r="E96" i="1"/>
  <c r="B73" i="2"/>
  <c r="A72" i="2"/>
  <c r="K62" i="1"/>
  <c r="G60" i="1" l="1"/>
  <c r="J60" i="1" s="1"/>
  <c r="D60" i="1"/>
  <c r="H60" i="1" s="1"/>
  <c r="C63" i="1"/>
  <c r="B74" i="2"/>
  <c r="A73" i="2"/>
  <c r="E97" i="1"/>
  <c r="A98" i="1"/>
  <c r="B61" i="1" l="1"/>
  <c r="L60" i="1"/>
  <c r="A99" i="1"/>
  <c r="E98" i="1"/>
  <c r="B75" i="2"/>
  <c r="A74" i="2"/>
  <c r="K63" i="1"/>
  <c r="G61" i="1" l="1"/>
  <c r="J61" i="1" s="1"/>
  <c r="D61" i="1"/>
  <c r="H61" i="1" s="1"/>
  <c r="C64" i="1"/>
  <c r="B76" i="2"/>
  <c r="A75" i="2"/>
  <c r="A100" i="1"/>
  <c r="E99" i="1"/>
  <c r="B62" i="1" l="1"/>
  <c r="L61" i="1"/>
  <c r="E100" i="1"/>
  <c r="A101" i="1"/>
  <c r="B77" i="2"/>
  <c r="A76" i="2"/>
  <c r="K64" i="1"/>
  <c r="G62" i="1" l="1"/>
  <c r="J62" i="1" s="1"/>
  <c r="D62" i="1"/>
  <c r="H62" i="1" s="1"/>
  <c r="B78" i="2"/>
  <c r="A77" i="2"/>
  <c r="C65" i="1"/>
  <c r="A102" i="1"/>
  <c r="E101" i="1"/>
  <c r="B63" i="1" l="1"/>
  <c r="L62" i="1"/>
  <c r="B79" i="2"/>
  <c r="A78" i="2"/>
  <c r="K65" i="1"/>
  <c r="A103" i="1"/>
  <c r="E102" i="1"/>
  <c r="G63" i="1" l="1"/>
  <c r="J63" i="1" s="1"/>
  <c r="D63" i="1"/>
  <c r="H63" i="1" s="1"/>
  <c r="A104" i="1"/>
  <c r="E103" i="1"/>
  <c r="C66" i="1"/>
  <c r="B80" i="2"/>
  <c r="A79" i="2"/>
  <c r="B64" i="1" l="1"/>
  <c r="L63" i="1"/>
  <c r="A80" i="2"/>
  <c r="B81" i="2"/>
  <c r="K66" i="1"/>
  <c r="A105" i="1"/>
  <c r="E104" i="1"/>
  <c r="G64" i="1" l="1"/>
  <c r="J64" i="1" s="1"/>
  <c r="D64" i="1"/>
  <c r="H64" i="1" s="1"/>
  <c r="A106" i="1"/>
  <c r="E105" i="1"/>
  <c r="C67" i="1"/>
  <c r="A81" i="2"/>
  <c r="B82" i="2"/>
  <c r="B65" i="1" l="1"/>
  <c r="L64" i="1"/>
  <c r="A82" i="2"/>
  <c r="B83" i="2"/>
  <c r="K67" i="1"/>
  <c r="A107" i="1"/>
  <c r="E106" i="1"/>
  <c r="G65" i="1" l="1"/>
  <c r="J65" i="1" s="1"/>
  <c r="D65" i="1"/>
  <c r="H65" i="1" s="1"/>
  <c r="A108" i="1"/>
  <c r="E107" i="1"/>
  <c r="C68" i="1"/>
  <c r="B84" i="2"/>
  <c r="A83" i="2"/>
  <c r="B66" i="1" l="1"/>
  <c r="L65" i="1"/>
  <c r="B85" i="2"/>
  <c r="A84" i="2"/>
  <c r="K68" i="1"/>
  <c r="A109" i="1"/>
  <c r="E108" i="1"/>
  <c r="G66" i="1" l="1"/>
  <c r="J66" i="1" s="1"/>
  <c r="D66" i="1"/>
  <c r="H66" i="1" s="1"/>
  <c r="C69" i="1"/>
  <c r="A110" i="1"/>
  <c r="E109" i="1"/>
  <c r="B86" i="2"/>
  <c r="A85" i="2"/>
  <c r="B67" i="1" l="1"/>
  <c r="L66" i="1"/>
  <c r="B87" i="2"/>
  <c r="A86" i="2"/>
  <c r="A111" i="1"/>
  <c r="E110" i="1"/>
  <c r="K69" i="1"/>
  <c r="G67" i="1" l="1"/>
  <c r="J67" i="1" s="1"/>
  <c r="D67" i="1"/>
  <c r="H67" i="1" s="1"/>
  <c r="A112" i="1"/>
  <c r="E111" i="1"/>
  <c r="C70" i="1"/>
  <c r="B88" i="2"/>
  <c r="A87" i="2"/>
  <c r="B68" i="1" l="1"/>
  <c r="L67" i="1"/>
  <c r="K70" i="1"/>
  <c r="B89" i="2"/>
  <c r="A88" i="2"/>
  <c r="A113" i="1"/>
  <c r="E112" i="1"/>
  <c r="G68" i="1" l="1"/>
  <c r="J68" i="1" s="1"/>
  <c r="D68" i="1"/>
  <c r="H68" i="1" s="1"/>
  <c r="E113" i="1"/>
  <c r="A114" i="1"/>
  <c r="B90" i="2"/>
  <c r="A89" i="2"/>
  <c r="C71" i="1"/>
  <c r="B69" i="1" l="1"/>
  <c r="L68" i="1"/>
  <c r="K71" i="1"/>
  <c r="B91" i="2"/>
  <c r="A90" i="2"/>
  <c r="A115" i="1"/>
  <c r="E114" i="1"/>
  <c r="G69" i="1" l="1"/>
  <c r="J69" i="1" s="1"/>
  <c r="D69" i="1"/>
  <c r="H69" i="1" s="1"/>
  <c r="A116" i="1"/>
  <c r="E115" i="1"/>
  <c r="B92" i="2"/>
  <c r="A91" i="2"/>
  <c r="C72" i="1"/>
  <c r="B70" i="1" l="1"/>
  <c r="L69" i="1"/>
  <c r="K72" i="1"/>
  <c r="B93" i="2"/>
  <c r="A92" i="2"/>
  <c r="E116" i="1"/>
  <c r="A117" i="1"/>
  <c r="G70" i="1" l="1"/>
  <c r="J70" i="1" s="1"/>
  <c r="D70" i="1"/>
  <c r="H70" i="1" s="1"/>
  <c r="B94" i="2"/>
  <c r="A93" i="2"/>
  <c r="A118" i="1"/>
  <c r="E117" i="1"/>
  <c r="C73" i="1"/>
  <c r="B71" i="1" l="1"/>
  <c r="L70" i="1"/>
  <c r="K73" i="1"/>
  <c r="A119" i="1"/>
  <c r="E118" i="1"/>
  <c r="B95" i="2"/>
  <c r="A94" i="2"/>
  <c r="G71" i="1" l="1"/>
  <c r="J71" i="1" s="1"/>
  <c r="D71" i="1"/>
  <c r="H71" i="1" s="1"/>
  <c r="B96" i="2"/>
  <c r="A95" i="2"/>
  <c r="A120" i="1"/>
  <c r="E119" i="1"/>
  <c r="C74" i="1"/>
  <c r="B72" i="1" l="1"/>
  <c r="L71" i="1"/>
  <c r="K74" i="1"/>
  <c r="A121" i="1"/>
  <c r="E120" i="1"/>
  <c r="B97" i="2"/>
  <c r="A96" i="2"/>
  <c r="G72" i="1" l="1"/>
  <c r="J72" i="1" s="1"/>
  <c r="D72" i="1"/>
  <c r="H72" i="1" s="1"/>
  <c r="B98" i="2"/>
  <c r="A97" i="2"/>
  <c r="E121" i="1"/>
  <c r="A122" i="1"/>
  <c r="C75" i="1"/>
  <c r="B73" i="1" l="1"/>
  <c r="L72" i="1"/>
  <c r="A123" i="1"/>
  <c r="E122" i="1"/>
  <c r="K75" i="1"/>
  <c r="B99" i="2"/>
  <c r="A98" i="2"/>
  <c r="G73" i="1" l="1"/>
  <c r="J73" i="1" s="1"/>
  <c r="D73" i="1"/>
  <c r="H73" i="1" s="1"/>
  <c r="C76" i="1"/>
  <c r="B100" i="2"/>
  <c r="A99" i="2"/>
  <c r="A124" i="1"/>
  <c r="E123" i="1"/>
  <c r="B74" i="1" l="1"/>
  <c r="L73" i="1"/>
  <c r="E124" i="1"/>
  <c r="A125" i="1"/>
  <c r="B101" i="2"/>
  <c r="A100" i="2"/>
  <c r="K76" i="1"/>
  <c r="G74" i="1" l="1"/>
  <c r="J74" i="1" s="1"/>
  <c r="D74" i="1"/>
  <c r="H74" i="1" s="1"/>
  <c r="C77" i="1"/>
  <c r="B102" i="2"/>
  <c r="A101" i="2"/>
  <c r="E125" i="1"/>
  <c r="A126" i="1"/>
  <c r="F125" i="1" l="1"/>
  <c r="B75" i="1"/>
  <c r="L74" i="1"/>
  <c r="A127" i="1"/>
  <c r="K77" i="1"/>
  <c r="B103" i="2"/>
  <c r="A102" i="2"/>
  <c r="G75" i="1" l="1"/>
  <c r="J75" i="1" s="1"/>
  <c r="D75" i="1"/>
  <c r="H75" i="1" s="1"/>
  <c r="C78" i="1"/>
  <c r="B104" i="2"/>
  <c r="A103" i="2"/>
  <c r="A128" i="1"/>
  <c r="B76" i="1" l="1"/>
  <c r="L75" i="1"/>
  <c r="A104" i="2"/>
  <c r="B105" i="2"/>
  <c r="A129" i="1"/>
  <c r="K78" i="1"/>
  <c r="G76" i="1" l="1"/>
  <c r="J76" i="1" s="1"/>
  <c r="D76" i="1"/>
  <c r="H76" i="1" s="1"/>
  <c r="A105" i="2"/>
  <c r="B106" i="2"/>
  <c r="A130" i="1"/>
  <c r="C79" i="1"/>
  <c r="B77" i="1" l="1"/>
  <c r="L76" i="1"/>
  <c r="K79" i="1"/>
  <c r="B107" i="2"/>
  <c r="A106" i="2"/>
  <c r="A131" i="1"/>
  <c r="G77" i="1" l="1"/>
  <c r="J77" i="1" s="1"/>
  <c r="D77" i="1"/>
  <c r="H77" i="1" s="1"/>
  <c r="B108" i="2"/>
  <c r="A107" i="2"/>
  <c r="C80" i="1"/>
  <c r="A132" i="1"/>
  <c r="B78" i="1" l="1"/>
  <c r="L77" i="1"/>
  <c r="A133" i="1"/>
  <c r="K80" i="1"/>
  <c r="B109" i="2"/>
  <c r="A108" i="2"/>
  <c r="G78" i="1" l="1"/>
  <c r="J78" i="1" s="1"/>
  <c r="D78" i="1"/>
  <c r="H78" i="1" s="1"/>
  <c r="C81" i="1"/>
  <c r="B110" i="2"/>
  <c r="A109" i="2"/>
  <c r="A134" i="1"/>
  <c r="B79" i="1" l="1"/>
  <c r="L78" i="1"/>
  <c r="A135" i="1"/>
  <c r="B111" i="2"/>
  <c r="A110" i="2"/>
  <c r="K81" i="1"/>
  <c r="G79" i="1" l="1"/>
  <c r="J79" i="1" s="1"/>
  <c r="D79" i="1"/>
  <c r="H79" i="1" s="1"/>
  <c r="C82" i="1"/>
  <c r="B112" i="2"/>
  <c r="A111" i="2"/>
  <c r="A136" i="1"/>
  <c r="B80" i="1" l="1"/>
  <c r="L79" i="1"/>
  <c r="B113" i="2"/>
  <c r="A112" i="2"/>
  <c r="A137" i="1"/>
  <c r="K82" i="1"/>
  <c r="G80" i="1" l="1"/>
  <c r="J80" i="1" s="1"/>
  <c r="D80" i="1"/>
  <c r="H80" i="1" s="1"/>
  <c r="A138" i="1"/>
  <c r="C83" i="1"/>
  <c r="B114" i="2"/>
  <c r="A113" i="2"/>
  <c r="B81" i="1" l="1"/>
  <c r="L80" i="1"/>
  <c r="K83" i="1"/>
  <c r="A139" i="1"/>
  <c r="B115" i="2"/>
  <c r="A114" i="2"/>
  <c r="G81" i="1" l="1"/>
  <c r="J81" i="1" s="1"/>
  <c r="D81" i="1"/>
  <c r="H81" i="1" s="1"/>
  <c r="B116" i="2"/>
  <c r="A115" i="2"/>
  <c r="A140" i="1"/>
  <c r="C84" i="1"/>
  <c r="B82" i="1" l="1"/>
  <c r="L81" i="1"/>
  <c r="K84" i="1"/>
  <c r="A141" i="1"/>
  <c r="B117" i="2"/>
  <c r="A116" i="2"/>
  <c r="G82" i="1" l="1"/>
  <c r="J82" i="1" s="1"/>
  <c r="D82" i="1"/>
  <c r="H82" i="1" s="1"/>
  <c r="C85" i="1"/>
  <c r="A142" i="1"/>
  <c r="B118" i="2"/>
  <c r="A117" i="2"/>
  <c r="B83" i="1" l="1"/>
  <c r="L82" i="1"/>
  <c r="B119" i="2"/>
  <c r="A118" i="2"/>
  <c r="A143" i="1"/>
  <c r="K85" i="1"/>
  <c r="G83" i="1" l="1"/>
  <c r="J83" i="1" s="1"/>
  <c r="D83" i="1"/>
  <c r="H83" i="1" s="1"/>
  <c r="C86" i="1"/>
  <c r="A144" i="1"/>
  <c r="B120" i="2"/>
  <c r="A119" i="2"/>
  <c r="B84" i="1" l="1"/>
  <c r="L83" i="1"/>
  <c r="B121" i="2"/>
  <c r="A120" i="2"/>
  <c r="A145" i="1"/>
  <c r="K86" i="1"/>
  <c r="G84" i="1" l="1"/>
  <c r="J84" i="1" s="1"/>
  <c r="D84" i="1"/>
  <c r="H84" i="1" s="1"/>
  <c r="A146" i="1"/>
  <c r="C87" i="1"/>
  <c r="A121" i="2"/>
  <c r="B122" i="2"/>
  <c r="B85" i="1" l="1"/>
  <c r="L84" i="1"/>
  <c r="A122" i="2"/>
  <c r="B123" i="2"/>
  <c r="K87" i="1"/>
  <c r="A147" i="1"/>
  <c r="G85" i="1" l="1"/>
  <c r="J85" i="1" s="1"/>
  <c r="D85" i="1"/>
  <c r="H85" i="1" s="1"/>
  <c r="A148" i="1"/>
  <c r="B124" i="2"/>
  <c r="A123" i="2"/>
  <c r="C88" i="1"/>
  <c r="B86" i="1" l="1"/>
  <c r="L85" i="1"/>
  <c r="A149" i="1"/>
  <c r="K88" i="1"/>
  <c r="B125" i="2"/>
  <c r="A124" i="2"/>
  <c r="G86" i="1" l="1"/>
  <c r="J86" i="1" s="1"/>
  <c r="D86" i="1"/>
  <c r="H86" i="1" s="1"/>
  <c r="C89" i="1"/>
  <c r="B126" i="2"/>
  <c r="A125" i="2"/>
  <c r="A150" i="1"/>
  <c r="B87" i="1" l="1"/>
  <c r="L86" i="1"/>
  <c r="A151" i="1"/>
  <c r="B127" i="2"/>
  <c r="A126" i="2"/>
  <c r="K89" i="1"/>
  <c r="G87" i="1" l="1"/>
  <c r="J87" i="1" s="1"/>
  <c r="D87" i="1"/>
  <c r="H87" i="1" s="1"/>
  <c r="C90" i="1"/>
  <c r="A152" i="1"/>
  <c r="B128" i="2"/>
  <c r="A127" i="2"/>
  <c r="B88" i="1" l="1"/>
  <c r="L87" i="1"/>
  <c r="A128" i="2"/>
  <c r="B129" i="2"/>
  <c r="A153" i="1"/>
  <c r="K90" i="1"/>
  <c r="G88" i="1" l="1"/>
  <c r="J88" i="1" s="1"/>
  <c r="D88" i="1"/>
  <c r="H88" i="1" s="1"/>
  <c r="B130" i="2"/>
  <c r="A129" i="2"/>
  <c r="C91" i="1"/>
  <c r="A154" i="1"/>
  <c r="B89" i="1" l="1"/>
  <c r="L88" i="1"/>
  <c r="A155" i="1"/>
  <c r="K91" i="1"/>
  <c r="B131" i="2"/>
  <c r="A130" i="2"/>
  <c r="G89" i="1" l="1"/>
  <c r="J89" i="1" s="1"/>
  <c r="D89" i="1"/>
  <c r="H89" i="1" s="1"/>
  <c r="C92" i="1"/>
  <c r="B132" i="2"/>
  <c r="A131" i="2"/>
  <c r="A156" i="1"/>
  <c r="B90" i="1" l="1"/>
  <c r="L89" i="1"/>
  <c r="A157" i="1"/>
  <c r="B133" i="2"/>
  <c r="A132" i="2"/>
  <c r="K92" i="1"/>
  <c r="G90" i="1" l="1"/>
  <c r="J90" i="1" s="1"/>
  <c r="D90" i="1"/>
  <c r="H90" i="1" s="1"/>
  <c r="A158" i="1"/>
  <c r="C93" i="1"/>
  <c r="B134" i="2"/>
  <c r="A133" i="2"/>
  <c r="B91" i="1" l="1"/>
  <c r="L90" i="1"/>
  <c r="K93" i="1"/>
  <c r="B135" i="2"/>
  <c r="A134" i="2"/>
  <c r="A159" i="1"/>
  <c r="G91" i="1" l="1"/>
  <c r="J91" i="1" s="1"/>
  <c r="D91" i="1"/>
  <c r="H91" i="1" s="1"/>
  <c r="A160" i="1"/>
  <c r="B136" i="2"/>
  <c r="A135" i="2"/>
  <c r="C94" i="1"/>
  <c r="B92" i="1" l="1"/>
  <c r="L91" i="1"/>
  <c r="K94" i="1"/>
  <c r="A161" i="1"/>
  <c r="B137" i="2"/>
  <c r="A136" i="2"/>
  <c r="G92" i="1" l="1"/>
  <c r="J92" i="1" s="1"/>
  <c r="D92" i="1"/>
  <c r="H92" i="1" s="1"/>
  <c r="B138" i="2"/>
  <c r="A137" i="2"/>
  <c r="A162" i="1"/>
  <c r="C95" i="1"/>
  <c r="B93" i="1" l="1"/>
  <c r="L92" i="1"/>
  <c r="K95" i="1"/>
  <c r="A163" i="1"/>
  <c r="B139" i="2"/>
  <c r="A138" i="2"/>
  <c r="G93" i="1" l="1"/>
  <c r="J93" i="1" s="1"/>
  <c r="D93" i="1"/>
  <c r="H93" i="1" s="1"/>
  <c r="B140" i="2"/>
  <c r="A139" i="2"/>
  <c r="A164" i="1"/>
  <c r="C96" i="1"/>
  <c r="B94" i="1" l="1"/>
  <c r="L93" i="1"/>
  <c r="K96" i="1"/>
  <c r="A165" i="1"/>
  <c r="B141" i="2"/>
  <c r="A140" i="2"/>
  <c r="G94" i="1" l="1"/>
  <c r="J94" i="1" s="1"/>
  <c r="D94" i="1"/>
  <c r="H94" i="1" s="1"/>
  <c r="B142" i="2"/>
  <c r="A141" i="2"/>
  <c r="A166" i="1"/>
  <c r="C97" i="1"/>
  <c r="B95" i="1" l="1"/>
  <c r="L94" i="1"/>
  <c r="K97" i="1"/>
  <c r="A167" i="1"/>
  <c r="B143" i="2"/>
  <c r="A142" i="2"/>
  <c r="G95" i="1" l="1"/>
  <c r="J95" i="1" s="1"/>
  <c r="D95" i="1"/>
  <c r="H95" i="1" s="1"/>
  <c r="B144" i="2"/>
  <c r="A143" i="2"/>
  <c r="A168" i="1"/>
  <c r="C98" i="1"/>
  <c r="B96" i="1" l="1"/>
  <c r="L95" i="1"/>
  <c r="K98" i="1"/>
  <c r="A169" i="1"/>
  <c r="B145" i="2"/>
  <c r="A144" i="2"/>
  <c r="G96" i="1" l="1"/>
  <c r="J96" i="1" s="1"/>
  <c r="D96" i="1"/>
  <c r="H96" i="1" s="1"/>
  <c r="A145" i="2"/>
  <c r="B146" i="2"/>
  <c r="A170" i="1"/>
  <c r="C99" i="1"/>
  <c r="B97" i="1" l="1"/>
  <c r="L96" i="1"/>
  <c r="A171" i="1"/>
  <c r="K99" i="1"/>
  <c r="A146" i="2"/>
  <c r="B147" i="2"/>
  <c r="G97" i="1" l="1"/>
  <c r="J97" i="1" s="1"/>
  <c r="D97" i="1"/>
  <c r="H97" i="1" s="1"/>
  <c r="C100" i="1"/>
  <c r="B148" i="2"/>
  <c r="A147" i="2"/>
  <c r="A172" i="1"/>
  <c r="B98" i="1" l="1"/>
  <c r="L97" i="1"/>
  <c r="A173" i="1"/>
  <c r="B149" i="2"/>
  <c r="A148" i="2"/>
  <c r="K100" i="1"/>
  <c r="G98" i="1" l="1"/>
  <c r="J98" i="1" s="1"/>
  <c r="D98" i="1"/>
  <c r="H98" i="1" s="1"/>
  <c r="C101" i="1"/>
  <c r="B150" i="2"/>
  <c r="A149" i="2"/>
  <c r="A174" i="1"/>
  <c r="B99" i="1" l="1"/>
  <c r="L98" i="1"/>
  <c r="A175" i="1"/>
  <c r="B151" i="2"/>
  <c r="A150" i="2"/>
  <c r="K101" i="1"/>
  <c r="G99" i="1" l="1"/>
  <c r="J99" i="1" s="1"/>
  <c r="D99" i="1"/>
  <c r="H99" i="1" s="1"/>
  <c r="C102" i="1"/>
  <c r="B152" i="2"/>
  <c r="A151" i="2"/>
  <c r="A176" i="1"/>
  <c r="B100" i="1" l="1"/>
  <c r="L99" i="1"/>
  <c r="A177" i="1"/>
  <c r="A152" i="2"/>
  <c r="B153" i="2"/>
  <c r="K102" i="1"/>
  <c r="G100" i="1" l="1"/>
  <c r="J100" i="1" s="1"/>
  <c r="D100" i="1"/>
  <c r="H100" i="1" s="1"/>
  <c r="B154" i="2"/>
  <c r="A153" i="2"/>
  <c r="C103" i="1"/>
  <c r="A178" i="1"/>
  <c r="B101" i="1" l="1"/>
  <c r="L100" i="1"/>
  <c r="K103" i="1"/>
  <c r="A179" i="1"/>
  <c r="B155" i="2"/>
  <c r="A154" i="2"/>
  <c r="G101" i="1" l="1"/>
  <c r="J101" i="1" s="1"/>
  <c r="D101" i="1"/>
  <c r="H101" i="1" s="1"/>
  <c r="B156" i="2"/>
  <c r="A155" i="2"/>
  <c r="A180" i="1"/>
  <c r="C104" i="1"/>
  <c r="B102" i="1" l="1"/>
  <c r="L101" i="1"/>
  <c r="K104" i="1"/>
  <c r="A181" i="1"/>
  <c r="A156" i="2"/>
  <c r="B157" i="2"/>
  <c r="G102" i="1" l="1"/>
  <c r="J102" i="1" s="1"/>
  <c r="D102" i="1"/>
  <c r="H102" i="1" s="1"/>
  <c r="A157" i="2"/>
  <c r="B158" i="2"/>
  <c r="A182" i="1"/>
  <c r="C105" i="1"/>
  <c r="B103" i="1" l="1"/>
  <c r="L102" i="1"/>
  <c r="A158" i="2"/>
  <c r="B159" i="2"/>
  <c r="K105" i="1"/>
  <c r="A183" i="1"/>
  <c r="G103" i="1" l="1"/>
  <c r="J103" i="1" s="1"/>
  <c r="D103" i="1"/>
  <c r="H103" i="1" s="1"/>
  <c r="A159" i="2"/>
  <c r="B160" i="2"/>
  <c r="A184" i="1"/>
  <c r="C106" i="1"/>
  <c r="B104" i="1" l="1"/>
  <c r="L103" i="1"/>
  <c r="K106" i="1"/>
  <c r="A185" i="1"/>
  <c r="A160" i="2"/>
  <c r="B161" i="2"/>
  <c r="G104" i="1" l="1"/>
  <c r="J104" i="1" s="1"/>
  <c r="D104" i="1"/>
  <c r="H104" i="1" s="1"/>
  <c r="B162" i="2"/>
  <c r="A161" i="2"/>
  <c r="A186" i="1"/>
  <c r="C107" i="1"/>
  <c r="B105" i="1" l="1"/>
  <c r="L104" i="1"/>
  <c r="K107" i="1"/>
  <c r="A187" i="1"/>
  <c r="B163" i="2"/>
  <c r="A162" i="2"/>
  <c r="G105" i="1" l="1"/>
  <c r="J105" i="1" s="1"/>
  <c r="D105" i="1"/>
  <c r="H105" i="1" s="1"/>
  <c r="B164" i="2"/>
  <c r="A163" i="2"/>
  <c r="A188" i="1"/>
  <c r="C108" i="1"/>
  <c r="B106" i="1" l="1"/>
  <c r="L105" i="1"/>
  <c r="A189" i="1"/>
  <c r="K108" i="1"/>
  <c r="A164" i="2"/>
  <c r="B165" i="2"/>
  <c r="G106" i="1" l="1"/>
  <c r="J106" i="1" s="1"/>
  <c r="D106" i="1"/>
  <c r="H106" i="1" s="1"/>
  <c r="A165" i="2"/>
  <c r="B166" i="2"/>
  <c r="C109" i="1"/>
  <c r="A190" i="1"/>
  <c r="B107" i="1" l="1"/>
  <c r="L106" i="1"/>
  <c r="A166" i="2"/>
  <c r="B167" i="2"/>
  <c r="A191" i="1"/>
  <c r="K109" i="1"/>
  <c r="G107" i="1" l="1"/>
  <c r="J107" i="1" s="1"/>
  <c r="D107" i="1"/>
  <c r="H107" i="1" s="1"/>
  <c r="C110" i="1"/>
  <c r="A192" i="1"/>
  <c r="A167" i="2"/>
  <c r="B168" i="2"/>
  <c r="B108" i="1" l="1"/>
  <c r="L107" i="1"/>
  <c r="A168" i="2"/>
  <c r="B169" i="2"/>
  <c r="A193" i="1"/>
  <c r="K110" i="1"/>
  <c r="G108" i="1" l="1"/>
  <c r="J108" i="1" s="1"/>
  <c r="D108" i="1"/>
  <c r="H108" i="1" s="1"/>
  <c r="C111" i="1"/>
  <c r="A169" i="2"/>
  <c r="B170" i="2"/>
  <c r="A194" i="1"/>
  <c r="B109" i="1" l="1"/>
  <c r="L108" i="1"/>
  <c r="B171" i="2"/>
  <c r="A170" i="2"/>
  <c r="A195" i="1"/>
  <c r="K111" i="1"/>
  <c r="G109" i="1" l="1"/>
  <c r="J109" i="1" s="1"/>
  <c r="D109" i="1"/>
  <c r="H109" i="1" s="1"/>
  <c r="C112" i="1"/>
  <c r="B172" i="2"/>
  <c r="A171" i="2"/>
  <c r="A196" i="1"/>
  <c r="B110" i="1" l="1"/>
  <c r="L109" i="1"/>
  <c r="A197" i="1"/>
  <c r="A172" i="2"/>
  <c r="B173" i="2"/>
  <c r="K112" i="1"/>
  <c r="G110" i="1" l="1"/>
  <c r="J110" i="1" s="1"/>
  <c r="D110" i="1"/>
  <c r="H110" i="1" s="1"/>
  <c r="C113" i="1"/>
  <c r="A173" i="2"/>
  <c r="B174" i="2"/>
  <c r="A198" i="1"/>
  <c r="B111" i="1" l="1"/>
  <c r="L110" i="1"/>
  <c r="A199" i="1"/>
  <c r="A174" i="2"/>
  <c r="B175" i="2"/>
  <c r="K113" i="1"/>
  <c r="G111" i="1" l="1"/>
  <c r="J111" i="1" s="1"/>
  <c r="D111" i="1"/>
  <c r="H111" i="1" s="1"/>
  <c r="C114" i="1"/>
  <c r="A200" i="1"/>
  <c r="A175" i="2"/>
  <c r="B176" i="2"/>
  <c r="B112" i="1" l="1"/>
  <c r="L111" i="1"/>
  <c r="A176" i="2"/>
  <c r="B177" i="2"/>
  <c r="A201" i="1"/>
  <c r="K114" i="1"/>
  <c r="G112" i="1" l="1"/>
  <c r="J112" i="1" s="1"/>
  <c r="D112" i="1"/>
  <c r="H112" i="1" s="1"/>
  <c r="C115" i="1"/>
  <c r="A202" i="1"/>
  <c r="B178" i="2"/>
  <c r="A177" i="2"/>
  <c r="B113" i="1" l="1"/>
  <c r="L112" i="1"/>
  <c r="B179" i="2"/>
  <c r="A178" i="2"/>
  <c r="A203" i="1"/>
  <c r="K115" i="1"/>
  <c r="G113" i="1" l="1"/>
  <c r="J113" i="1" s="1"/>
  <c r="D113" i="1"/>
  <c r="H113" i="1" s="1"/>
  <c r="C116" i="1"/>
  <c r="A204" i="1"/>
  <c r="B180" i="2"/>
  <c r="A179" i="2"/>
  <c r="B114" i="1" l="1"/>
  <c r="L113" i="1"/>
  <c r="A180" i="2"/>
  <c r="B181" i="2"/>
  <c r="A205" i="1"/>
  <c r="K116" i="1"/>
  <c r="G114" i="1" l="1"/>
  <c r="J114" i="1" s="1"/>
  <c r="D114" i="1"/>
  <c r="H114" i="1" s="1"/>
  <c r="A181" i="2"/>
  <c r="B182" i="2"/>
  <c r="C117" i="1"/>
  <c r="A206" i="1"/>
  <c r="B115" i="1" l="1"/>
  <c r="L114" i="1"/>
  <c r="A182" i="2"/>
  <c r="B183" i="2"/>
  <c r="A207" i="1"/>
  <c r="K117" i="1"/>
  <c r="G115" i="1" l="1"/>
  <c r="J115" i="1" s="1"/>
  <c r="D115" i="1"/>
  <c r="H115" i="1" s="1"/>
  <c r="C118" i="1"/>
  <c r="A183" i="2"/>
  <c r="B184" i="2"/>
  <c r="A208" i="1"/>
  <c r="B116" i="1" l="1"/>
  <c r="L115" i="1"/>
  <c r="A209" i="1"/>
  <c r="A184" i="2"/>
  <c r="B185" i="2"/>
  <c r="K118" i="1"/>
  <c r="G116" i="1" l="1"/>
  <c r="J116" i="1" s="1"/>
  <c r="D116" i="1"/>
  <c r="H116" i="1" s="1"/>
  <c r="B186" i="2"/>
  <c r="A185" i="2"/>
  <c r="A210" i="1"/>
  <c r="C119" i="1"/>
  <c r="B117" i="1" l="1"/>
  <c r="L116" i="1"/>
  <c r="K119" i="1"/>
  <c r="A211" i="1"/>
  <c r="A186" i="2"/>
  <c r="B187" i="2"/>
  <c r="G117" i="1" l="1"/>
  <c r="J117" i="1" s="1"/>
  <c r="D117" i="1"/>
  <c r="H117" i="1" s="1"/>
  <c r="B188" i="2"/>
  <c r="A187" i="2"/>
  <c r="A212" i="1"/>
  <c r="C120" i="1"/>
  <c r="B118" i="1" l="1"/>
  <c r="L117" i="1"/>
  <c r="K120" i="1"/>
  <c r="A213" i="1"/>
  <c r="B189" i="2"/>
  <c r="A188" i="2"/>
  <c r="G118" i="1" l="1"/>
  <c r="J118" i="1" s="1"/>
  <c r="D118" i="1"/>
  <c r="H118" i="1" s="1"/>
  <c r="A189" i="2"/>
  <c r="B190" i="2"/>
  <c r="A214" i="1"/>
  <c r="C121" i="1"/>
  <c r="B119" i="1" l="1"/>
  <c r="L118" i="1"/>
  <c r="K121" i="1"/>
  <c r="A190" i="2"/>
  <c r="B191" i="2"/>
  <c r="A215" i="1"/>
  <c r="G119" i="1" l="1"/>
  <c r="J119" i="1" s="1"/>
  <c r="D119" i="1"/>
  <c r="H119" i="1" s="1"/>
  <c r="A216" i="1"/>
  <c r="A191" i="2"/>
  <c r="B192" i="2"/>
  <c r="C122" i="1"/>
  <c r="B120" i="1" l="1"/>
  <c r="L119" i="1"/>
  <c r="A217" i="1"/>
  <c r="K122" i="1"/>
  <c r="A192" i="2"/>
  <c r="B193" i="2"/>
  <c r="G120" i="1" l="1"/>
  <c r="J120" i="1" s="1"/>
  <c r="D120" i="1"/>
  <c r="H120" i="1" s="1"/>
  <c r="A193" i="2"/>
  <c r="B194" i="2"/>
  <c r="C123" i="1"/>
  <c r="A218" i="1"/>
  <c r="B121" i="1" l="1"/>
  <c r="L120" i="1"/>
  <c r="A219" i="1"/>
  <c r="K123" i="1"/>
  <c r="B195" i="2"/>
  <c r="A194" i="2"/>
  <c r="G121" i="1" l="1"/>
  <c r="J121" i="1" s="1"/>
  <c r="D121" i="1"/>
  <c r="H121" i="1" s="1"/>
  <c r="B196" i="2"/>
  <c r="A195" i="2"/>
  <c r="C124" i="1"/>
  <c r="A220" i="1"/>
  <c r="B122" i="1" l="1"/>
  <c r="L121" i="1"/>
  <c r="K124" i="1"/>
  <c r="A221" i="1"/>
  <c r="B197" i="2"/>
  <c r="A196" i="2"/>
  <c r="G122" i="1" l="1"/>
  <c r="J122" i="1" s="1"/>
  <c r="D122" i="1"/>
  <c r="H122" i="1" s="1"/>
  <c r="A197" i="2"/>
  <c r="B198" i="2"/>
  <c r="A222" i="1"/>
  <c r="C125" i="1"/>
  <c r="B123" i="1" l="1"/>
  <c r="L122" i="1"/>
  <c r="A198" i="2"/>
  <c r="B199" i="2"/>
  <c r="K125" i="1"/>
  <c r="A223" i="1"/>
  <c r="G123" i="1" l="1"/>
  <c r="J123" i="1" s="1"/>
  <c r="D123" i="1"/>
  <c r="H123" i="1" s="1"/>
  <c r="A199" i="2"/>
  <c r="B200" i="2"/>
  <c r="A224" i="1"/>
  <c r="A225" i="1" s="1"/>
  <c r="C126" i="1"/>
  <c r="B124" i="1" l="1"/>
  <c r="L123" i="1"/>
  <c r="A200" i="2"/>
  <c r="B201" i="2"/>
  <c r="G124" i="1" l="1"/>
  <c r="J124" i="1" s="1"/>
  <c r="D124" i="1"/>
  <c r="H124" i="1" s="1"/>
  <c r="A201" i="2"/>
  <c r="B202" i="2"/>
  <c r="B125" i="1" l="1"/>
  <c r="L124" i="1"/>
  <c r="B203" i="2"/>
  <c r="A202" i="2"/>
  <c r="G125" i="1" l="1"/>
  <c r="J125" i="1" s="1"/>
  <c r="D125" i="1"/>
  <c r="H125" i="1" s="1"/>
  <c r="B204" i="2"/>
  <c r="A203" i="2"/>
  <c r="B126" i="1" l="1"/>
  <c r="L125" i="1"/>
  <c r="B205" i="2"/>
  <c r="A204" i="2"/>
  <c r="D126" i="1" l="1"/>
  <c r="E126" i="1" s="1"/>
  <c r="A205" i="2"/>
  <c r="B206" i="2"/>
  <c r="A206" i="2" l="1"/>
  <c r="B207" i="2"/>
  <c r="F126" i="1" l="1"/>
  <c r="G126" i="1" s="1"/>
  <c r="J126" i="1" s="1"/>
  <c r="Q126" i="1"/>
  <c r="H126" i="1"/>
  <c r="A207" i="2"/>
  <c r="B208" i="2"/>
  <c r="K126" i="1" l="1"/>
  <c r="C127" i="1" s="1"/>
  <c r="B127" i="1"/>
  <c r="M126" i="1"/>
  <c r="N126" i="1"/>
  <c r="P126" i="1"/>
  <c r="L126" i="1"/>
  <c r="O126" i="1"/>
  <c r="A208" i="2"/>
  <c r="B209" i="2"/>
  <c r="R126" i="1" l="1"/>
  <c r="D127" i="1"/>
  <c r="A209" i="2"/>
  <c r="B210" i="2"/>
  <c r="E127" i="1" l="1"/>
  <c r="B211" i="2"/>
  <c r="A210" i="2"/>
  <c r="F127" i="1" l="1"/>
  <c r="G127" i="1" s="1"/>
  <c r="J127" i="1" s="1"/>
  <c r="Q127" i="1"/>
  <c r="H127" i="1"/>
  <c r="B212" i="2"/>
  <c r="A211" i="2"/>
  <c r="K127" i="1" l="1"/>
  <c r="C128" i="1" s="1"/>
  <c r="B128" i="1"/>
  <c r="D128" i="1" s="1"/>
  <c r="P127" i="1"/>
  <c r="M127" i="1"/>
  <c r="O127" i="1"/>
  <c r="L127" i="1"/>
  <c r="N127" i="1"/>
  <c r="B213" i="2"/>
  <c r="A212" i="2"/>
  <c r="R127" i="1" l="1"/>
  <c r="E128" i="1"/>
  <c r="H128" i="1" s="1"/>
  <c r="A213" i="2"/>
  <c r="B214" i="2"/>
  <c r="Q128" i="1" l="1"/>
  <c r="F128" i="1"/>
  <c r="G128" i="1" s="1"/>
  <c r="J128" i="1" s="1"/>
  <c r="A214" i="2"/>
  <c r="B215" i="2"/>
  <c r="M128" i="1" l="1"/>
  <c r="B129" i="1"/>
  <c r="O128" i="1"/>
  <c r="N128" i="1"/>
  <c r="P128" i="1"/>
  <c r="K128" i="1"/>
  <c r="C129" i="1" s="1"/>
  <c r="A215" i="2"/>
  <c r="B216" i="2"/>
  <c r="R128" i="1" l="1"/>
  <c r="L128" i="1"/>
  <c r="D129" i="1"/>
  <c r="A216" i="2"/>
  <c r="B217" i="2"/>
  <c r="E129" i="1" l="1"/>
  <c r="A217" i="2"/>
  <c r="B218" i="2"/>
  <c r="F129" i="1" l="1"/>
  <c r="G129" i="1" s="1"/>
  <c r="J129" i="1" s="1"/>
  <c r="Q129" i="1"/>
  <c r="K129" i="1"/>
  <c r="C130" i="1" s="1"/>
  <c r="H129" i="1"/>
  <c r="B219" i="2"/>
  <c r="A218" i="2"/>
  <c r="B130" i="1" l="1"/>
  <c r="N129" i="1"/>
  <c r="O129" i="1"/>
  <c r="M129" i="1"/>
  <c r="P129" i="1"/>
  <c r="L129" i="1"/>
  <c r="B220" i="2"/>
  <c r="A219" i="2"/>
  <c r="R129" i="1" l="1"/>
  <c r="D130" i="1"/>
  <c r="B221" i="2"/>
  <c r="A220" i="2"/>
  <c r="E130" i="1" l="1"/>
  <c r="A221" i="2"/>
  <c r="B222" i="2"/>
  <c r="F130" i="1" l="1"/>
  <c r="G130" i="1" s="1"/>
  <c r="J130" i="1" s="1"/>
  <c r="Q130" i="1"/>
  <c r="K130" i="1"/>
  <c r="C131" i="1" s="1"/>
  <c r="H130" i="1"/>
  <c r="A222" i="2"/>
  <c r="B223" i="2"/>
  <c r="P130" i="1" l="1"/>
  <c r="M130" i="1"/>
  <c r="O130" i="1"/>
  <c r="N130" i="1"/>
  <c r="B131" i="1"/>
  <c r="D131" i="1" s="1"/>
  <c r="L130" i="1"/>
  <c r="A223" i="2"/>
  <c r="B224" i="2"/>
  <c r="R130" i="1" l="1"/>
  <c r="E131" i="1"/>
  <c r="H131" i="1" s="1"/>
  <c r="A224" i="2"/>
  <c r="B225" i="2"/>
  <c r="F131" i="1" l="1"/>
  <c r="G131" i="1" s="1"/>
  <c r="J131" i="1" s="1"/>
  <c r="Q131" i="1"/>
  <c r="A225" i="2"/>
  <c r="B226" i="2"/>
  <c r="K131" i="1" l="1"/>
  <c r="L131" i="1"/>
  <c r="C132" i="1"/>
  <c r="O131" i="1"/>
  <c r="N131" i="1"/>
  <c r="M131" i="1"/>
  <c r="B132" i="1"/>
  <c r="P131" i="1"/>
  <c r="A226" i="2"/>
  <c r="B227" i="2"/>
  <c r="R131" i="1" l="1"/>
  <c r="D132" i="1"/>
  <c r="B228" i="2"/>
  <c r="A227" i="2"/>
  <c r="E132" i="1" l="1"/>
  <c r="B229" i="2"/>
  <c r="A228" i="2"/>
  <c r="Q132" i="1" l="1"/>
  <c r="F132" i="1"/>
  <c r="G132" i="1" s="1"/>
  <c r="J132" i="1" s="1"/>
  <c r="H132" i="1"/>
  <c r="B230" i="2"/>
  <c r="A229" i="2"/>
  <c r="O132" i="1" l="1"/>
  <c r="N132" i="1"/>
  <c r="P132" i="1"/>
  <c r="B133" i="1"/>
  <c r="M132" i="1"/>
  <c r="K132" i="1"/>
  <c r="C133" i="1" s="1"/>
  <c r="A230" i="2"/>
  <c r="B231" i="2"/>
  <c r="L132" i="1" l="1"/>
  <c r="D133" i="1"/>
  <c r="R132" i="1"/>
  <c r="A231" i="2"/>
  <c r="B232" i="2"/>
  <c r="E133" i="1" l="1"/>
  <c r="A232" i="2"/>
  <c r="B233" i="2"/>
  <c r="F133" i="1" l="1"/>
  <c r="G133" i="1" s="1"/>
  <c r="J133" i="1" s="1"/>
  <c r="Q133" i="1"/>
  <c r="H133" i="1"/>
  <c r="A233" i="2"/>
  <c r="B234" i="2"/>
  <c r="K133" i="1" l="1"/>
  <c r="C134" i="1" s="1"/>
  <c r="M133" i="1"/>
  <c r="P133" i="1"/>
  <c r="R133" i="1" s="1"/>
  <c r="O133" i="1"/>
  <c r="N133" i="1"/>
  <c r="B134" i="1"/>
  <c r="D134" i="1" s="1"/>
  <c r="L133" i="1"/>
  <c r="A234" i="2"/>
  <c r="B235" i="2"/>
  <c r="E134" i="1" l="1"/>
  <c r="H134" i="1" s="1"/>
  <c r="B236" i="2"/>
  <c r="A235" i="2"/>
  <c r="F134" i="1" l="1"/>
  <c r="G134" i="1" s="1"/>
  <c r="J134" i="1" s="1"/>
  <c r="Q134" i="1"/>
  <c r="K134" i="1"/>
  <c r="C135" i="1" s="1"/>
  <c r="B237" i="2"/>
  <c r="A236" i="2"/>
  <c r="L134" i="1" l="1"/>
  <c r="B135" i="1"/>
  <c r="N134" i="1"/>
  <c r="P134" i="1"/>
  <c r="O134" i="1"/>
  <c r="M134" i="1"/>
  <c r="B238" i="2"/>
  <c r="A237" i="2"/>
  <c r="R134" i="1" l="1"/>
  <c r="D135" i="1"/>
  <c r="A238" i="2"/>
  <c r="B239" i="2"/>
  <c r="E135" i="1" l="1"/>
  <c r="A239" i="2"/>
  <c r="B240" i="2"/>
  <c r="Q135" i="1" l="1"/>
  <c r="F135" i="1"/>
  <c r="G135" i="1" s="1"/>
  <c r="J135" i="1" s="1"/>
  <c r="H135" i="1"/>
  <c r="A240" i="2"/>
  <c r="B241" i="2"/>
  <c r="M135" i="1" l="1"/>
  <c r="B136" i="1"/>
  <c r="P135" i="1"/>
  <c r="N135" i="1"/>
  <c r="O135" i="1"/>
  <c r="K135" i="1"/>
  <c r="C136" i="1" s="1"/>
  <c r="A241" i="2"/>
  <c r="B242" i="2"/>
  <c r="R135" i="1" l="1"/>
  <c r="L135" i="1"/>
  <c r="D136" i="1"/>
  <c r="A242" i="2"/>
  <c r="B243" i="2"/>
  <c r="E136" i="1" l="1"/>
  <c r="B244" i="2"/>
  <c r="A243" i="2"/>
  <c r="F136" i="1" l="1"/>
  <c r="G136" i="1" s="1"/>
  <c r="J136" i="1" s="1"/>
  <c r="Q136" i="1"/>
  <c r="K136" i="1"/>
  <c r="C137" i="1" s="1"/>
  <c r="H136" i="1"/>
  <c r="B245" i="2"/>
  <c r="A244" i="2"/>
  <c r="M136" i="1" l="1"/>
  <c r="P136" i="1"/>
  <c r="B137" i="1"/>
  <c r="D137" i="1" s="1"/>
  <c r="N136" i="1"/>
  <c r="O136" i="1"/>
  <c r="L136" i="1"/>
  <c r="B246" i="2"/>
  <c r="A245" i="2"/>
  <c r="R136" i="1" l="1"/>
  <c r="E137" i="1"/>
  <c r="H137" i="1" s="1"/>
  <c r="A246" i="2"/>
  <c r="B247" i="2"/>
  <c r="F137" i="1" l="1"/>
  <c r="G137" i="1" s="1"/>
  <c r="J137" i="1" s="1"/>
  <c r="Q137" i="1"/>
  <c r="K137" i="1"/>
  <c r="C138" i="1" s="1"/>
  <c r="A247" i="2"/>
  <c r="B248" i="2"/>
  <c r="L137" i="1" l="1"/>
  <c r="O137" i="1"/>
  <c r="B138" i="1"/>
  <c r="P137" i="1"/>
  <c r="N137" i="1"/>
  <c r="M137" i="1"/>
  <c r="A248" i="2"/>
  <c r="B249" i="2"/>
  <c r="R137" i="1" l="1"/>
  <c r="D138" i="1"/>
  <c r="A249" i="2"/>
  <c r="B250" i="2"/>
  <c r="E138" i="1" l="1"/>
  <c r="A250" i="2"/>
  <c r="B251" i="2"/>
  <c r="Q138" i="1" l="1"/>
  <c r="F138" i="1"/>
  <c r="G138" i="1" s="1"/>
  <c r="J138" i="1" s="1"/>
  <c r="H138" i="1"/>
  <c r="B252" i="2"/>
  <c r="A251" i="2"/>
  <c r="B139" i="1" l="1"/>
  <c r="P138" i="1"/>
  <c r="M138" i="1"/>
  <c r="O138" i="1"/>
  <c r="N138" i="1"/>
  <c r="K138" i="1"/>
  <c r="C139" i="1" s="1"/>
  <c r="B253" i="2"/>
  <c r="A252" i="2"/>
  <c r="R138" i="1" l="1"/>
  <c r="L138" i="1"/>
  <c r="D139" i="1"/>
  <c r="B254" i="2"/>
  <c r="A253" i="2"/>
  <c r="E139" i="1" l="1"/>
  <c r="A254" i="2"/>
  <c r="B255" i="2"/>
  <c r="F139" i="1" l="1"/>
  <c r="G139" i="1" s="1"/>
  <c r="J139" i="1" s="1"/>
  <c r="Q139" i="1"/>
  <c r="K139" i="1"/>
  <c r="C140" i="1" s="1"/>
  <c r="H139" i="1"/>
  <c r="A255" i="2"/>
  <c r="B256" i="2"/>
  <c r="B140" i="1" l="1"/>
  <c r="D140" i="1" s="1"/>
  <c r="N139" i="1"/>
  <c r="P139" i="1"/>
  <c r="M139" i="1"/>
  <c r="O139" i="1"/>
  <c r="L139" i="1"/>
  <c r="A256" i="2"/>
  <c r="B257" i="2"/>
  <c r="R139" i="1" l="1"/>
  <c r="E140" i="1"/>
  <c r="H140" i="1" s="1"/>
  <c r="A257" i="2"/>
  <c r="B258" i="2"/>
  <c r="F140" i="1" l="1"/>
  <c r="G140" i="1" s="1"/>
  <c r="J140" i="1" s="1"/>
  <c r="Q140" i="1"/>
  <c r="A258" i="2"/>
  <c r="B259" i="2"/>
  <c r="K140" i="1" l="1"/>
  <c r="C141" i="1" s="1"/>
  <c r="P140" i="1"/>
  <c r="N140" i="1"/>
  <c r="B141" i="1"/>
  <c r="O140" i="1"/>
  <c r="L140" i="1"/>
  <c r="M140" i="1"/>
  <c r="B260" i="2"/>
  <c r="A259" i="2"/>
  <c r="D141" i="1" l="1"/>
  <c r="R140" i="1"/>
  <c r="B261" i="2"/>
  <c r="A260" i="2"/>
  <c r="E141" i="1" l="1"/>
  <c r="B262" i="2"/>
  <c r="A261" i="2"/>
  <c r="Q141" i="1" l="1"/>
  <c r="F141" i="1"/>
  <c r="G141" i="1" s="1"/>
  <c r="J141" i="1" s="1"/>
  <c r="H141" i="1"/>
  <c r="A262" i="2"/>
  <c r="B263" i="2"/>
  <c r="K141" i="1" l="1"/>
  <c r="C142" i="1" s="1"/>
  <c r="P141" i="1"/>
  <c r="O141" i="1"/>
  <c r="M141" i="1"/>
  <c r="N141" i="1"/>
  <c r="B142" i="1"/>
  <c r="A263" i="2"/>
  <c r="B264" i="2"/>
  <c r="L141" i="1" l="1"/>
  <c r="D142" i="1"/>
  <c r="R141" i="1"/>
  <c r="A264" i="2"/>
  <c r="B265" i="2"/>
  <c r="E142" i="1" l="1"/>
  <c r="A265" i="2"/>
  <c r="B266" i="2"/>
  <c r="F142" i="1" l="1"/>
  <c r="G142" i="1" s="1"/>
  <c r="J142" i="1" s="1"/>
  <c r="Q142" i="1"/>
  <c r="K142" i="1"/>
  <c r="C143" i="1" s="1"/>
  <c r="H142" i="1"/>
  <c r="A266" i="2"/>
  <c r="B267" i="2"/>
  <c r="M142" i="1" l="1"/>
  <c r="P142" i="1"/>
  <c r="B143" i="1"/>
  <c r="D143" i="1" s="1"/>
  <c r="O142" i="1"/>
  <c r="N142" i="1"/>
  <c r="L142" i="1"/>
  <c r="B268" i="2"/>
  <c r="A267" i="2"/>
  <c r="E143" i="1" l="1"/>
  <c r="H143" i="1" s="1"/>
  <c r="R142" i="1"/>
  <c r="B269" i="2"/>
  <c r="A268" i="2"/>
  <c r="F143" i="1" l="1"/>
  <c r="G143" i="1" s="1"/>
  <c r="J143" i="1" s="1"/>
  <c r="Q143" i="1"/>
  <c r="K143" i="1"/>
  <c r="C144" i="1" s="1"/>
  <c r="B270" i="2"/>
  <c r="A269" i="2"/>
  <c r="P143" i="1" l="1"/>
  <c r="O143" i="1"/>
  <c r="N143" i="1"/>
  <c r="L143" i="1"/>
  <c r="B144" i="1"/>
  <c r="M143" i="1"/>
  <c r="A270" i="2"/>
  <c r="B271" i="2"/>
  <c r="D144" i="1" l="1"/>
  <c r="R143" i="1"/>
  <c r="A271" i="2"/>
  <c r="B272" i="2"/>
  <c r="E144" i="1" l="1"/>
  <c r="A272" i="2"/>
  <c r="B273" i="2"/>
  <c r="Q144" i="1" l="1"/>
  <c r="F144" i="1"/>
  <c r="G144" i="1" s="1"/>
  <c r="J144" i="1" s="1"/>
  <c r="H144" i="1"/>
  <c r="A273" i="2"/>
  <c r="B274" i="2"/>
  <c r="O144" i="1" l="1"/>
  <c r="B145" i="1"/>
  <c r="N144" i="1"/>
  <c r="M144" i="1"/>
  <c r="P144" i="1"/>
  <c r="K144" i="1"/>
  <c r="C145" i="1" s="1"/>
  <c r="A274" i="2"/>
  <c r="B275" i="2"/>
  <c r="R144" i="1" l="1"/>
  <c r="D145" i="1"/>
  <c r="L144" i="1"/>
  <c r="B276" i="2"/>
  <c r="A275" i="2"/>
  <c r="E145" i="1" l="1"/>
  <c r="B277" i="2"/>
  <c r="A276" i="2"/>
  <c r="F145" i="1" l="1"/>
  <c r="G145" i="1" s="1"/>
  <c r="J145" i="1" s="1"/>
  <c r="Q145" i="1"/>
  <c r="H145" i="1"/>
  <c r="B278" i="2"/>
  <c r="A277" i="2"/>
  <c r="K145" i="1" l="1"/>
  <c r="C146" i="1" s="1"/>
  <c r="N145" i="1"/>
  <c r="O145" i="1"/>
  <c r="B146" i="1"/>
  <c r="D146" i="1" s="1"/>
  <c r="P145" i="1"/>
  <c r="M145" i="1"/>
  <c r="A278" i="2"/>
  <c r="B279" i="2"/>
  <c r="L145" i="1" l="1"/>
  <c r="R145" i="1"/>
  <c r="E146" i="1"/>
  <c r="H146" i="1" s="1"/>
  <c r="A279" i="2"/>
  <c r="B280" i="2"/>
  <c r="F146" i="1" l="1"/>
  <c r="G146" i="1" s="1"/>
  <c r="J146" i="1" s="1"/>
  <c r="Q146" i="1"/>
  <c r="K146" i="1"/>
  <c r="C147" i="1" s="1"/>
  <c r="A280" i="2"/>
  <c r="B281" i="2"/>
  <c r="L146" i="1" l="1"/>
  <c r="O146" i="1"/>
  <c r="N146" i="1"/>
  <c r="P146" i="1"/>
  <c r="M146" i="1"/>
  <c r="B147" i="1"/>
  <c r="A281" i="2"/>
  <c r="B282" i="2"/>
  <c r="R146" i="1" l="1"/>
  <c r="D147" i="1"/>
  <c r="A282" i="2"/>
  <c r="B283" i="2"/>
  <c r="E147" i="1" l="1"/>
  <c r="B284" i="2"/>
  <c r="A283" i="2"/>
  <c r="Q147" i="1" l="1"/>
  <c r="F147" i="1"/>
  <c r="G147" i="1" s="1"/>
  <c r="J147" i="1" s="1"/>
  <c r="H147" i="1"/>
  <c r="B285" i="2"/>
  <c r="A284" i="2"/>
  <c r="B148" i="1" l="1"/>
  <c r="P147" i="1"/>
  <c r="O147" i="1"/>
  <c r="M147" i="1"/>
  <c r="N147" i="1"/>
  <c r="K147" i="1"/>
  <c r="C148" i="1" s="1"/>
  <c r="B286" i="2"/>
  <c r="A285" i="2"/>
  <c r="R147" i="1" l="1"/>
  <c r="L147" i="1"/>
  <c r="D148" i="1"/>
  <c r="A286" i="2"/>
  <c r="B287" i="2"/>
  <c r="E148" i="1" l="1"/>
  <c r="H148" i="1" s="1"/>
  <c r="A287" i="2"/>
  <c r="B288" i="2"/>
  <c r="F148" i="1" l="1"/>
  <c r="G148" i="1" s="1"/>
  <c r="J148" i="1" s="1"/>
  <c r="Q148" i="1"/>
  <c r="K148" i="1"/>
  <c r="C149" i="1" s="1"/>
  <c r="A288" i="2"/>
  <c r="B289" i="2"/>
  <c r="B149" i="1" l="1"/>
  <c r="D149" i="1" s="1"/>
  <c r="P148" i="1"/>
  <c r="N148" i="1"/>
  <c r="M148" i="1"/>
  <c r="O148" i="1"/>
  <c r="L148" i="1"/>
  <c r="A289" i="2"/>
  <c r="B290" i="2"/>
  <c r="E149" i="1" l="1"/>
  <c r="H149" i="1" s="1"/>
  <c r="R148" i="1"/>
  <c r="A290" i="2"/>
  <c r="B291" i="2"/>
  <c r="F149" i="1" l="1"/>
  <c r="G149" i="1" s="1"/>
  <c r="J149" i="1" s="1"/>
  <c r="Q149" i="1"/>
  <c r="B292" i="2"/>
  <c r="A291" i="2"/>
  <c r="K149" i="1" l="1"/>
  <c r="C150" i="1" s="1"/>
  <c r="O149" i="1"/>
  <c r="N149" i="1"/>
  <c r="P149" i="1"/>
  <c r="M149" i="1"/>
  <c r="B150" i="1"/>
  <c r="L149" i="1"/>
  <c r="B293" i="2"/>
  <c r="A292" i="2"/>
  <c r="R149" i="1" l="1"/>
  <c r="D150" i="1"/>
  <c r="B294" i="2"/>
  <c r="A293" i="2"/>
  <c r="E150" i="1" l="1"/>
  <c r="A294" i="2"/>
  <c r="B295" i="2"/>
  <c r="Q150" i="1" l="1"/>
  <c r="F150" i="1"/>
  <c r="G150" i="1" s="1"/>
  <c r="J150" i="1" s="1"/>
  <c r="H150" i="1"/>
  <c r="A295" i="2"/>
  <c r="B296" i="2"/>
  <c r="P150" i="1" l="1"/>
  <c r="N150" i="1"/>
  <c r="O150" i="1"/>
  <c r="B151" i="1"/>
  <c r="M150" i="1"/>
  <c r="K150" i="1"/>
  <c r="C151" i="1" s="1"/>
  <c r="A296" i="2"/>
  <c r="B297" i="2"/>
  <c r="L150" i="1" l="1"/>
  <c r="D151" i="1"/>
  <c r="R150" i="1"/>
  <c r="A297" i="2"/>
  <c r="B298" i="2"/>
  <c r="E151" i="1" l="1"/>
  <c r="A298" i="2"/>
  <c r="B299" i="2"/>
  <c r="F151" i="1" l="1"/>
  <c r="G151" i="1" s="1"/>
  <c r="J151" i="1" s="1"/>
  <c r="Q151" i="1"/>
  <c r="H151" i="1"/>
  <c r="B300" i="2"/>
  <c r="A299" i="2"/>
  <c r="K151" i="1" l="1"/>
  <c r="C152" i="1" s="1"/>
  <c r="N151" i="1"/>
  <c r="M151" i="1"/>
  <c r="P151" i="1"/>
  <c r="O151" i="1"/>
  <c r="B152" i="1"/>
  <c r="D152" i="1" s="1"/>
  <c r="B301" i="2"/>
  <c r="A300" i="2"/>
  <c r="L151" i="1" l="1"/>
  <c r="E152" i="1"/>
  <c r="H152" i="1" s="1"/>
  <c r="R151" i="1"/>
  <c r="B302" i="2"/>
  <c r="A301" i="2"/>
  <c r="F152" i="1" l="1"/>
  <c r="G152" i="1" s="1"/>
  <c r="J152" i="1" s="1"/>
  <c r="Q152" i="1"/>
  <c r="B303" i="2"/>
  <c r="A302" i="2"/>
  <c r="L9" i="1" s="1"/>
  <c r="H4" i="1" s="1"/>
  <c r="K152" i="1" l="1"/>
  <c r="C153" i="1" s="1"/>
  <c r="L152" i="1"/>
  <c r="O152" i="1"/>
  <c r="B153" i="1"/>
  <c r="M152" i="1"/>
  <c r="P152" i="1"/>
  <c r="N152" i="1"/>
  <c r="L6" i="1"/>
  <c r="L7" i="1" s="1"/>
  <c r="H9" i="1" s="1"/>
  <c r="H6" i="1"/>
  <c r="H8" i="1"/>
  <c r="A303" i="2"/>
  <c r="B304" i="2"/>
  <c r="R152" i="1" l="1"/>
  <c r="D153" i="1"/>
  <c r="A304" i="2"/>
  <c r="B305" i="2"/>
  <c r="E153" i="1" l="1"/>
  <c r="A305" i="2"/>
  <c r="B306" i="2"/>
  <c r="H7" i="1"/>
  <c r="Q153" i="1" l="1"/>
  <c r="F153" i="1"/>
  <c r="G153" i="1" s="1"/>
  <c r="J153" i="1" s="1"/>
  <c r="H153" i="1"/>
  <c r="B307" i="2"/>
  <c r="A306" i="2"/>
  <c r="K153" i="1" l="1"/>
  <c r="C154" i="1" s="1"/>
  <c r="O153" i="1"/>
  <c r="P153" i="1"/>
  <c r="B154" i="1"/>
  <c r="M153" i="1"/>
  <c r="N153" i="1"/>
  <c r="A307" i="2"/>
  <c r="B308" i="2"/>
  <c r="L153" i="1" l="1"/>
  <c r="D154" i="1"/>
  <c r="R153" i="1"/>
  <c r="A308" i="2"/>
  <c r="B309" i="2"/>
  <c r="E154" i="1" l="1"/>
  <c r="A309" i="2"/>
  <c r="B310" i="2"/>
  <c r="F154" i="1" l="1"/>
  <c r="G154" i="1" s="1"/>
  <c r="J154" i="1" s="1"/>
  <c r="Q154" i="1"/>
  <c r="H154" i="1"/>
  <c r="B311" i="2"/>
  <c r="A310" i="2"/>
  <c r="K154" i="1" l="1"/>
  <c r="C155" i="1" s="1"/>
  <c r="O154" i="1"/>
  <c r="B155" i="1"/>
  <c r="D155" i="1" s="1"/>
  <c r="P154" i="1"/>
  <c r="M154" i="1"/>
  <c r="N154" i="1"/>
  <c r="L154" i="1"/>
  <c r="A311" i="2"/>
  <c r="B312" i="2"/>
  <c r="E155" i="1" l="1"/>
  <c r="H155" i="1" s="1"/>
  <c r="R154" i="1"/>
  <c r="A312" i="2"/>
  <c r="B313" i="2"/>
  <c r="F155" i="1" l="1"/>
  <c r="G155" i="1" s="1"/>
  <c r="J155" i="1" s="1"/>
  <c r="Q155" i="1"/>
  <c r="K155" i="1"/>
  <c r="C156" i="1" s="1"/>
  <c r="A313" i="2"/>
  <c r="B314" i="2"/>
  <c r="O155" i="1" l="1"/>
  <c r="L155" i="1"/>
  <c r="M155" i="1"/>
  <c r="N155" i="1"/>
  <c r="B156" i="1"/>
  <c r="P155" i="1"/>
  <c r="B315" i="2"/>
  <c r="A314" i="2"/>
  <c r="R155" i="1" l="1"/>
  <c r="D156" i="1"/>
  <c r="A315" i="2"/>
  <c r="B316" i="2"/>
  <c r="E156" i="1" l="1"/>
  <c r="A316" i="2"/>
  <c r="B317" i="2"/>
  <c r="Q156" i="1" l="1"/>
  <c r="F156" i="1"/>
  <c r="G156" i="1" s="1"/>
  <c r="J156" i="1" s="1"/>
  <c r="H156" i="1"/>
  <c r="A317" i="2"/>
  <c r="B318" i="2"/>
  <c r="O156" i="1" l="1"/>
  <c r="N156" i="1"/>
  <c r="P156" i="1"/>
  <c r="B157" i="1"/>
  <c r="M156" i="1"/>
  <c r="K156" i="1"/>
  <c r="C157" i="1" s="1"/>
  <c r="B319" i="2"/>
  <c r="A318" i="2"/>
  <c r="D157" i="1" l="1"/>
  <c r="R156" i="1"/>
  <c r="L156" i="1"/>
  <c r="A319" i="2"/>
  <c r="B320" i="2"/>
  <c r="E157" i="1" l="1"/>
  <c r="A320" i="2"/>
  <c r="B321" i="2"/>
  <c r="F157" i="1" l="1"/>
  <c r="G157" i="1" s="1"/>
  <c r="J157" i="1" s="1"/>
  <c r="Q157" i="1"/>
  <c r="K157" i="1"/>
  <c r="C158" i="1" s="1"/>
  <c r="H157" i="1"/>
  <c r="B322" i="2"/>
  <c r="A321" i="2"/>
  <c r="B158" i="1" l="1"/>
  <c r="D158" i="1" s="1"/>
  <c r="P157" i="1"/>
  <c r="O157" i="1"/>
  <c r="N157" i="1"/>
  <c r="M157" i="1"/>
  <c r="L157" i="1"/>
  <c r="B323" i="2"/>
  <c r="A322" i="2"/>
  <c r="E158" i="1" l="1"/>
  <c r="H158" i="1" s="1"/>
  <c r="R157" i="1"/>
  <c r="A323" i="2"/>
  <c r="B324" i="2"/>
  <c r="F158" i="1" l="1"/>
  <c r="G158" i="1" s="1"/>
  <c r="J158" i="1" s="1"/>
  <c r="Q158" i="1"/>
  <c r="A324" i="2"/>
  <c r="B325" i="2"/>
  <c r="K158" i="1" l="1"/>
  <c r="C159" i="1" s="1"/>
  <c r="M158" i="1"/>
  <c r="O158" i="1"/>
  <c r="N158" i="1"/>
  <c r="P158" i="1"/>
  <c r="B159" i="1"/>
  <c r="A325" i="2"/>
  <c r="B326" i="2"/>
  <c r="R158" i="1" l="1"/>
  <c r="L158" i="1"/>
  <c r="D159" i="1"/>
  <c r="B327" i="2"/>
  <c r="A326" i="2"/>
  <c r="E159" i="1" l="1"/>
  <c r="A327" i="2"/>
  <c r="B328" i="2"/>
  <c r="Q159" i="1" l="1"/>
  <c r="F159" i="1"/>
  <c r="G159" i="1" s="1"/>
  <c r="J159" i="1" s="1"/>
  <c r="H159" i="1"/>
  <c r="A328" i="2"/>
  <c r="B329" i="2"/>
  <c r="O159" i="1" l="1"/>
  <c r="N159" i="1"/>
  <c r="B160" i="1"/>
  <c r="P159" i="1"/>
  <c r="M159" i="1"/>
  <c r="K159" i="1"/>
  <c r="C160" i="1" s="1"/>
  <c r="A329" i="2"/>
  <c r="B330" i="2"/>
  <c r="R159" i="1" l="1"/>
  <c r="L159" i="1"/>
  <c r="D160" i="1"/>
  <c r="B331" i="2"/>
  <c r="A330" i="2"/>
  <c r="E160" i="1" l="1"/>
  <c r="A331" i="2"/>
  <c r="B332" i="2"/>
  <c r="F160" i="1" l="1"/>
  <c r="G160" i="1" s="1"/>
  <c r="J160" i="1" s="1"/>
  <c r="Q160" i="1"/>
  <c r="H160" i="1"/>
  <c r="A332" i="2"/>
  <c r="B333" i="2"/>
  <c r="K160" i="1" l="1"/>
  <c r="C161" i="1" s="1"/>
  <c r="N160" i="1"/>
  <c r="B161" i="1"/>
  <c r="D161" i="1" s="1"/>
  <c r="M160" i="1"/>
  <c r="O160" i="1"/>
  <c r="P160" i="1"/>
  <c r="A333" i="2"/>
  <c r="B334" i="2"/>
  <c r="L160" i="1" l="1"/>
  <c r="R160" i="1"/>
  <c r="E161" i="1"/>
  <c r="H161" i="1" s="1"/>
  <c r="B335" i="2"/>
  <c r="A334" i="2"/>
  <c r="F161" i="1" l="1"/>
  <c r="G161" i="1" s="1"/>
  <c r="J161" i="1" s="1"/>
  <c r="Q161" i="1"/>
  <c r="A335" i="2"/>
  <c r="B336" i="2"/>
  <c r="K161" i="1" l="1"/>
  <c r="C162" i="1" s="1"/>
  <c r="N161" i="1"/>
  <c r="P161" i="1"/>
  <c r="M161" i="1"/>
  <c r="B162" i="1"/>
  <c r="O161" i="1"/>
  <c r="A336" i="2"/>
  <c r="B337" i="2"/>
  <c r="L161" i="1" l="1"/>
  <c r="D162" i="1"/>
  <c r="R161" i="1"/>
  <c r="A337" i="2"/>
  <c r="B338" i="2"/>
  <c r="E162" i="1" l="1"/>
  <c r="B339" i="2"/>
  <c r="A338" i="2"/>
  <c r="Q162" i="1" l="1"/>
  <c r="F162" i="1"/>
  <c r="G162" i="1" s="1"/>
  <c r="J162" i="1" s="1"/>
  <c r="H162" i="1"/>
  <c r="A339" i="2"/>
  <c r="B340" i="2"/>
  <c r="B163" i="1" l="1"/>
  <c r="M162" i="1"/>
  <c r="P162" i="1"/>
  <c r="O162" i="1"/>
  <c r="N162" i="1"/>
  <c r="K162" i="1"/>
  <c r="C163" i="1" s="1"/>
  <c r="A340" i="2"/>
  <c r="B341" i="2"/>
  <c r="L162" i="1" l="1"/>
  <c r="R162" i="1"/>
  <c r="D163" i="1"/>
  <c r="A341" i="2"/>
  <c r="B342" i="2"/>
  <c r="E163" i="1" l="1"/>
  <c r="B343" i="2"/>
  <c r="A342" i="2"/>
  <c r="F163" i="1" l="1"/>
  <c r="G163" i="1" s="1"/>
  <c r="J163" i="1" s="1"/>
  <c r="Q163" i="1"/>
  <c r="H163" i="1"/>
  <c r="A343" i="2"/>
  <c r="B344" i="2"/>
  <c r="K163" i="1" l="1"/>
  <c r="C164" i="1" s="1"/>
  <c r="O163" i="1"/>
  <c r="N163" i="1"/>
  <c r="B164" i="1"/>
  <c r="D164" i="1" s="1"/>
  <c r="M163" i="1"/>
  <c r="P163" i="1"/>
  <c r="L163" i="1"/>
  <c r="A344" i="2"/>
  <c r="B345" i="2"/>
  <c r="R163" i="1" l="1"/>
  <c r="E164" i="1"/>
  <c r="H164" i="1" s="1"/>
  <c r="A345" i="2"/>
  <c r="B346" i="2"/>
  <c r="F164" i="1" l="1"/>
  <c r="G164" i="1" s="1"/>
  <c r="J164" i="1" s="1"/>
  <c r="Q164" i="1"/>
  <c r="K164" i="1"/>
  <c r="C165" i="1" s="1"/>
  <c r="B347" i="2"/>
  <c r="A346" i="2"/>
  <c r="M164" i="1" l="1"/>
  <c r="O164" i="1"/>
  <c r="N164" i="1"/>
  <c r="B165" i="1"/>
  <c r="P164" i="1"/>
  <c r="R164" i="1" s="1"/>
  <c r="L164" i="1"/>
  <c r="A347" i="2"/>
  <c r="B348" i="2"/>
  <c r="D165" i="1" l="1"/>
  <c r="A348" i="2"/>
  <c r="B349" i="2"/>
  <c r="E165" i="1" l="1"/>
  <c r="A349" i="2"/>
  <c r="B350" i="2"/>
  <c r="Q165" i="1" l="1"/>
  <c r="F165" i="1"/>
  <c r="G165" i="1" s="1"/>
  <c r="J165" i="1" s="1"/>
  <c r="H165" i="1"/>
  <c r="B351" i="2"/>
  <c r="A350" i="2"/>
  <c r="P165" i="1" l="1"/>
  <c r="M165" i="1"/>
  <c r="O165" i="1"/>
  <c r="B166" i="1"/>
  <c r="N165" i="1"/>
  <c r="K165" i="1"/>
  <c r="C166" i="1" s="1"/>
  <c r="A351" i="2"/>
  <c r="B352" i="2"/>
  <c r="L165" i="1" l="1"/>
  <c r="D166" i="1"/>
  <c r="R165" i="1"/>
  <c r="A352" i="2"/>
  <c r="B353" i="2"/>
  <c r="E166" i="1" l="1"/>
  <c r="B354" i="2"/>
  <c r="A353" i="2"/>
  <c r="F166" i="1" l="1"/>
  <c r="G166" i="1" s="1"/>
  <c r="J166" i="1" s="1"/>
  <c r="Q166" i="1"/>
  <c r="K166" i="1"/>
  <c r="C167" i="1" s="1"/>
  <c r="H166" i="1"/>
  <c r="B355" i="2"/>
  <c r="A354" i="2"/>
  <c r="B167" i="1" l="1"/>
  <c r="D167" i="1" s="1"/>
  <c r="O166" i="1"/>
  <c r="N166" i="1"/>
  <c r="P166" i="1"/>
  <c r="M166" i="1"/>
  <c r="L166" i="1"/>
  <c r="A355" i="2"/>
  <c r="B356" i="2"/>
  <c r="E167" i="1" l="1"/>
  <c r="H167" i="1" s="1"/>
  <c r="R166" i="1"/>
  <c r="A356" i="2"/>
  <c r="B357" i="2"/>
  <c r="F167" i="1" l="1"/>
  <c r="G167" i="1" s="1"/>
  <c r="J167" i="1" s="1"/>
  <c r="Q167" i="1"/>
  <c r="K167" i="1"/>
  <c r="C168" i="1" s="1"/>
  <c r="A357" i="2"/>
  <c r="B358" i="2"/>
  <c r="M167" i="1" l="1"/>
  <c r="P167" i="1"/>
  <c r="O167" i="1"/>
  <c r="B168" i="1"/>
  <c r="N167" i="1"/>
  <c r="L167" i="1"/>
  <c r="B359" i="2"/>
  <c r="A358" i="2"/>
  <c r="R167" i="1" l="1"/>
  <c r="D168" i="1"/>
  <c r="A359" i="2"/>
  <c r="B360" i="2"/>
  <c r="E168" i="1" l="1"/>
  <c r="A360" i="2"/>
  <c r="B361" i="2"/>
  <c r="Q168" i="1" l="1"/>
  <c r="F168" i="1"/>
  <c r="G168" i="1" s="1"/>
  <c r="J168" i="1" s="1"/>
  <c r="H168" i="1"/>
  <c r="A361" i="2"/>
  <c r="B362" i="2"/>
  <c r="K168" i="1" l="1"/>
  <c r="C169" i="1" s="1"/>
  <c r="M168" i="1"/>
  <c r="P168" i="1"/>
  <c r="N168" i="1"/>
  <c r="O168" i="1"/>
  <c r="B169" i="1"/>
  <c r="B363" i="2"/>
  <c r="A362" i="2"/>
  <c r="L168" i="1" l="1"/>
  <c r="D169" i="1"/>
  <c r="R168" i="1"/>
  <c r="A363" i="2"/>
  <c r="B364" i="2"/>
  <c r="E169" i="1" l="1"/>
  <c r="A364" i="2"/>
  <c r="B365" i="2"/>
  <c r="F169" i="1" l="1"/>
  <c r="G169" i="1" s="1"/>
  <c r="J169" i="1" s="1"/>
  <c r="Q169" i="1"/>
  <c r="H169" i="1"/>
  <c r="A365" i="2"/>
  <c r="B366" i="2"/>
  <c r="K169" i="1" l="1"/>
  <c r="C170" i="1" s="1"/>
  <c r="P169" i="1"/>
  <c r="M169" i="1"/>
  <c r="O169" i="1"/>
  <c r="N169" i="1"/>
  <c r="B170" i="1"/>
  <c r="D170" i="1" s="1"/>
  <c r="B367" i="2"/>
  <c r="A366" i="2"/>
  <c r="L169" i="1" l="1"/>
  <c r="R169" i="1"/>
  <c r="E170" i="1"/>
  <c r="A367" i="2"/>
  <c r="B368" i="2"/>
  <c r="F170" i="1" l="1"/>
  <c r="G170" i="1" s="1"/>
  <c r="J170" i="1" s="1"/>
  <c r="Q170" i="1"/>
  <c r="K170" i="1"/>
  <c r="C171" i="1" s="1"/>
  <c r="H170" i="1"/>
  <c r="A368" i="2"/>
  <c r="B369" i="2"/>
  <c r="B171" i="1" l="1"/>
  <c r="M170" i="1"/>
  <c r="P170" i="1"/>
  <c r="O170" i="1"/>
  <c r="N170" i="1"/>
  <c r="L170" i="1"/>
  <c r="A369" i="2"/>
  <c r="B370" i="2"/>
  <c r="R170" i="1" l="1"/>
  <c r="D171" i="1"/>
  <c r="B371" i="2"/>
  <c r="A370" i="2"/>
  <c r="E171" i="1" l="1"/>
  <c r="A371" i="2"/>
  <c r="B372" i="2"/>
  <c r="Q171" i="1" l="1"/>
  <c r="F171" i="1"/>
  <c r="G171" i="1" s="1"/>
  <c r="J171" i="1" s="1"/>
  <c r="H171" i="1"/>
  <c r="A372" i="2"/>
  <c r="B373" i="2"/>
  <c r="B172" i="1" l="1"/>
  <c r="M171" i="1"/>
  <c r="N171" i="1"/>
  <c r="P171" i="1"/>
  <c r="R171" i="1" s="1"/>
  <c r="O171" i="1"/>
  <c r="K171" i="1"/>
  <c r="C172" i="1" s="1"/>
  <c r="B374" i="2"/>
  <c r="A373" i="2"/>
  <c r="L171" i="1" l="1"/>
  <c r="D172" i="1"/>
  <c r="B375" i="2"/>
  <c r="A374" i="2"/>
  <c r="E172" i="1" l="1"/>
  <c r="A375" i="2"/>
  <c r="B376" i="2"/>
  <c r="F172" i="1" l="1"/>
  <c r="G172" i="1" s="1"/>
  <c r="J172" i="1" s="1"/>
  <c r="Q172" i="1"/>
  <c r="K172" i="1"/>
  <c r="C173" i="1" s="1"/>
  <c r="H172" i="1"/>
  <c r="A376" i="2"/>
  <c r="B377" i="2"/>
  <c r="B173" i="1" l="1"/>
  <c r="D173" i="1" s="1"/>
  <c r="P172" i="1"/>
  <c r="M172" i="1"/>
  <c r="O172" i="1"/>
  <c r="N172" i="1"/>
  <c r="L172" i="1"/>
  <c r="A377" i="2"/>
  <c r="B378" i="2"/>
  <c r="E173" i="1" l="1"/>
  <c r="H173" i="1" s="1"/>
  <c r="R172" i="1"/>
  <c r="B379" i="2"/>
  <c r="A378" i="2"/>
  <c r="F173" i="1" l="1"/>
  <c r="G173" i="1" s="1"/>
  <c r="J173" i="1" s="1"/>
  <c r="Q173" i="1"/>
  <c r="K173" i="1"/>
  <c r="C174" i="1" s="1"/>
  <c r="A379" i="2"/>
  <c r="B380" i="2"/>
  <c r="O173" i="1" l="1"/>
  <c r="N173" i="1"/>
  <c r="B174" i="1"/>
  <c r="P173" i="1"/>
  <c r="M173" i="1"/>
  <c r="L173" i="1"/>
  <c r="A380" i="2"/>
  <c r="B381" i="2"/>
  <c r="R173" i="1" l="1"/>
  <c r="D174" i="1"/>
  <c r="A381" i="2"/>
  <c r="B382" i="2"/>
  <c r="E174" i="1" l="1"/>
  <c r="B383" i="2"/>
  <c r="A382" i="2"/>
  <c r="Q174" i="1" l="1"/>
  <c r="F174" i="1"/>
  <c r="G174" i="1" s="1"/>
  <c r="J174" i="1" s="1"/>
  <c r="H174" i="1"/>
  <c r="A383" i="2"/>
  <c r="B384" i="2"/>
  <c r="B175" i="1" l="1"/>
  <c r="P174" i="1"/>
  <c r="N174" i="1"/>
  <c r="M174" i="1"/>
  <c r="O174" i="1"/>
  <c r="K174" i="1"/>
  <c r="C175" i="1" s="1"/>
  <c r="A384" i="2"/>
  <c r="B385" i="2"/>
  <c r="L174" i="1" l="1"/>
  <c r="R174" i="1"/>
  <c r="D175" i="1"/>
  <c r="B386" i="2"/>
  <c r="A385" i="2"/>
  <c r="E175" i="1" l="1"/>
  <c r="B387" i="2"/>
  <c r="A386" i="2"/>
  <c r="F175" i="1" l="1"/>
  <c r="G175" i="1" s="1"/>
  <c r="J175" i="1" s="1"/>
  <c r="Q175" i="1"/>
  <c r="H175" i="1"/>
  <c r="A387" i="2"/>
  <c r="B388" i="2"/>
  <c r="K175" i="1" l="1"/>
  <c r="C176" i="1" s="1"/>
  <c r="N175" i="1"/>
  <c r="P175" i="1"/>
  <c r="M175" i="1"/>
  <c r="O175" i="1"/>
  <c r="B176" i="1"/>
  <c r="D176" i="1" s="1"/>
  <c r="L175" i="1"/>
  <c r="A388" i="2"/>
  <c r="B389" i="2"/>
  <c r="E176" i="1" l="1"/>
  <c r="H176" i="1" s="1"/>
  <c r="R175" i="1"/>
  <c r="A389" i="2"/>
  <c r="B390" i="2"/>
  <c r="F176" i="1" l="1"/>
  <c r="G176" i="1" s="1"/>
  <c r="J176" i="1" s="1"/>
  <c r="Q176" i="1"/>
  <c r="B391" i="2"/>
  <c r="A390" i="2"/>
  <c r="K176" i="1" l="1"/>
  <c r="C177" i="1" s="1"/>
  <c r="B177" i="1"/>
  <c r="N176" i="1"/>
  <c r="M176" i="1"/>
  <c r="O176" i="1"/>
  <c r="P176" i="1"/>
  <c r="L176" i="1"/>
  <c r="A391" i="2"/>
  <c r="B392" i="2"/>
  <c r="R176" i="1" l="1"/>
  <c r="D177" i="1"/>
  <c r="A392" i="2"/>
  <c r="B393" i="2"/>
  <c r="E177" i="1" l="1"/>
  <c r="A393" i="2"/>
  <c r="B394" i="2"/>
  <c r="Q177" i="1" l="1"/>
  <c r="F177" i="1"/>
  <c r="G177" i="1" s="1"/>
  <c r="J177" i="1" s="1"/>
  <c r="H177" i="1"/>
  <c r="B395" i="2"/>
  <c r="A394" i="2"/>
  <c r="B178" i="1" l="1"/>
  <c r="M177" i="1"/>
  <c r="O177" i="1"/>
  <c r="N177" i="1"/>
  <c r="P177" i="1"/>
  <c r="K177" i="1"/>
  <c r="C178" i="1" s="1"/>
  <c r="A395" i="2"/>
  <c r="B396" i="2"/>
  <c r="R177" i="1" l="1"/>
  <c r="L177" i="1"/>
  <c r="D178" i="1"/>
  <c r="A396" i="2"/>
  <c r="B397" i="2"/>
  <c r="E178" i="1" l="1"/>
  <c r="A397" i="2"/>
  <c r="B398" i="2"/>
  <c r="F178" i="1" l="1"/>
  <c r="G178" i="1" s="1"/>
  <c r="J178" i="1" s="1"/>
  <c r="Q178" i="1"/>
  <c r="K178" i="1"/>
  <c r="C179" i="1" s="1"/>
  <c r="H178" i="1"/>
  <c r="B399" i="2"/>
  <c r="A398" i="2"/>
  <c r="M178" i="1" l="1"/>
  <c r="B179" i="1"/>
  <c r="D179" i="1" s="1"/>
  <c r="O178" i="1"/>
  <c r="N178" i="1"/>
  <c r="P178" i="1"/>
  <c r="R178" i="1" s="1"/>
  <c r="L178" i="1"/>
  <c r="A399" i="2"/>
  <c r="B400" i="2"/>
  <c r="E179" i="1" l="1"/>
  <c r="H179" i="1" s="1"/>
  <c r="A400" i="2"/>
  <c r="B401" i="2"/>
  <c r="F179" i="1" l="1"/>
  <c r="G179" i="1" s="1"/>
  <c r="J179" i="1" s="1"/>
  <c r="Q179" i="1"/>
  <c r="K179" i="1"/>
  <c r="C180" i="1" s="1"/>
  <c r="A401" i="2"/>
  <c r="B402" i="2"/>
  <c r="N179" i="1" l="1"/>
  <c r="B180" i="1"/>
  <c r="M179" i="1"/>
  <c r="O179" i="1"/>
  <c r="P179" i="1"/>
  <c r="R179" i="1" s="1"/>
  <c r="L179" i="1"/>
  <c r="B403" i="2"/>
  <c r="A402" i="2"/>
  <c r="D180" i="1" l="1"/>
  <c r="A403" i="2"/>
  <c r="B404" i="2"/>
  <c r="E180" i="1" l="1"/>
  <c r="A404" i="2"/>
  <c r="B405" i="2"/>
  <c r="Q180" i="1" l="1"/>
  <c r="F180" i="1"/>
  <c r="G180" i="1" s="1"/>
  <c r="J180" i="1" s="1"/>
  <c r="H180" i="1"/>
  <c r="B406" i="2"/>
  <c r="A405" i="2"/>
  <c r="K180" i="1" l="1"/>
  <c r="C181" i="1" s="1"/>
  <c r="P180" i="1"/>
  <c r="O180" i="1"/>
  <c r="N180" i="1"/>
  <c r="B181" i="1"/>
  <c r="M180" i="1"/>
  <c r="B407" i="2"/>
  <c r="A406" i="2"/>
  <c r="L180" i="1" l="1"/>
  <c r="D181" i="1"/>
  <c r="R180" i="1"/>
  <c r="A407" i="2"/>
  <c r="B408" i="2"/>
  <c r="E181" i="1" l="1"/>
  <c r="A408" i="2"/>
  <c r="B409" i="2"/>
  <c r="F181" i="1" l="1"/>
  <c r="G181" i="1" s="1"/>
  <c r="J181" i="1" s="1"/>
  <c r="Q181" i="1"/>
  <c r="H181" i="1"/>
  <c r="A409" i="2"/>
  <c r="B410" i="2"/>
  <c r="K181" i="1" l="1"/>
  <c r="C182" i="1" s="1"/>
  <c r="P181" i="1"/>
  <c r="M181" i="1"/>
  <c r="B182" i="1"/>
  <c r="D182" i="1" s="1"/>
  <c r="N181" i="1"/>
  <c r="O181" i="1"/>
  <c r="L181" i="1"/>
  <c r="B411" i="2"/>
  <c r="A410" i="2"/>
  <c r="E182" i="1" l="1"/>
  <c r="H182" i="1" s="1"/>
  <c r="R181" i="1"/>
  <c r="A411" i="2"/>
  <c r="B412" i="2"/>
  <c r="F182" i="1" l="1"/>
  <c r="G182" i="1" s="1"/>
  <c r="J182" i="1" s="1"/>
  <c r="Q182" i="1"/>
  <c r="A412" i="2"/>
  <c r="B413" i="2"/>
  <c r="K182" i="1" l="1"/>
  <c r="C183" i="1" s="1"/>
  <c r="P182" i="1"/>
  <c r="B183" i="1"/>
  <c r="O182" i="1"/>
  <c r="N182" i="1"/>
  <c r="M182" i="1"/>
  <c r="L182" i="1"/>
  <c r="A413" i="2"/>
  <c r="B414" i="2"/>
  <c r="R182" i="1" l="1"/>
  <c r="D183" i="1"/>
  <c r="B415" i="2"/>
  <c r="A414" i="2"/>
  <c r="E183" i="1" l="1"/>
  <c r="A415" i="2"/>
  <c r="B416" i="2"/>
  <c r="Q183" i="1" l="1"/>
  <c r="F183" i="1"/>
  <c r="G183" i="1" s="1"/>
  <c r="J183" i="1" s="1"/>
  <c r="H183" i="1"/>
  <c r="A416" i="2"/>
  <c r="B417" i="2"/>
  <c r="K183" i="1" l="1"/>
  <c r="C184" i="1" s="1"/>
  <c r="M183" i="1"/>
  <c r="O183" i="1"/>
  <c r="B184" i="1"/>
  <c r="N183" i="1"/>
  <c r="P183" i="1"/>
  <c r="B418" i="2"/>
  <c r="A417" i="2"/>
  <c r="L183" i="1" l="1"/>
  <c r="R183" i="1"/>
  <c r="D184" i="1"/>
  <c r="B419" i="2"/>
  <c r="A418" i="2"/>
  <c r="E184" i="1" l="1"/>
  <c r="A419" i="2"/>
  <c r="B420" i="2"/>
  <c r="F184" i="1" l="1"/>
  <c r="G184" i="1" s="1"/>
  <c r="J184" i="1" s="1"/>
  <c r="Q184" i="1"/>
  <c r="K184" i="1"/>
  <c r="C185" i="1" s="1"/>
  <c r="H184" i="1"/>
  <c r="A420" i="2"/>
  <c r="B421" i="2"/>
  <c r="P184" i="1" l="1"/>
  <c r="O184" i="1"/>
  <c r="M184" i="1"/>
  <c r="N184" i="1"/>
  <c r="B185" i="1"/>
  <c r="D185" i="1" s="1"/>
  <c r="L184" i="1"/>
  <c r="A421" i="2"/>
  <c r="B422" i="2"/>
  <c r="E185" i="1" l="1"/>
  <c r="H185" i="1" s="1"/>
  <c r="R184" i="1"/>
  <c r="B423" i="2"/>
  <c r="A422" i="2"/>
  <c r="F185" i="1" l="1"/>
  <c r="G185" i="1" s="1"/>
  <c r="J185" i="1" s="1"/>
  <c r="Q185" i="1"/>
  <c r="K185" i="1"/>
  <c r="C186" i="1" s="1"/>
  <c r="A423" i="2"/>
  <c r="B424" i="2"/>
  <c r="P185" i="1" l="1"/>
  <c r="M185" i="1"/>
  <c r="O185" i="1"/>
  <c r="B186" i="1"/>
  <c r="N185" i="1"/>
  <c r="L185" i="1"/>
  <c r="A424" i="2"/>
  <c r="B425" i="2"/>
  <c r="R185" i="1" l="1"/>
  <c r="D186" i="1"/>
  <c r="A425" i="2"/>
  <c r="B426" i="2"/>
  <c r="E186" i="1" l="1"/>
  <c r="B427" i="2"/>
  <c r="A426" i="2"/>
  <c r="Q186" i="1" l="1"/>
  <c r="F186" i="1"/>
  <c r="G186" i="1" s="1"/>
  <c r="J186" i="1" s="1"/>
  <c r="H186" i="1"/>
  <c r="A427" i="2"/>
  <c r="B428" i="2"/>
  <c r="B187" i="1" l="1"/>
  <c r="P186" i="1"/>
  <c r="M186" i="1"/>
  <c r="O186" i="1"/>
  <c r="N186" i="1"/>
  <c r="K186" i="1"/>
  <c r="C187" i="1" s="1"/>
  <c r="A428" i="2"/>
  <c r="B429" i="2"/>
  <c r="L186" i="1" l="1"/>
  <c r="R186" i="1"/>
  <c r="D187" i="1"/>
  <c r="A429" i="2"/>
  <c r="B430" i="2"/>
  <c r="E187" i="1" l="1"/>
  <c r="B431" i="2"/>
  <c r="A430" i="2"/>
  <c r="F187" i="1" l="1"/>
  <c r="G187" i="1" s="1"/>
  <c r="J187" i="1" s="1"/>
  <c r="Q187" i="1"/>
  <c r="H187" i="1"/>
  <c r="A431" i="2"/>
  <c r="B432" i="2"/>
  <c r="K187" i="1" l="1"/>
  <c r="C188" i="1" s="1"/>
  <c r="P187" i="1"/>
  <c r="O187" i="1"/>
  <c r="M187" i="1"/>
  <c r="N187" i="1"/>
  <c r="B188" i="1"/>
  <c r="D188" i="1" s="1"/>
  <c r="L187" i="1"/>
  <c r="A432" i="2"/>
  <c r="B433" i="2"/>
  <c r="R187" i="1" l="1"/>
  <c r="E188" i="1"/>
  <c r="H188" i="1" s="1"/>
  <c r="A433" i="2"/>
  <c r="B434" i="2"/>
  <c r="F188" i="1" l="1"/>
  <c r="G188" i="1" s="1"/>
  <c r="J188" i="1" s="1"/>
  <c r="Q188" i="1"/>
  <c r="K188" i="1"/>
  <c r="C189" i="1" s="1"/>
  <c r="B435" i="2"/>
  <c r="A434" i="2"/>
  <c r="P188" i="1" l="1"/>
  <c r="M188" i="1"/>
  <c r="N188" i="1"/>
  <c r="O188" i="1"/>
  <c r="B189" i="1"/>
  <c r="L188" i="1"/>
  <c r="A435" i="2"/>
  <c r="B436" i="2"/>
  <c r="R188" i="1" l="1"/>
  <c r="D189" i="1"/>
  <c r="A436" i="2"/>
  <c r="B437" i="2"/>
  <c r="E189" i="1" l="1"/>
  <c r="A437" i="2"/>
  <c r="B438" i="2"/>
  <c r="Q189" i="1" l="1"/>
  <c r="F189" i="1"/>
  <c r="G189" i="1" s="1"/>
  <c r="J189" i="1" s="1"/>
  <c r="H189" i="1"/>
  <c r="B439" i="2"/>
  <c r="A438" i="2"/>
  <c r="M189" i="1" l="1"/>
  <c r="B190" i="1"/>
  <c r="O189" i="1"/>
  <c r="N189" i="1"/>
  <c r="P189" i="1"/>
  <c r="R189" i="1" s="1"/>
  <c r="K189" i="1"/>
  <c r="C190" i="1" s="1"/>
  <c r="A439" i="2"/>
  <c r="B440" i="2"/>
  <c r="L189" i="1" l="1"/>
  <c r="D190" i="1"/>
  <c r="A440" i="2"/>
  <c r="B441" i="2"/>
  <c r="E190" i="1" l="1"/>
  <c r="A441" i="2"/>
  <c r="B442" i="2"/>
  <c r="F190" i="1" l="1"/>
  <c r="G190" i="1" s="1"/>
  <c r="J190" i="1" s="1"/>
  <c r="Q190" i="1"/>
  <c r="K190" i="1"/>
  <c r="C191" i="1" s="1"/>
  <c r="H190" i="1"/>
  <c r="B443" i="2"/>
  <c r="A442" i="2"/>
  <c r="O190" i="1" l="1"/>
  <c r="N190" i="1"/>
  <c r="P190" i="1"/>
  <c r="B191" i="1"/>
  <c r="D191" i="1" s="1"/>
  <c r="M190" i="1"/>
  <c r="L190" i="1"/>
  <c r="A443" i="2"/>
  <c r="B444" i="2"/>
  <c r="E191" i="1" l="1"/>
  <c r="H191" i="1" s="1"/>
  <c r="R190" i="1"/>
  <c r="A444" i="2"/>
  <c r="B445" i="2"/>
  <c r="F191" i="1" l="1"/>
  <c r="G191" i="1" s="1"/>
  <c r="J191" i="1" s="1"/>
  <c r="Q191" i="1"/>
  <c r="K191" i="1"/>
  <c r="C192" i="1" s="1"/>
  <c r="A445" i="2"/>
  <c r="B446" i="2"/>
  <c r="O191" i="1" l="1"/>
  <c r="B192" i="1"/>
  <c r="M191" i="1"/>
  <c r="N191" i="1"/>
  <c r="P191" i="1"/>
  <c r="L191" i="1"/>
  <c r="B447" i="2"/>
  <c r="A446" i="2"/>
  <c r="R191" i="1" l="1"/>
  <c r="D192" i="1"/>
  <c r="A447" i="2"/>
  <c r="B448" i="2"/>
  <c r="E192" i="1" l="1"/>
  <c r="A448" i="2"/>
  <c r="B449" i="2"/>
  <c r="Q192" i="1" l="1"/>
  <c r="F192" i="1"/>
  <c r="G192" i="1" s="1"/>
  <c r="J192" i="1" s="1"/>
  <c r="H192" i="1"/>
  <c r="B450" i="2"/>
  <c r="A449" i="2"/>
  <c r="O192" i="1" l="1"/>
  <c r="P192" i="1"/>
  <c r="B193" i="1"/>
  <c r="M192" i="1"/>
  <c r="N192" i="1"/>
  <c r="K192" i="1"/>
  <c r="C193" i="1" s="1"/>
  <c r="B451" i="2"/>
  <c r="A450" i="2"/>
  <c r="L192" i="1" l="1"/>
  <c r="D193" i="1"/>
  <c r="R192" i="1"/>
  <c r="A451" i="2"/>
  <c r="B452" i="2"/>
  <c r="E193" i="1" l="1"/>
  <c r="A452" i="2"/>
  <c r="B453" i="2"/>
  <c r="F193" i="1" l="1"/>
  <c r="G193" i="1" s="1"/>
  <c r="J193" i="1" s="1"/>
  <c r="Q193" i="1"/>
  <c r="K193" i="1"/>
  <c r="C194" i="1" s="1"/>
  <c r="H193" i="1"/>
  <c r="A453" i="2"/>
  <c r="B454" i="2"/>
  <c r="O193" i="1" l="1"/>
  <c r="M193" i="1"/>
  <c r="N193" i="1"/>
  <c r="B194" i="1"/>
  <c r="D194" i="1" s="1"/>
  <c r="P193" i="1"/>
  <c r="L193" i="1"/>
  <c r="B455" i="2"/>
  <c r="A454" i="2"/>
  <c r="R193" i="1" l="1"/>
  <c r="E194" i="1"/>
  <c r="H194" i="1" s="1"/>
  <c r="A455" i="2"/>
  <c r="B456" i="2"/>
  <c r="F194" i="1" l="1"/>
  <c r="G194" i="1" s="1"/>
  <c r="J194" i="1" s="1"/>
  <c r="Q194" i="1"/>
  <c r="A456" i="2"/>
  <c r="B457" i="2"/>
  <c r="K194" i="1" l="1"/>
  <c r="C195" i="1" s="1"/>
  <c r="P194" i="1"/>
  <c r="M194" i="1"/>
  <c r="O194" i="1"/>
  <c r="B195" i="1"/>
  <c r="N194" i="1"/>
  <c r="L194" i="1"/>
  <c r="B458" i="2"/>
  <c r="A457" i="2"/>
  <c r="R194" i="1" l="1"/>
  <c r="D195" i="1"/>
  <c r="B459" i="2"/>
  <c r="A458" i="2"/>
  <c r="E195" i="1" l="1"/>
  <c r="A459" i="2"/>
  <c r="B460" i="2"/>
  <c r="Q195" i="1" l="1"/>
  <c r="F195" i="1"/>
  <c r="G195" i="1" s="1"/>
  <c r="J195" i="1" s="1"/>
  <c r="H195" i="1"/>
  <c r="A460" i="2"/>
  <c r="B461" i="2"/>
  <c r="K195" i="1" l="1"/>
  <c r="C196" i="1" s="1"/>
  <c r="P195" i="1"/>
  <c r="O195" i="1"/>
  <c r="N195" i="1"/>
  <c r="B196" i="1"/>
  <c r="M195" i="1"/>
  <c r="A461" i="2"/>
  <c r="B462" i="2"/>
  <c r="L195" i="1" l="1"/>
  <c r="R195" i="1"/>
  <c r="D196" i="1"/>
  <c r="B463" i="2"/>
  <c r="A462" i="2"/>
  <c r="E196" i="1" l="1"/>
  <c r="A463" i="2"/>
  <c r="B464" i="2"/>
  <c r="F196" i="1" l="1"/>
  <c r="G196" i="1" s="1"/>
  <c r="J196" i="1" s="1"/>
  <c r="Q196" i="1"/>
  <c r="K196" i="1"/>
  <c r="C197" i="1" s="1"/>
  <c r="H196" i="1"/>
  <c r="A464" i="2"/>
  <c r="B465" i="2"/>
  <c r="P196" i="1" l="1"/>
  <c r="M196" i="1"/>
  <c r="O196" i="1"/>
  <c r="N196" i="1"/>
  <c r="B197" i="1"/>
  <c r="D197" i="1" s="1"/>
  <c r="L196" i="1"/>
  <c r="A465" i="2"/>
  <c r="B466" i="2"/>
  <c r="E197" i="1" l="1"/>
  <c r="H197" i="1" s="1"/>
  <c r="R196" i="1"/>
  <c r="B467" i="2"/>
  <c r="A466" i="2"/>
  <c r="F197" i="1" l="1"/>
  <c r="G197" i="1" s="1"/>
  <c r="J197" i="1" s="1"/>
  <c r="Q197" i="1"/>
  <c r="K197" i="1"/>
  <c r="C198" i="1" s="1"/>
  <c r="A467" i="2"/>
  <c r="B468" i="2"/>
  <c r="P197" i="1" l="1"/>
  <c r="M197" i="1"/>
  <c r="B198" i="1"/>
  <c r="O197" i="1"/>
  <c r="N197" i="1"/>
  <c r="L197" i="1"/>
  <c r="A468" i="2"/>
  <c r="B469" i="2"/>
  <c r="R197" i="1" l="1"/>
  <c r="D198" i="1"/>
  <c r="B470" i="2"/>
  <c r="A469" i="2"/>
  <c r="E198" i="1" l="1"/>
  <c r="B471" i="2"/>
  <c r="A470" i="2"/>
  <c r="Q198" i="1" l="1"/>
  <c r="F198" i="1"/>
  <c r="G198" i="1" s="1"/>
  <c r="J198" i="1" s="1"/>
  <c r="H198" i="1"/>
  <c r="A471" i="2"/>
  <c r="B472" i="2"/>
  <c r="B199" i="1" l="1"/>
  <c r="P198" i="1"/>
  <c r="M198" i="1"/>
  <c r="N198" i="1"/>
  <c r="O198" i="1"/>
  <c r="K198" i="1"/>
  <c r="C199" i="1" s="1"/>
  <c r="A472" i="2"/>
  <c r="B473" i="2"/>
  <c r="L198" i="1" l="1"/>
  <c r="R198" i="1"/>
  <c r="D199" i="1"/>
  <c r="A473" i="2"/>
  <c r="B474" i="2"/>
  <c r="E199" i="1" l="1"/>
  <c r="B475" i="2"/>
  <c r="A474" i="2"/>
  <c r="F199" i="1" l="1"/>
  <c r="G199" i="1" s="1"/>
  <c r="J199" i="1" s="1"/>
  <c r="Q199" i="1"/>
  <c r="H199" i="1"/>
  <c r="A475" i="2"/>
  <c r="B476" i="2"/>
  <c r="K199" i="1" l="1"/>
  <c r="C200" i="1" s="1"/>
  <c r="P199" i="1"/>
  <c r="M199" i="1"/>
  <c r="N199" i="1"/>
  <c r="B200" i="1"/>
  <c r="D200" i="1" s="1"/>
  <c r="O199" i="1"/>
  <c r="A476" i="2"/>
  <c r="B477" i="2"/>
  <c r="L199" i="1" l="1"/>
  <c r="R199" i="1"/>
  <c r="E200" i="1"/>
  <c r="H200" i="1" s="1"/>
  <c r="A477" i="2"/>
  <c r="B478" i="2"/>
  <c r="F200" i="1" l="1"/>
  <c r="G200" i="1" s="1"/>
  <c r="J200" i="1" s="1"/>
  <c r="Q200" i="1"/>
  <c r="B479" i="2"/>
  <c r="A478" i="2"/>
  <c r="K200" i="1" l="1"/>
  <c r="C201" i="1" s="1"/>
  <c r="N200" i="1"/>
  <c r="B201" i="1"/>
  <c r="P200" i="1"/>
  <c r="M200" i="1"/>
  <c r="O200" i="1"/>
  <c r="A479" i="2"/>
  <c r="B480" i="2"/>
  <c r="L200" i="1" l="1"/>
  <c r="R200" i="1"/>
  <c r="D201" i="1"/>
  <c r="A480" i="2"/>
  <c r="B481" i="2"/>
  <c r="E201" i="1" l="1"/>
  <c r="B482" i="2"/>
  <c r="A481" i="2"/>
  <c r="Q201" i="1" l="1"/>
  <c r="F201" i="1"/>
  <c r="G201" i="1" s="1"/>
  <c r="J201" i="1" s="1"/>
  <c r="H201" i="1"/>
  <c r="B483" i="2"/>
  <c r="A482" i="2"/>
  <c r="K201" i="1" l="1"/>
  <c r="C202" i="1" s="1"/>
  <c r="O201" i="1"/>
  <c r="N201" i="1"/>
  <c r="B202" i="1"/>
  <c r="P201" i="1"/>
  <c r="M201" i="1"/>
  <c r="A483" i="2"/>
  <c r="B484" i="2"/>
  <c r="L201" i="1" l="1"/>
  <c r="R201" i="1"/>
  <c r="D202" i="1"/>
  <c r="A484" i="2"/>
  <c r="B485" i="2"/>
  <c r="E202" i="1" l="1"/>
  <c r="A485" i="2"/>
  <c r="B486" i="2"/>
  <c r="F202" i="1" l="1"/>
  <c r="G202" i="1" s="1"/>
  <c r="J202" i="1" s="1"/>
  <c r="Q202" i="1"/>
  <c r="K202" i="1"/>
  <c r="C203" i="1" s="1"/>
  <c r="H202" i="1"/>
  <c r="B487" i="2"/>
  <c r="A486" i="2"/>
  <c r="P202" i="1" l="1"/>
  <c r="M202" i="1"/>
  <c r="B203" i="1"/>
  <c r="D203" i="1" s="1"/>
  <c r="O202" i="1"/>
  <c r="N202" i="1"/>
  <c r="L202" i="1"/>
  <c r="A487" i="2"/>
  <c r="B488" i="2"/>
  <c r="E203" i="1" l="1"/>
  <c r="H203" i="1" s="1"/>
  <c r="R202" i="1"/>
  <c r="A488" i="2"/>
  <c r="B489" i="2"/>
  <c r="F203" i="1" l="1"/>
  <c r="G203" i="1" s="1"/>
  <c r="J203" i="1" s="1"/>
  <c r="Q203" i="1"/>
  <c r="A489" i="2"/>
  <c r="B490" i="2"/>
  <c r="K203" i="1" l="1"/>
  <c r="C204" i="1" s="1"/>
  <c r="M203" i="1"/>
  <c r="B204" i="1"/>
  <c r="O203" i="1"/>
  <c r="P203" i="1"/>
  <c r="N203" i="1"/>
  <c r="L203" i="1"/>
  <c r="B491" i="2"/>
  <c r="A490" i="2"/>
  <c r="R203" i="1" l="1"/>
  <c r="D204" i="1"/>
  <c r="A491" i="2"/>
  <c r="B492" i="2"/>
  <c r="E204" i="1" l="1"/>
  <c r="A492" i="2"/>
  <c r="B493" i="2"/>
  <c r="Q204" i="1" l="1"/>
  <c r="F204" i="1"/>
  <c r="G204" i="1" s="1"/>
  <c r="J204" i="1" s="1"/>
  <c r="H204" i="1"/>
  <c r="A493" i="2"/>
  <c r="B494" i="2"/>
  <c r="K204" i="1" l="1"/>
  <c r="C205" i="1" s="1"/>
  <c r="N204" i="1"/>
  <c r="B205" i="1"/>
  <c r="P204" i="1"/>
  <c r="O204" i="1"/>
  <c r="M204" i="1"/>
  <c r="B495" i="2"/>
  <c r="A494" i="2"/>
  <c r="L204" i="1" l="1"/>
  <c r="R204" i="1"/>
  <c r="D205" i="1"/>
  <c r="A495" i="2"/>
  <c r="B496" i="2"/>
  <c r="E205" i="1" l="1"/>
  <c r="A496" i="2"/>
  <c r="B497" i="2"/>
  <c r="F205" i="1" l="1"/>
  <c r="G205" i="1" s="1"/>
  <c r="J205" i="1" s="1"/>
  <c r="Q205" i="1"/>
  <c r="K205" i="1"/>
  <c r="C206" i="1" s="1"/>
  <c r="H205" i="1"/>
  <c r="A497" i="2"/>
  <c r="B498" i="2"/>
  <c r="B206" i="1" l="1"/>
  <c r="D206" i="1" s="1"/>
  <c r="M205" i="1"/>
  <c r="O205" i="1"/>
  <c r="N205" i="1"/>
  <c r="P205" i="1"/>
  <c r="L205" i="1"/>
  <c r="B499" i="2"/>
  <c r="A498" i="2"/>
  <c r="R205" i="1" l="1"/>
  <c r="E206" i="1"/>
  <c r="H206" i="1" s="1"/>
  <c r="A499" i="2"/>
  <c r="B500" i="2"/>
  <c r="F206" i="1" l="1"/>
  <c r="G206" i="1" s="1"/>
  <c r="J206" i="1" s="1"/>
  <c r="Q206" i="1"/>
  <c r="K206" i="1"/>
  <c r="C207" i="1" s="1"/>
  <c r="A500" i="2"/>
  <c r="B501" i="2"/>
  <c r="O206" i="1" l="1"/>
  <c r="B207" i="1"/>
  <c r="M206" i="1"/>
  <c r="P206" i="1"/>
  <c r="N206" i="1"/>
  <c r="L206" i="1"/>
  <c r="A501" i="2"/>
  <c r="B502" i="2"/>
  <c r="R206" i="1" l="1"/>
  <c r="D207" i="1"/>
  <c r="B503" i="2"/>
  <c r="A502" i="2"/>
  <c r="E207" i="1" l="1"/>
  <c r="A503" i="2"/>
  <c r="B504" i="2"/>
  <c r="Q207" i="1" l="1"/>
  <c r="F207" i="1"/>
  <c r="G207" i="1" s="1"/>
  <c r="J207" i="1" s="1"/>
  <c r="H207" i="1"/>
  <c r="A504" i="2"/>
  <c r="B505" i="2"/>
  <c r="B208" i="1" l="1"/>
  <c r="P207" i="1"/>
  <c r="N207" i="1"/>
  <c r="M207" i="1"/>
  <c r="O207" i="1"/>
  <c r="K207" i="1"/>
  <c r="C208" i="1" s="1"/>
  <c r="A505" i="2"/>
  <c r="B506" i="2"/>
  <c r="R207" i="1" l="1"/>
  <c r="L207" i="1"/>
  <c r="D208" i="1"/>
  <c r="B507" i="2"/>
  <c r="A506" i="2"/>
  <c r="E208" i="1" l="1"/>
  <c r="A507" i="2"/>
  <c r="B508" i="2"/>
  <c r="F208" i="1" l="1"/>
  <c r="G208" i="1" s="1"/>
  <c r="J208" i="1" s="1"/>
  <c r="Q208" i="1"/>
  <c r="H208" i="1"/>
  <c r="A508" i="2"/>
  <c r="B509" i="2"/>
  <c r="K208" i="1" l="1"/>
  <c r="C209" i="1" s="1"/>
  <c r="O208" i="1"/>
  <c r="N208" i="1"/>
  <c r="B209" i="1"/>
  <c r="D209" i="1" s="1"/>
  <c r="P208" i="1"/>
  <c r="M208" i="1"/>
  <c r="L208" i="1"/>
  <c r="A509" i="2"/>
  <c r="B510" i="2"/>
  <c r="R208" i="1" l="1"/>
  <c r="E209" i="1"/>
  <c r="H209" i="1" s="1"/>
  <c r="B511" i="2"/>
  <c r="A510" i="2"/>
  <c r="F209" i="1" l="1"/>
  <c r="G209" i="1" s="1"/>
  <c r="J209" i="1" s="1"/>
  <c r="Q209" i="1"/>
  <c r="A511" i="2"/>
  <c r="B512" i="2"/>
  <c r="K209" i="1" l="1"/>
  <c r="C210" i="1" s="1"/>
  <c r="M209" i="1"/>
  <c r="B210" i="1"/>
  <c r="P209" i="1"/>
  <c r="O209" i="1"/>
  <c r="N209" i="1"/>
  <c r="A512" i="2"/>
  <c r="B513" i="2"/>
  <c r="L209" i="1" l="1"/>
  <c r="R209" i="1"/>
  <c r="D210" i="1"/>
  <c r="B514" i="2"/>
  <c r="A513" i="2"/>
  <c r="E210" i="1" l="1"/>
  <c r="B515" i="2"/>
  <c r="A514" i="2"/>
  <c r="Q210" i="1" l="1"/>
  <c r="F210" i="1"/>
  <c r="G210" i="1" s="1"/>
  <c r="J210" i="1" s="1"/>
  <c r="H210" i="1"/>
  <c r="A515" i="2"/>
  <c r="B516" i="2"/>
  <c r="K210" i="1" l="1"/>
  <c r="C211" i="1" s="1"/>
  <c r="O210" i="1"/>
  <c r="B211" i="1"/>
  <c r="P210" i="1"/>
  <c r="M210" i="1"/>
  <c r="N210" i="1"/>
  <c r="A516" i="2"/>
  <c r="B517" i="2"/>
  <c r="L210" i="1" l="1"/>
  <c r="R210" i="1"/>
  <c r="D211" i="1"/>
  <c r="A517" i="2"/>
  <c r="B518" i="2"/>
  <c r="E211" i="1" l="1"/>
  <c r="B519" i="2"/>
  <c r="A518" i="2"/>
  <c r="F211" i="1" l="1"/>
  <c r="G211" i="1" s="1"/>
  <c r="J211" i="1" s="1"/>
  <c r="Q211" i="1"/>
  <c r="H211" i="1"/>
  <c r="A519" i="2"/>
  <c r="B520" i="2"/>
  <c r="K211" i="1" l="1"/>
  <c r="C212" i="1" s="1"/>
  <c r="N211" i="1"/>
  <c r="B212" i="1"/>
  <c r="D212" i="1" s="1"/>
  <c r="M211" i="1"/>
  <c r="O211" i="1"/>
  <c r="P211" i="1"/>
  <c r="A520" i="2"/>
  <c r="B521" i="2"/>
  <c r="L211" i="1" l="1"/>
  <c r="E212" i="1"/>
  <c r="H212" i="1" s="1"/>
  <c r="R211" i="1"/>
  <c r="A521" i="2"/>
  <c r="B522" i="2"/>
  <c r="F212" i="1" l="1"/>
  <c r="G212" i="1" s="1"/>
  <c r="J212" i="1" s="1"/>
  <c r="Q212" i="1"/>
  <c r="K212" i="1"/>
  <c r="C213" i="1" s="1"/>
  <c r="B523" i="2"/>
  <c r="A522" i="2"/>
  <c r="B213" i="1" l="1"/>
  <c r="M212" i="1"/>
  <c r="O212" i="1"/>
  <c r="P212" i="1"/>
  <c r="N212" i="1"/>
  <c r="L212" i="1"/>
  <c r="A523" i="2"/>
  <c r="B524" i="2"/>
  <c r="R212" i="1" l="1"/>
  <c r="D213" i="1"/>
  <c r="A524" i="2"/>
  <c r="B525" i="2"/>
  <c r="E213" i="1" l="1"/>
  <c r="A525" i="2"/>
  <c r="B526" i="2"/>
  <c r="Q213" i="1" l="1"/>
  <c r="F213" i="1"/>
  <c r="G213" i="1" s="1"/>
  <c r="J213" i="1" s="1"/>
  <c r="H213" i="1"/>
  <c r="B527" i="2"/>
  <c r="A526" i="2"/>
  <c r="K213" i="1" l="1"/>
  <c r="C214" i="1" s="1"/>
  <c r="M213" i="1"/>
  <c r="N213" i="1"/>
  <c r="O213" i="1"/>
  <c r="B214" i="1"/>
  <c r="P213" i="1"/>
  <c r="A527" i="2"/>
  <c r="B528" i="2"/>
  <c r="L213" i="1" l="1"/>
  <c r="R213" i="1"/>
  <c r="D214" i="1"/>
  <c r="A528" i="2"/>
  <c r="B529" i="2"/>
  <c r="E214" i="1" l="1"/>
  <c r="A529" i="2"/>
  <c r="B530" i="2"/>
  <c r="F214" i="1" l="1"/>
  <c r="G214" i="1" s="1"/>
  <c r="J214" i="1" s="1"/>
  <c r="Q214" i="1"/>
  <c r="H214" i="1"/>
  <c r="B531" i="2"/>
  <c r="A530" i="2"/>
  <c r="K214" i="1" l="1"/>
  <c r="C215" i="1" s="1"/>
  <c r="P214" i="1"/>
  <c r="M214" i="1"/>
  <c r="O214" i="1"/>
  <c r="B215" i="1"/>
  <c r="D215" i="1" s="1"/>
  <c r="N214" i="1"/>
  <c r="L214" i="1"/>
  <c r="A531" i="2"/>
  <c r="B532" i="2"/>
  <c r="E215" i="1" l="1"/>
  <c r="H215" i="1" s="1"/>
  <c r="R214" i="1"/>
  <c r="A532" i="2"/>
  <c r="B533" i="2"/>
  <c r="F215" i="1" l="1"/>
  <c r="G215" i="1" s="1"/>
  <c r="J215" i="1" s="1"/>
  <c r="Q215" i="1"/>
  <c r="A533" i="2"/>
  <c r="B534" i="2"/>
  <c r="K215" i="1" l="1"/>
  <c r="C216" i="1" s="1"/>
  <c r="M215" i="1"/>
  <c r="B216" i="1"/>
  <c r="P215" i="1"/>
  <c r="O215" i="1"/>
  <c r="N215" i="1"/>
  <c r="B535" i="2"/>
  <c r="A534" i="2"/>
  <c r="L215" i="1" l="1"/>
  <c r="R215" i="1"/>
  <c r="D216" i="1"/>
  <c r="A535" i="2"/>
  <c r="B536" i="2"/>
  <c r="E216" i="1" l="1"/>
  <c r="A536" i="2"/>
  <c r="B537" i="2"/>
  <c r="Q216" i="1" l="1"/>
  <c r="F216" i="1"/>
  <c r="G216" i="1" s="1"/>
  <c r="J216" i="1" s="1"/>
  <c r="H216" i="1"/>
  <c r="A537" i="2"/>
  <c r="B538" i="2"/>
  <c r="K216" i="1" l="1"/>
  <c r="C217" i="1" s="1"/>
  <c r="O216" i="1"/>
  <c r="N216" i="1"/>
  <c r="P216" i="1"/>
  <c r="M216" i="1"/>
  <c r="B217" i="1"/>
  <c r="B539" i="2"/>
  <c r="A538" i="2"/>
  <c r="L216" i="1" l="1"/>
  <c r="D217" i="1"/>
  <c r="R216" i="1"/>
  <c r="A539" i="2"/>
  <c r="B540" i="2"/>
  <c r="E217" i="1" l="1"/>
  <c r="A540" i="2"/>
  <c r="B541" i="2"/>
  <c r="F217" i="1" l="1"/>
  <c r="G217" i="1" s="1"/>
  <c r="J217" i="1" s="1"/>
  <c r="Q217" i="1"/>
  <c r="K217" i="1"/>
  <c r="C218" i="1" s="1"/>
  <c r="H217" i="1"/>
  <c r="A541" i="2"/>
  <c r="B542" i="2"/>
  <c r="M217" i="1" l="1"/>
  <c r="B218" i="1"/>
  <c r="D218" i="1" s="1"/>
  <c r="N217" i="1"/>
  <c r="O217" i="1"/>
  <c r="P217" i="1"/>
  <c r="R217" i="1" s="1"/>
  <c r="L217" i="1"/>
  <c r="B543" i="2"/>
  <c r="A542" i="2"/>
  <c r="E218" i="1" l="1"/>
  <c r="H218" i="1" s="1"/>
  <c r="A543" i="2"/>
  <c r="B544" i="2"/>
  <c r="F218" i="1" l="1"/>
  <c r="G218" i="1" s="1"/>
  <c r="J218" i="1" s="1"/>
  <c r="Q218" i="1"/>
  <c r="K218" i="1"/>
  <c r="C219" i="1" s="1"/>
  <c r="A544" i="2"/>
  <c r="B545" i="2"/>
  <c r="B219" i="1" l="1"/>
  <c r="N218" i="1"/>
  <c r="P218" i="1"/>
  <c r="M218" i="1"/>
  <c r="O218" i="1"/>
  <c r="L218" i="1"/>
  <c r="B546" i="2"/>
  <c r="A545" i="2"/>
  <c r="R218" i="1" l="1"/>
  <c r="D219" i="1"/>
  <c r="B547" i="2"/>
  <c r="A546" i="2"/>
  <c r="E219" i="1" l="1"/>
  <c r="A547" i="2"/>
  <c r="B548" i="2"/>
  <c r="Q219" i="1" l="1"/>
  <c r="F219" i="1"/>
  <c r="G219" i="1" s="1"/>
  <c r="J219" i="1" s="1"/>
  <c r="H219" i="1"/>
  <c r="A548" i="2"/>
  <c r="B549" i="2"/>
  <c r="P219" i="1" l="1"/>
  <c r="M219" i="1"/>
  <c r="B220" i="1"/>
  <c r="N219" i="1"/>
  <c r="O219" i="1"/>
  <c r="K219" i="1"/>
  <c r="C220" i="1" s="1"/>
  <c r="A549" i="2"/>
  <c r="B550" i="2"/>
  <c r="L219" i="1" l="1"/>
  <c r="D220" i="1"/>
  <c r="R219" i="1"/>
  <c r="B551" i="2"/>
  <c r="A550" i="2"/>
  <c r="E220" i="1" l="1"/>
  <c r="A551" i="2"/>
  <c r="B552" i="2"/>
  <c r="F220" i="1" l="1"/>
  <c r="G220" i="1" s="1"/>
  <c r="J220" i="1" s="1"/>
  <c r="Q220" i="1"/>
  <c r="K220" i="1"/>
  <c r="C221" i="1" s="1"/>
  <c r="H220" i="1"/>
  <c r="A552" i="2"/>
  <c r="B553" i="2"/>
  <c r="O220" i="1" l="1"/>
  <c r="N220" i="1"/>
  <c r="P220" i="1"/>
  <c r="M220" i="1"/>
  <c r="B221" i="1"/>
  <c r="D221" i="1" s="1"/>
  <c r="L220" i="1"/>
  <c r="A553" i="2"/>
  <c r="B554" i="2"/>
  <c r="E221" i="1" l="1"/>
  <c r="H221" i="1" s="1"/>
  <c r="R220" i="1"/>
  <c r="B555" i="2"/>
  <c r="A554" i="2"/>
  <c r="F221" i="1" l="1"/>
  <c r="G221" i="1" s="1"/>
  <c r="J221" i="1" s="1"/>
  <c r="Q221" i="1"/>
  <c r="A555" i="2"/>
  <c r="B556" i="2"/>
  <c r="K221" i="1" l="1"/>
  <c r="C222" i="1" s="1"/>
  <c r="P221" i="1"/>
  <c r="O221" i="1"/>
  <c r="M221" i="1"/>
  <c r="N221" i="1"/>
  <c r="B222" i="1"/>
  <c r="L221" i="1"/>
  <c r="A556" i="2"/>
  <c r="B557" i="2"/>
  <c r="R221" i="1" l="1"/>
  <c r="D222" i="1"/>
  <c r="A557" i="2"/>
  <c r="B558" i="2"/>
  <c r="E222" i="1" l="1"/>
  <c r="B559" i="2"/>
  <c r="A558" i="2"/>
  <c r="Q222" i="1" l="1"/>
  <c r="F222" i="1"/>
  <c r="G222" i="1" s="1"/>
  <c r="J222" i="1" s="1"/>
  <c r="H222" i="1"/>
  <c r="A559" i="2"/>
  <c r="B560" i="2"/>
  <c r="K222" i="1" l="1"/>
  <c r="C223" i="1" s="1"/>
  <c r="P222" i="1"/>
  <c r="M222" i="1"/>
  <c r="B223" i="1"/>
  <c r="O222" i="1"/>
  <c r="N222" i="1"/>
  <c r="A560" i="2"/>
  <c r="B561" i="2"/>
  <c r="L222" i="1" l="1"/>
  <c r="R222" i="1"/>
  <c r="D223" i="1"/>
  <c r="A561" i="2"/>
  <c r="B562" i="2"/>
  <c r="E223" i="1" l="1"/>
  <c r="B563" i="2"/>
  <c r="A562" i="2"/>
  <c r="F223" i="1" l="1"/>
  <c r="G223" i="1" s="1"/>
  <c r="J223" i="1" s="1"/>
  <c r="Q223" i="1"/>
  <c r="H223" i="1"/>
  <c r="A563" i="2"/>
  <c r="B564" i="2"/>
  <c r="K223" i="1" l="1"/>
  <c r="C224" i="1" s="1"/>
  <c r="M223" i="1"/>
  <c r="P223" i="1"/>
  <c r="N223" i="1"/>
  <c r="B224" i="1"/>
  <c r="D224" i="1" s="1"/>
  <c r="O223" i="1"/>
  <c r="A564" i="2"/>
  <c r="B565" i="2"/>
  <c r="L223" i="1" l="1"/>
  <c r="R223" i="1"/>
  <c r="E224" i="1"/>
  <c r="H224" i="1" s="1"/>
  <c r="B566" i="2"/>
  <c r="A565" i="2"/>
  <c r="F224" i="1" l="1"/>
  <c r="G224" i="1" s="1"/>
  <c r="J224" i="1" s="1"/>
  <c r="B225" i="1" s="1"/>
  <c r="Q224" i="1"/>
  <c r="B567" i="2"/>
  <c r="A566" i="2"/>
  <c r="K224" i="1" l="1"/>
  <c r="C225" i="1" s="1"/>
  <c r="N224" i="1"/>
  <c r="P224" i="1"/>
  <c r="O224" i="1"/>
  <c r="M224" i="1"/>
  <c r="A567" i="2"/>
  <c r="B568" i="2"/>
  <c r="D225" i="1" l="1"/>
  <c r="L224" i="1"/>
  <c r="R224" i="1"/>
  <c r="A568" i="2"/>
  <c r="B569" i="2"/>
  <c r="E225" i="1" l="1"/>
  <c r="A569" i="2"/>
  <c r="B570" i="2"/>
  <c r="F225" i="1" l="1"/>
  <c r="G225" i="1" s="1"/>
  <c r="J225" i="1" s="1"/>
  <c r="Q225" i="1"/>
  <c r="K225" i="1"/>
  <c r="H225" i="1"/>
  <c r="B571" i="2"/>
  <c r="A570" i="2"/>
  <c r="L225" i="1" l="1"/>
  <c r="M225" i="1"/>
  <c r="N225" i="1"/>
  <c r="O225" i="1"/>
  <c r="P225" i="1"/>
  <c r="A571" i="2"/>
  <c r="B572" i="2"/>
  <c r="R225" i="1" l="1"/>
  <c r="A572" i="2"/>
  <c r="B573" i="2"/>
  <c r="A573" i="2" l="1"/>
  <c r="B574" i="2"/>
  <c r="B575" i="2" l="1"/>
  <c r="A574" i="2"/>
  <c r="A575" i="2" l="1"/>
  <c r="B576" i="2"/>
  <c r="A576" i="2" l="1"/>
  <c r="B577" i="2"/>
  <c r="B578" i="2" l="1"/>
  <c r="A577" i="2"/>
  <c r="B579" i="2" l="1"/>
  <c r="A578" i="2"/>
  <c r="A579" i="2" l="1"/>
  <c r="B580" i="2"/>
  <c r="A580" i="2" l="1"/>
  <c r="B581" i="2"/>
  <c r="A581" i="2" l="1"/>
  <c r="B582" i="2"/>
  <c r="B583" i="2" l="1"/>
  <c r="A582" i="2"/>
  <c r="A583" i="2" l="1"/>
  <c r="B584" i="2"/>
  <c r="A584" i="2" l="1"/>
  <c r="B585" i="2"/>
  <c r="A585" i="2" l="1"/>
  <c r="B586" i="2"/>
  <c r="B587" i="2" l="1"/>
  <c r="A586" i="2"/>
  <c r="A587" i="2" l="1"/>
  <c r="B588" i="2"/>
  <c r="A588" i="2" l="1"/>
  <c r="B589" i="2"/>
  <c r="A589" i="2" l="1"/>
  <c r="B590" i="2"/>
  <c r="B591" i="2" l="1"/>
  <c r="A590" i="2"/>
  <c r="A591" i="2" l="1"/>
  <c r="B592" i="2"/>
  <c r="A592" i="2" l="1"/>
  <c r="B593" i="2"/>
  <c r="A593" i="2" l="1"/>
  <c r="B594" i="2"/>
  <c r="B595" i="2" l="1"/>
  <c r="A594" i="2"/>
  <c r="A595" i="2" l="1"/>
  <c r="B596" i="2"/>
  <c r="A596" i="2" l="1"/>
  <c r="B597" i="2"/>
  <c r="A597" i="2" l="1"/>
  <c r="B598" i="2"/>
  <c r="B599" i="2" l="1"/>
  <c r="A598" i="2"/>
  <c r="A599" i="2" l="1"/>
  <c r="B600" i="2"/>
  <c r="A600" i="2" l="1"/>
  <c r="B601" i="2"/>
  <c r="A601" i="2" l="1"/>
  <c r="B602" i="2"/>
  <c r="A602" i="2" s="1"/>
  <c r="Q21" i="1" l="1"/>
  <c r="K21" i="1"/>
  <c r="H21" i="1"/>
  <c r="F21" i="1" l="1"/>
  <c r="G21" i="1" l="1"/>
  <c r="L21" i="1" l="1"/>
  <c r="M21" i="1"/>
  <c r="N21" i="1"/>
  <c r="O21" i="1"/>
  <c r="O23" i="1" s="1"/>
  <c r="J21" i="1"/>
  <c r="R21" i="1" l="1"/>
  <c r="P21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Larry Snyder</author>
  </authors>
  <commentList>
    <comment ref="N20" authorId="0" shapeId="0" xr:uid="{00000000-0006-0000-0100-000001000000}">
      <text>
        <r>
          <rPr>
            <b/>
            <sz val="9"/>
            <color indexed="81"/>
            <rFont val="Calibri"/>
            <family val="2"/>
          </rPr>
          <t>Larry Snyder:</t>
        </r>
        <r>
          <rPr>
            <sz val="9"/>
            <color indexed="81"/>
            <rFont val="Calibri"/>
            <family val="2"/>
          </rPr>
          <t xml:space="preserve">
NOTE: this is P(no stockout) in 1 period, not P(no stockout) in 1 order cycle. (Only different if R&gt;1.)</t>
        </r>
      </text>
    </comment>
  </commentList>
</comments>
</file>

<file path=xl/sharedStrings.xml><?xml version="1.0" encoding="utf-8"?>
<sst xmlns="http://schemas.openxmlformats.org/spreadsheetml/2006/main" count="85" uniqueCount="76">
  <si>
    <t>INPUTS</t>
  </si>
  <si>
    <t>LT mean</t>
  </si>
  <si>
    <t>LT SD</t>
  </si>
  <si>
    <t>SL constraint %</t>
  </si>
  <si>
    <t>ignored in the optimization</t>
  </si>
  <si>
    <t>OPTIMAL INVENTORY POLICY</t>
  </si>
  <si>
    <t>intermediate calculations</t>
  </si>
  <si>
    <t>mean LTD</t>
  </si>
  <si>
    <t>SD LTD</t>
  </si>
  <si>
    <t>SIMULATION</t>
  </si>
  <si>
    <t>Period</t>
  </si>
  <si>
    <t>Starting IL</t>
  </si>
  <si>
    <t>Starting OO</t>
  </si>
  <si>
    <t>Order Qty</t>
  </si>
  <si>
    <t>Shipment Rec'd</t>
  </si>
  <si>
    <t>Demand</t>
  </si>
  <si>
    <t>Ending IL</t>
  </si>
  <si>
    <t>Ending OO</t>
  </si>
  <si>
    <t>Holding Cost</t>
  </si>
  <si>
    <t>E[holding cost]</t>
  </si>
  <si>
    <t>z</t>
  </si>
  <si>
    <t>L(z)</t>
  </si>
  <si>
    <t>Starting IP</t>
  </si>
  <si>
    <t>Demand mean</t>
  </si>
  <si>
    <t>Demand SD</t>
  </si>
  <si>
    <t>Review period</t>
  </si>
  <si>
    <t>Min order qty</t>
  </si>
  <si>
    <t>Incr order qty</t>
  </si>
  <si>
    <t>Holding cost</t>
  </si>
  <si>
    <t>CR constraint</t>
  </si>
  <si>
    <t>FR constraint</t>
  </si>
  <si>
    <t>Base stock level</t>
  </si>
  <si>
    <t>Cycle stock</t>
  </si>
  <si>
    <t>Safety stock</t>
  </si>
  <si>
    <t>Reorder point</t>
  </si>
  <si>
    <t>OUTPUTS</t>
  </si>
  <si>
    <t># Stockouts</t>
  </si>
  <si>
    <t>Cycle SL</t>
  </si>
  <si>
    <t>Fill Rate</t>
  </si>
  <si>
    <t>Avg. Holding Cost</t>
  </si>
  <si>
    <t>Stockout?</t>
  </si>
  <si>
    <t>E[cycle SL]</t>
  </si>
  <si>
    <t>E[fill rate]</t>
  </si>
  <si>
    <t>L(z) to look up</t>
  </si>
  <si>
    <t>corresponding z</t>
  </si>
  <si>
    <t>Avg. Demand</t>
  </si>
  <si>
    <t>Avg. Ending IL</t>
  </si>
  <si>
    <t>Mid IL</t>
  </si>
  <si>
    <t>Row Labels</t>
  </si>
  <si>
    <t>Grand Total</t>
  </si>
  <si>
    <t>Values</t>
  </si>
  <si>
    <t>Average of # Stockouts</t>
  </si>
  <si>
    <t>(Multiple Items)</t>
  </si>
  <si>
    <t>Count of Period</t>
  </si>
  <si>
    <t>Demand distrib</t>
  </si>
  <si>
    <t>(N)ormal, (P)oisson</t>
  </si>
  <si>
    <t>Avg. Mid IL</t>
  </si>
  <si>
    <t>Avg. Shipment Rec'd</t>
  </si>
  <si>
    <t>Avg. # Stockouts</t>
  </si>
  <si>
    <t>(days)</t>
  </si>
  <si>
    <t>(per day)</t>
  </si>
  <si>
    <t>Stockout cost</t>
  </si>
  <si>
    <t>Stockout Cost</t>
  </si>
  <si>
    <t>Total Cost</t>
  </si>
  <si>
    <t>Avg. Stockout Cost</t>
  </si>
  <si>
    <t>Avg. Total Cost</t>
  </si>
  <si>
    <t>N</t>
  </si>
  <si>
    <t>NOTE: assumes LT mean &lt;= 100, LT SD = 0</t>
  </si>
  <si>
    <t>Fixed Cost</t>
  </si>
  <si>
    <t>Avg. Fixed Cost</t>
  </si>
  <si>
    <t>Avg. Mid IP</t>
  </si>
  <si>
    <t>Mid IP</t>
  </si>
  <si>
    <t>Avg. Ending IP</t>
  </si>
  <si>
    <t>Avg. Ending OO</t>
  </si>
  <si>
    <t>Ending IP</t>
  </si>
  <si>
    <t>ignored in the optimization and simulation (i.e., not used at all)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</si>
</sst>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&quot;$&quot;#,##0.00"/>
    <numFmt numFmtId="165" formatCode="0.000"/>
    <numFmt numFmtId="166" formatCode="0.0%"/>
  </numFmts>
  <fonts count="1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u/>
      <sz val="12"/>
      <color theme="10"/>
      <name val="Calibri"/>
      <family val="2"/>
      <charset val="136"/>
      <scheme val="minor"/>
    </font>
    <font>
      <u/>
      <sz val="12"/>
      <color theme="11"/>
      <name val="Calibri"/>
      <family val="2"/>
      <charset val="136"/>
      <scheme val="minor"/>
    </font>
    <font>
      <b/>
      <sz val="12"/>
      <color theme="0"/>
      <name val="Calibri"/>
      <family val="2"/>
      <charset val="136"/>
      <scheme val="minor"/>
    </font>
    <font>
      <sz val="12"/>
      <color rgb="FFFF0000"/>
      <name val="Calibri"/>
      <family val="2"/>
      <charset val="136"/>
      <scheme val="minor"/>
    </font>
    <font>
      <b/>
      <sz val="12"/>
      <color theme="1"/>
      <name val="Calibri"/>
      <family val="2"/>
      <charset val="136"/>
      <scheme val="minor"/>
    </font>
    <font>
      <i/>
      <sz val="12"/>
      <color theme="1"/>
      <name val="Calibri"/>
      <scheme val="minor"/>
    </font>
    <font>
      <sz val="9"/>
      <color indexed="81"/>
      <name val="Calibri"/>
      <family val="2"/>
    </font>
    <font>
      <b/>
      <sz val="9"/>
      <color indexed="81"/>
      <name val="Calibri"/>
      <family val="2"/>
    </font>
    <font>
      <sz val="12"/>
      <color rgb="FF000000"/>
      <name val="Lucida Grande"/>
      <family val="2"/>
    </font>
  </fonts>
  <fills count="8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59999389629810485"/>
        <bgColor indexed="64"/>
      </patternFill>
    </fill>
  </fills>
  <borders count="1">
    <border>
      <left/>
      <right/>
      <top/>
      <bottom/>
      <diagonal/>
    </border>
  </borders>
  <cellStyleXfs count="148">
    <xf numFmtId="0" fontId="0" fillId="0" borderId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9" fontId="1" fillId="0" borderId="0" applyFon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</cellStyleXfs>
  <cellXfs count="29">
    <xf numFmtId="0" fontId="0" fillId="0" borderId="0" xfId="0"/>
    <xf numFmtId="0" fontId="0" fillId="0" borderId="0" xfId="0" applyAlignment="1">
      <alignment horizontal="center"/>
    </xf>
    <xf numFmtId="0" fontId="0" fillId="2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0" fillId="0" borderId="0" xfId="0" applyAlignment="1"/>
    <xf numFmtId="0" fontId="4" fillId="4" borderId="0" xfId="0" applyFont="1" applyFill="1"/>
    <xf numFmtId="0" fontId="4" fillId="5" borderId="0" xfId="0" applyFont="1" applyFill="1"/>
    <xf numFmtId="164" fontId="0" fillId="0" borderId="0" xfId="0" applyNumberFormat="1" applyAlignment="1">
      <alignment horizontal="center"/>
    </xf>
    <xf numFmtId="164" fontId="0" fillId="3" borderId="0" xfId="0" applyNumberFormat="1" applyFill="1" applyAlignment="1">
      <alignment horizontal="center"/>
    </xf>
    <xf numFmtId="164" fontId="0" fillId="2" borderId="0" xfId="0" applyNumberFormat="1" applyFill="1" applyAlignment="1">
      <alignment horizontal="center"/>
    </xf>
    <xf numFmtId="0" fontId="6" fillId="0" borderId="0" xfId="0" applyFont="1"/>
    <xf numFmtId="0" fontId="6" fillId="0" borderId="0" xfId="0" applyFont="1" applyAlignment="1">
      <alignment horizontal="center"/>
    </xf>
    <xf numFmtId="165" fontId="0" fillId="0" borderId="0" xfId="0" applyNumberFormat="1" applyAlignment="1">
      <alignment horizontal="center"/>
    </xf>
    <xf numFmtId="2" fontId="0" fillId="0" borderId="0" xfId="0" applyNumberFormat="1" applyAlignment="1">
      <alignment horizontal="center"/>
    </xf>
    <xf numFmtId="0" fontId="4" fillId="6" borderId="0" xfId="0" applyFont="1" applyFill="1"/>
    <xf numFmtId="0" fontId="7" fillId="0" borderId="0" xfId="0" applyFont="1"/>
    <xf numFmtId="0" fontId="0" fillId="7" borderId="0" xfId="0" applyFill="1"/>
    <xf numFmtId="0" fontId="4" fillId="7" borderId="0" xfId="0" applyFont="1" applyFill="1" applyAlignment="1">
      <alignment horizontal="left"/>
    </xf>
    <xf numFmtId="2" fontId="0" fillId="3" borderId="0" xfId="0" applyNumberFormat="1" applyFill="1" applyAlignment="1">
      <alignment horizontal="center"/>
    </xf>
    <xf numFmtId="2" fontId="0" fillId="2" borderId="0" xfId="0" applyNumberFormat="1" applyFill="1" applyAlignment="1">
      <alignment horizontal="center"/>
    </xf>
    <xf numFmtId="0" fontId="0" fillId="0" borderId="0" xfId="0" applyNumberFormat="1"/>
    <xf numFmtId="0" fontId="5" fillId="0" borderId="0" xfId="0" applyFont="1"/>
    <xf numFmtId="0" fontId="0" fillId="0" borderId="0" xfId="0" applyNumberFormat="1" applyAlignment="1">
      <alignment horizontal="center"/>
    </xf>
    <xf numFmtId="0" fontId="6" fillId="0" borderId="0" xfId="0" applyFont="1" applyAlignment="1"/>
    <xf numFmtId="2" fontId="0" fillId="0" borderId="0" xfId="0" applyNumberFormat="1" applyAlignment="1">
      <alignment horizontal="left"/>
    </xf>
    <xf numFmtId="0" fontId="0" fillId="0" borderId="0" xfId="0" pivotButton="1"/>
    <xf numFmtId="166" fontId="0" fillId="0" borderId="0" xfId="93" applyNumberFormat="1" applyFont="1"/>
    <xf numFmtId="166" fontId="0" fillId="0" borderId="0" xfId="93" applyNumberFormat="1" applyFont="1" applyAlignment="1">
      <alignment horizontal="center"/>
    </xf>
    <xf numFmtId="164" fontId="0" fillId="0" borderId="0" xfId="0" applyNumberFormat="1" applyFill="1" applyAlignment="1">
      <alignment horizontal="center"/>
    </xf>
  </cellXfs>
  <cellStyles count="148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6" builtinId="9" hidden="1"/>
    <cellStyle name="Followed Hyperlink" xfId="58" builtinId="9" hidden="1"/>
    <cellStyle name="Followed Hyperlink" xfId="60" builtinId="9" hidden="1"/>
    <cellStyle name="Followed Hyperlink" xfId="62" builtinId="9" hidden="1"/>
    <cellStyle name="Followed Hyperlink" xfId="64" builtinId="9" hidden="1"/>
    <cellStyle name="Followed Hyperlink" xfId="66" builtinId="9" hidden="1"/>
    <cellStyle name="Followed Hyperlink" xfId="68" builtinId="9" hidden="1"/>
    <cellStyle name="Followed Hyperlink" xfId="70" builtinId="9" hidden="1"/>
    <cellStyle name="Followed Hyperlink" xfId="72" builtinId="9" hidden="1"/>
    <cellStyle name="Followed Hyperlink" xfId="74" builtinId="9" hidden="1"/>
    <cellStyle name="Followed Hyperlink" xfId="76" builtinId="9" hidden="1"/>
    <cellStyle name="Followed Hyperlink" xfId="78" builtinId="9" hidden="1"/>
    <cellStyle name="Followed Hyperlink" xfId="80" builtinId="9" hidden="1"/>
    <cellStyle name="Followed Hyperlink" xfId="82" builtinId="9" hidden="1"/>
    <cellStyle name="Followed Hyperlink" xfId="84" builtinId="9" hidden="1"/>
    <cellStyle name="Followed Hyperlink" xfId="86" builtinId="9" hidden="1"/>
    <cellStyle name="Followed Hyperlink" xfId="88" builtinId="9" hidden="1"/>
    <cellStyle name="Followed Hyperlink" xfId="90" builtinId="9" hidden="1"/>
    <cellStyle name="Followed Hyperlink" xfId="92" builtinId="9" hidden="1"/>
    <cellStyle name="Followed Hyperlink" xfId="95" builtinId="9" hidden="1"/>
    <cellStyle name="Followed Hyperlink" xfId="97" builtinId="9" hidden="1"/>
    <cellStyle name="Followed Hyperlink" xfId="99" builtinId="9" hidden="1"/>
    <cellStyle name="Followed Hyperlink" xfId="101" builtinId="9" hidden="1"/>
    <cellStyle name="Followed Hyperlink" xfId="103" builtinId="9" hidden="1"/>
    <cellStyle name="Followed Hyperlink" xfId="105" builtinId="9" hidden="1"/>
    <cellStyle name="Followed Hyperlink" xfId="107" builtinId="9" hidden="1"/>
    <cellStyle name="Followed Hyperlink" xfId="109" builtinId="9" hidden="1"/>
    <cellStyle name="Followed Hyperlink" xfId="111" builtinId="9" hidden="1"/>
    <cellStyle name="Followed Hyperlink" xfId="113" builtinId="9" hidden="1"/>
    <cellStyle name="Followed Hyperlink" xfId="115" builtinId="9" hidden="1"/>
    <cellStyle name="Followed Hyperlink" xfId="117" builtinId="9" hidden="1"/>
    <cellStyle name="Followed Hyperlink" xfId="119" builtinId="9" hidden="1"/>
    <cellStyle name="Followed Hyperlink" xfId="121" builtinId="9" hidden="1"/>
    <cellStyle name="Followed Hyperlink" xfId="123" builtinId="9" hidden="1"/>
    <cellStyle name="Followed Hyperlink" xfId="125" builtinId="9" hidden="1"/>
    <cellStyle name="Followed Hyperlink" xfId="127" builtinId="9" hidden="1"/>
    <cellStyle name="Followed Hyperlink" xfId="129" builtinId="9" hidden="1"/>
    <cellStyle name="Followed Hyperlink" xfId="131" builtinId="9" hidden="1"/>
    <cellStyle name="Followed Hyperlink" xfId="133" builtinId="9" hidden="1"/>
    <cellStyle name="Followed Hyperlink" xfId="135" builtinId="9" hidden="1"/>
    <cellStyle name="Followed Hyperlink" xfId="137" builtinId="9" hidden="1"/>
    <cellStyle name="Followed Hyperlink" xfId="139" builtinId="9" hidden="1"/>
    <cellStyle name="Followed Hyperlink" xfId="141" builtinId="9" hidden="1"/>
    <cellStyle name="Followed Hyperlink" xfId="143" builtinId="9" hidden="1"/>
    <cellStyle name="Followed Hyperlink" xfId="145" builtinId="9" hidden="1"/>
    <cellStyle name="Followed Hyperlink" xfId="147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Hyperlink" xfId="59" builtinId="8" hidden="1"/>
    <cellStyle name="Hyperlink" xfId="61" builtinId="8" hidden="1"/>
    <cellStyle name="Hyperlink" xfId="63" builtinId="8" hidden="1"/>
    <cellStyle name="Hyperlink" xfId="65" builtinId="8" hidden="1"/>
    <cellStyle name="Hyperlink" xfId="67" builtinId="8" hidden="1"/>
    <cellStyle name="Hyperlink" xfId="69" builtinId="8" hidden="1"/>
    <cellStyle name="Hyperlink" xfId="71" builtinId="8" hidden="1"/>
    <cellStyle name="Hyperlink" xfId="73" builtinId="8" hidden="1"/>
    <cellStyle name="Hyperlink" xfId="75" builtinId="8" hidden="1"/>
    <cellStyle name="Hyperlink" xfId="77" builtinId="8" hidden="1"/>
    <cellStyle name="Hyperlink" xfId="79" builtinId="8" hidden="1"/>
    <cellStyle name="Hyperlink" xfId="81" builtinId="8" hidden="1"/>
    <cellStyle name="Hyperlink" xfId="83" builtinId="8" hidden="1"/>
    <cellStyle name="Hyperlink" xfId="85" builtinId="8" hidden="1"/>
    <cellStyle name="Hyperlink" xfId="87" builtinId="8" hidden="1"/>
    <cellStyle name="Hyperlink" xfId="89" builtinId="8" hidden="1"/>
    <cellStyle name="Hyperlink" xfId="91" builtinId="8" hidden="1"/>
    <cellStyle name="Hyperlink" xfId="94" builtinId="8" hidden="1"/>
    <cellStyle name="Hyperlink" xfId="96" builtinId="8" hidden="1"/>
    <cellStyle name="Hyperlink" xfId="98" builtinId="8" hidden="1"/>
    <cellStyle name="Hyperlink" xfId="100" builtinId="8" hidden="1"/>
    <cellStyle name="Hyperlink" xfId="102" builtinId="8" hidden="1"/>
    <cellStyle name="Hyperlink" xfId="104" builtinId="8" hidden="1"/>
    <cellStyle name="Hyperlink" xfId="106" builtinId="8" hidden="1"/>
    <cellStyle name="Hyperlink" xfId="108" builtinId="8" hidden="1"/>
    <cellStyle name="Hyperlink" xfId="110" builtinId="8" hidden="1"/>
    <cellStyle name="Hyperlink" xfId="112" builtinId="8" hidden="1"/>
    <cellStyle name="Hyperlink" xfId="114" builtinId="8" hidden="1"/>
    <cellStyle name="Hyperlink" xfId="116" builtinId="8" hidden="1"/>
    <cellStyle name="Hyperlink" xfId="118" builtinId="8" hidden="1"/>
    <cellStyle name="Hyperlink" xfId="120" builtinId="8" hidden="1"/>
    <cellStyle name="Hyperlink" xfId="122" builtinId="8" hidden="1"/>
    <cellStyle name="Hyperlink" xfId="124" builtinId="8" hidden="1"/>
    <cellStyle name="Hyperlink" xfId="126" builtinId="8" hidden="1"/>
    <cellStyle name="Hyperlink" xfId="128" builtinId="8" hidden="1"/>
    <cellStyle name="Hyperlink" xfId="130" builtinId="8" hidden="1"/>
    <cellStyle name="Hyperlink" xfId="132" builtinId="8" hidden="1"/>
    <cellStyle name="Hyperlink" xfId="134" builtinId="8" hidden="1"/>
    <cellStyle name="Hyperlink" xfId="136" builtinId="8" hidden="1"/>
    <cellStyle name="Hyperlink" xfId="138" builtinId="8" hidden="1"/>
    <cellStyle name="Hyperlink" xfId="140" builtinId="8" hidden="1"/>
    <cellStyle name="Hyperlink" xfId="142" builtinId="8" hidden="1"/>
    <cellStyle name="Hyperlink" xfId="144" builtinId="8" hidden="1"/>
    <cellStyle name="Hyperlink" xfId="146" builtinId="8" hidden="1"/>
    <cellStyle name="Normal" xfId="0" builtinId="0"/>
    <cellStyle name="Percent" xfId="93" builtinId="5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pivotCacheDefinition" Target="pivotCache/pivotCacheDefinition1.xml"/><Relationship Id="rId10" Type="http://schemas.microsoft.com/office/2006/relationships/vbaProject" Target="vbaProject.bin"/><Relationship Id="rId4" Type="http://schemas.openxmlformats.org/officeDocument/2006/relationships/externalLink" Target="externalLinks/externalLink1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15</xdr:row>
          <xdr:rowOff>38100</xdr:rowOff>
        </xdr:from>
        <xdr:to>
          <xdr:col>7</xdr:col>
          <xdr:colOff>12700</xdr:colOff>
          <xdr:row>16</xdr:row>
          <xdr:rowOff>152400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 pitchFamily="2" charset="0"/>
                  <a:cs typeface="Lucida Grande" pitchFamily="2" charset="0"/>
                </a:rPr>
                <a:t>Generate Random Demands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larry/Dropbox/Opex/United/Skellam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df"/>
      <sheetName val="fill rate"/>
      <sheetName val="test"/>
    </sheetNames>
    <sheetDataSet>
      <sheetData sheetId="0"/>
      <sheetData sheetId="1">
        <row r="22">
          <cell r="Y22">
            <v>-123</v>
          </cell>
          <cell r="Z22">
            <v>2.3780638203850304E-11</v>
          </cell>
          <cell r="AA22">
            <v>100</v>
          </cell>
          <cell r="AB22">
            <v>2.3780638203850303E-9</v>
          </cell>
          <cell r="AC22">
            <v>100</v>
          </cell>
          <cell r="AD22">
            <v>2.3780638203850303E-9</v>
          </cell>
        </row>
        <row r="23">
          <cell r="Y23">
            <v>-122</v>
          </cell>
          <cell r="Z23">
            <v>2.9829848156637737E-11</v>
          </cell>
          <cell r="AA23">
            <v>100</v>
          </cell>
          <cell r="AB23">
            <v>2.9829848156637736E-9</v>
          </cell>
          <cell r="AC23">
            <v>100</v>
          </cell>
          <cell r="AD23">
            <v>2.9829848156637736E-9</v>
          </cell>
        </row>
        <row r="24">
          <cell r="Y24">
            <v>-121</v>
          </cell>
          <cell r="Z24">
            <v>3.7372869636076169E-11</v>
          </cell>
          <cell r="AA24">
            <v>100</v>
          </cell>
          <cell r="AB24">
            <v>3.7372869636076169E-9</v>
          </cell>
          <cell r="AC24">
            <v>100</v>
          </cell>
          <cell r="AD24">
            <v>3.7372869636076169E-9</v>
          </cell>
        </row>
        <row r="25">
          <cell r="Y25">
            <v>-120</v>
          </cell>
          <cell r="Z25">
            <v>4.6766967235784839E-11</v>
          </cell>
          <cell r="AA25">
            <v>100</v>
          </cell>
          <cell r="AB25">
            <v>4.6766967235784843E-9</v>
          </cell>
          <cell r="AC25">
            <v>100</v>
          </cell>
          <cell r="AD25">
            <v>4.6766967235784843E-9</v>
          </cell>
        </row>
        <row r="26">
          <cell r="Y26">
            <v>-119</v>
          </cell>
          <cell r="Z26">
            <v>5.8451925019305667E-11</v>
          </cell>
          <cell r="AA26">
            <v>100</v>
          </cell>
          <cell r="AB26">
            <v>5.8451925019305665E-9</v>
          </cell>
          <cell r="AC26">
            <v>100</v>
          </cell>
          <cell r="AD26">
            <v>5.8451925019305665E-9</v>
          </cell>
        </row>
        <row r="27">
          <cell r="Y27">
            <v>-118</v>
          </cell>
          <cell r="Z27">
            <v>7.2968390935822769E-11</v>
          </cell>
          <cell r="AA27">
            <v>100</v>
          </cell>
          <cell r="AB27">
            <v>7.296839093582277E-9</v>
          </cell>
          <cell r="AC27">
            <v>100</v>
          </cell>
          <cell r="AD27">
            <v>7.296839093582277E-9</v>
          </cell>
        </row>
        <row r="28">
          <cell r="Y28">
            <v>-117</v>
          </cell>
          <cell r="Z28">
            <v>9.0980129411766705E-11</v>
          </cell>
          <cell r="AA28">
            <v>100</v>
          </cell>
          <cell r="AB28">
            <v>9.098012941176671E-9</v>
          </cell>
          <cell r="AC28">
            <v>100</v>
          </cell>
          <cell r="AD28">
            <v>9.098012941176671E-9</v>
          </cell>
        </row>
        <row r="29">
          <cell r="Y29">
            <v>-116</v>
          </cell>
          <cell r="Z29">
            <v>1.13300975685385E-10</v>
          </cell>
          <cell r="AA29">
            <v>100</v>
          </cell>
          <cell r="AB29">
            <v>1.1330097568538501E-8</v>
          </cell>
          <cell r="AC29">
            <v>100</v>
          </cell>
          <cell r="AD29">
            <v>1.1330097568538501E-8</v>
          </cell>
        </row>
        <row r="30">
          <cell r="Y30">
            <v>-115</v>
          </cell>
          <cell r="Z30">
            <v>1.4092743791273858E-10</v>
          </cell>
          <cell r="AA30">
            <v>100</v>
          </cell>
          <cell r="AB30">
            <v>1.4092743791273857E-8</v>
          </cell>
          <cell r="AC30">
            <v>100</v>
          </cell>
          <cell r="AD30">
            <v>1.4092743791273857E-8</v>
          </cell>
        </row>
        <row r="31">
          <cell r="Y31">
            <v>-114</v>
          </cell>
          <cell r="Z31">
            <v>1.7507807296751711E-10</v>
          </cell>
          <cell r="AA31">
            <v>100</v>
          </cell>
          <cell r="AB31">
            <v>1.7507807296751711E-8</v>
          </cell>
          <cell r="AC31">
            <v>100</v>
          </cell>
          <cell r="AD31">
            <v>1.7507807296751711E-8</v>
          </cell>
        </row>
        <row r="32">
          <cell r="Y32">
            <v>-113</v>
          </cell>
          <cell r="Z32">
            <v>2.1724097373617498E-10</v>
          </cell>
          <cell r="AA32">
            <v>100</v>
          </cell>
          <cell r="AB32">
            <v>2.1724097373617499E-8</v>
          </cell>
          <cell r="AC32">
            <v>100</v>
          </cell>
          <cell r="AD32">
            <v>2.1724097373617499E-8</v>
          </cell>
        </row>
        <row r="33">
          <cell r="Y33">
            <v>-112</v>
          </cell>
          <cell r="Z33">
            <v>2.6923095480639416E-10</v>
          </cell>
          <cell r="AA33">
            <v>100</v>
          </cell>
          <cell r="AB33">
            <v>2.6923095480639416E-8</v>
          </cell>
          <cell r="AC33">
            <v>100</v>
          </cell>
          <cell r="AD33">
            <v>2.6923095480639416E-8</v>
          </cell>
        </row>
        <row r="34">
          <cell r="Y34">
            <v>-111</v>
          </cell>
          <cell r="Z34">
            <v>3.3325831575908337E-10</v>
          </cell>
          <cell r="AA34">
            <v>100</v>
          </cell>
          <cell r="AB34">
            <v>3.3325831575908334E-8</v>
          </cell>
          <cell r="AC34">
            <v>100</v>
          </cell>
          <cell r="AD34">
            <v>3.3325831575908334E-8</v>
          </cell>
        </row>
        <row r="35">
          <cell r="Y35">
            <v>-110</v>
          </cell>
          <cell r="Z35">
            <v>4.1201140366232147E-10</v>
          </cell>
          <cell r="AA35">
            <v>100</v>
          </cell>
          <cell r="AB35">
            <v>4.1201140366232149E-8</v>
          </cell>
          <cell r="AC35">
            <v>100</v>
          </cell>
          <cell r="AD35">
            <v>4.1201140366232149E-8</v>
          </cell>
        </row>
        <row r="36">
          <cell r="Y36">
            <v>-109</v>
          </cell>
          <cell r="Z36">
            <v>5.0875559665506726E-10</v>
          </cell>
          <cell r="AA36">
            <v>100</v>
          </cell>
          <cell r="AB36">
            <v>5.0875559665506726E-8</v>
          </cell>
          <cell r="AC36">
            <v>100</v>
          </cell>
          <cell r="AD36">
            <v>5.0875559665506726E-8</v>
          </cell>
        </row>
        <row r="37">
          <cell r="Y37">
            <v>-108</v>
          </cell>
          <cell r="Z37">
            <v>6.2745179760319867E-10</v>
          </cell>
          <cell r="AA37">
            <v>100</v>
          </cell>
          <cell r="AB37">
            <v>6.2745179760319866E-8</v>
          </cell>
          <cell r="AC37">
            <v>100</v>
          </cell>
          <cell r="AD37">
            <v>6.2745179760319866E-8</v>
          </cell>
        </row>
        <row r="38">
          <cell r="Y38">
            <v>-107</v>
          </cell>
          <cell r="Z38">
            <v>7.728980708140281E-10</v>
          </cell>
          <cell r="AA38">
            <v>100</v>
          </cell>
          <cell r="AB38">
            <v>7.7289807081402805E-8</v>
          </cell>
          <cell r="AC38">
            <v>100</v>
          </cell>
          <cell r="AD38">
            <v>7.7289807081402805E-8</v>
          </cell>
        </row>
        <row r="39">
          <cell r="Y39">
            <v>-106</v>
          </cell>
          <cell r="Z39">
            <v>9.5089868714188114E-10</v>
          </cell>
          <cell r="AA39">
            <v>100</v>
          </cell>
          <cell r="AB39">
            <v>9.5089868714188109E-8</v>
          </cell>
          <cell r="AC39">
            <v>100</v>
          </cell>
          <cell r="AD39">
            <v>9.5089868714188109E-8</v>
          </cell>
        </row>
        <row r="40">
          <cell r="Y40">
            <v>-105</v>
          </cell>
          <cell r="Z40">
            <v>1.1684655764108054E-9</v>
          </cell>
          <cell r="AA40">
            <v>100</v>
          </cell>
          <cell r="AB40">
            <v>1.1684655764108053E-7</v>
          </cell>
          <cell r="AC40">
            <v>100</v>
          </cell>
          <cell r="AD40">
            <v>1.1684655764108053E-7</v>
          </cell>
        </row>
        <row r="41">
          <cell r="Y41">
            <v>-104</v>
          </cell>
          <cell r="Z41">
            <v>1.4340580354387773E-9</v>
          </cell>
          <cell r="AA41">
            <v>100</v>
          </cell>
          <cell r="AB41">
            <v>1.4340580354387772E-7</v>
          </cell>
          <cell r="AC41">
            <v>100</v>
          </cell>
          <cell r="AD41">
            <v>1.4340580354387772E-7</v>
          </cell>
        </row>
        <row r="42">
          <cell r="Y42">
            <v>-103</v>
          </cell>
          <cell r="Z42">
            <v>1.7578675213634041E-9</v>
          </cell>
          <cell r="AA42">
            <v>100</v>
          </cell>
          <cell r="AB42">
            <v>1.7578675213634042E-7</v>
          </cell>
          <cell r="AC42">
            <v>100</v>
          </cell>
          <cell r="AD42">
            <v>1.7578675213634042E-7</v>
          </cell>
        </row>
        <row r="43">
          <cell r="Y43">
            <v>-102</v>
          </cell>
          <cell r="Z43">
            <v>2.1521554916569479E-9</v>
          </cell>
          <cell r="AA43">
            <v>100</v>
          </cell>
          <cell r="AB43">
            <v>2.152155491656948E-7</v>
          </cell>
          <cell r="AC43">
            <v>100</v>
          </cell>
          <cell r="AD43">
            <v>2.152155491656948E-7</v>
          </cell>
        </row>
        <row r="44">
          <cell r="Y44">
            <v>-101</v>
          </cell>
          <cell r="Z44">
            <v>2.6316535544944677E-9</v>
          </cell>
          <cell r="AA44">
            <v>100</v>
          </cell>
          <cell r="AB44">
            <v>2.6316535544944678E-7</v>
          </cell>
          <cell r="AC44">
            <v>100</v>
          </cell>
          <cell r="AD44">
            <v>2.6316535544944678E-7</v>
          </cell>
        </row>
        <row r="45">
          <cell r="Y45">
            <v>-100</v>
          </cell>
          <cell r="Z45">
            <v>3.2140366885693263E-9</v>
          </cell>
          <cell r="AA45">
            <v>100</v>
          </cell>
          <cell r="AB45">
            <v>3.2140366885693262E-7</v>
          </cell>
          <cell r="AC45">
            <v>100</v>
          </cell>
          <cell r="AD45">
            <v>3.2140366885693262E-7</v>
          </cell>
        </row>
        <row r="46">
          <cell r="Y46">
            <v>-99</v>
          </cell>
          <cell r="Z46">
            <v>3.9204820050325018E-9</v>
          </cell>
          <cell r="AA46">
            <v>100</v>
          </cell>
          <cell r="AB46">
            <v>3.9204820050325018E-7</v>
          </cell>
          <cell r="AC46">
            <v>100</v>
          </cell>
          <cell r="AD46">
            <v>3.9204820050325018E-7</v>
          </cell>
        </row>
        <row r="47">
          <cell r="Y47">
            <v>-98</v>
          </cell>
          <cell r="Z47">
            <v>4.7763274835383723E-9</v>
          </cell>
          <cell r="AA47">
            <v>100</v>
          </cell>
          <cell r="AB47">
            <v>4.776327483538372E-7</v>
          </cell>
          <cell r="AC47">
            <v>100</v>
          </cell>
          <cell r="AD47">
            <v>4.776327483538372E-7</v>
          </cell>
        </row>
        <row r="48">
          <cell r="Y48">
            <v>-97</v>
          </cell>
          <cell r="Z48">
            <v>5.8118473497268736E-9</v>
          </cell>
          <cell r="AA48">
            <v>100</v>
          </cell>
          <cell r="AB48">
            <v>5.8118473497268736E-7</v>
          </cell>
          <cell r="AC48">
            <v>100</v>
          </cell>
          <cell r="AD48">
            <v>5.8118473497268736E-7</v>
          </cell>
        </row>
        <row r="49">
          <cell r="Y49">
            <v>-96</v>
          </cell>
          <cell r="Z49">
            <v>7.0631633060452163E-9</v>
          </cell>
          <cell r="AA49">
            <v>100</v>
          </cell>
          <cell r="AB49">
            <v>7.0631633060452166E-7</v>
          </cell>
          <cell r="AC49">
            <v>100</v>
          </cell>
          <cell r="AD49">
            <v>7.0631633060452166E-7</v>
          </cell>
        </row>
        <row r="50">
          <cell r="Y50">
            <v>-95</v>
          </cell>
          <cell r="Z50">
            <v>8.5733137177965386E-9</v>
          </cell>
          <cell r="AA50">
            <v>100</v>
          </cell>
          <cell r="AB50">
            <v>8.5733137177965382E-7</v>
          </cell>
          <cell r="AC50">
            <v>100</v>
          </cell>
          <cell r="AD50">
            <v>8.5733137177965382E-7</v>
          </cell>
        </row>
        <row r="51">
          <cell r="Y51">
            <v>-94</v>
          </cell>
          <cell r="Z51">
            <v>1.0393506130972091E-8</v>
          </cell>
          <cell r="AA51">
            <v>100</v>
          </cell>
          <cell r="AB51">
            <v>1.0393506130972092E-6</v>
          </cell>
          <cell r="AC51">
            <v>100</v>
          </cell>
          <cell r="AD51">
            <v>1.0393506130972092E-6</v>
          </cell>
        </row>
        <row r="52">
          <cell r="Y52">
            <v>-93</v>
          </cell>
          <cell r="Z52">
            <v>1.2584582200209459E-8</v>
          </cell>
          <cell r="AA52">
            <v>100</v>
          </cell>
          <cell r="AB52">
            <v>1.258458220020946E-6</v>
          </cell>
          <cell r="AC52">
            <v>100</v>
          </cell>
          <cell r="AD52">
            <v>1.258458220020946E-6</v>
          </cell>
        </row>
        <row r="53">
          <cell r="Y53">
            <v>-92</v>
          </cell>
          <cell r="Z53">
            <v>1.5218728279719708E-8</v>
          </cell>
          <cell r="AA53">
            <v>100</v>
          </cell>
          <cell r="AB53">
            <v>1.5218728279719709E-6</v>
          </cell>
          <cell r="AC53">
            <v>100</v>
          </cell>
          <cell r="AD53">
            <v>1.5218728279719709E-6</v>
          </cell>
        </row>
        <row r="54">
          <cell r="Y54">
            <v>-91</v>
          </cell>
          <cell r="Z54">
            <v>1.838146962600169E-8</v>
          </cell>
          <cell r="AA54">
            <v>100</v>
          </cell>
          <cell r="AB54">
            <v>1.8381469626001689E-6</v>
          </cell>
          <cell r="AC54">
            <v>100</v>
          </cell>
          <cell r="AD54">
            <v>1.8381469626001689E-6</v>
          </cell>
        </row>
        <row r="55">
          <cell r="Y55">
            <v>-90</v>
          </cell>
          <cell r="Z55">
            <v>2.2173991430398558E-8</v>
          </cell>
          <cell r="AA55">
            <v>100</v>
          </cell>
          <cell r="AB55">
            <v>2.217399143039856E-6</v>
          </cell>
          <cell r="AC55">
            <v>100</v>
          </cell>
          <cell r="AD55">
            <v>2.217399143039856E-6</v>
          </cell>
        </row>
        <row r="56">
          <cell r="Y56">
            <v>-89</v>
          </cell>
          <cell r="Z56">
            <v>2.6715835796758944E-8</v>
          </cell>
          <cell r="AA56">
            <v>100</v>
          </cell>
          <cell r="AB56">
            <v>2.6715835796758944E-6</v>
          </cell>
          <cell r="AC56">
            <v>100</v>
          </cell>
          <cell r="AD56">
            <v>2.6715835796758944E-6</v>
          </cell>
        </row>
        <row r="57">
          <cell r="Y57">
            <v>-88</v>
          </cell>
          <cell r="Z57">
            <v>3.2148030361947827E-8</v>
          </cell>
          <cell r="AA57">
            <v>100</v>
          </cell>
          <cell r="AB57">
            <v>3.2148030361947825E-6</v>
          </cell>
          <cell r="AC57">
            <v>100</v>
          </cell>
          <cell r="AD57">
            <v>3.2148030361947825E-6</v>
          </cell>
        </row>
        <row r="58">
          <cell r="Y58">
            <v>-87</v>
          </cell>
          <cell r="Z58">
            <v>3.8636711584330934E-8</v>
          </cell>
          <cell r="AA58">
            <v>100</v>
          </cell>
          <cell r="AB58">
            <v>3.8636711584330936E-6</v>
          </cell>
          <cell r="AC58">
            <v>100</v>
          </cell>
          <cell r="AD58">
            <v>3.8636711584330936E-6</v>
          </cell>
        </row>
        <row r="59">
          <cell r="Y59">
            <v>-86</v>
          </cell>
          <cell r="Z59">
            <v>4.637731385902241E-8</v>
          </cell>
          <cell r="AA59">
            <v>100</v>
          </cell>
          <cell r="AB59">
            <v>4.6377313859022412E-6</v>
          </cell>
          <cell r="AC59">
            <v>100</v>
          </cell>
          <cell r="AD59">
            <v>4.6377313859022412E-6</v>
          </cell>
        </row>
        <row r="60">
          <cell r="Y60">
            <v>-85</v>
          </cell>
          <cell r="Z60">
            <v>5.5599404621285925E-8</v>
          </cell>
          <cell r="AA60">
            <v>100</v>
          </cell>
          <cell r="AB60">
            <v>5.5599404621285927E-6</v>
          </cell>
          <cell r="AC60">
            <v>100</v>
          </cell>
          <cell r="AD60">
            <v>5.5599404621285927E-6</v>
          </cell>
        </row>
        <row r="61">
          <cell r="Y61">
            <v>-84</v>
          </cell>
          <cell r="Z61">
            <v>6.6572255534031384E-8</v>
          </cell>
          <cell r="AA61">
            <v>100</v>
          </cell>
          <cell r="AB61">
            <v>6.6572255534031388E-6</v>
          </cell>
          <cell r="AC61">
            <v>100</v>
          </cell>
          <cell r="AD61">
            <v>6.6572255534031388E-6</v>
          </cell>
        </row>
        <row r="62">
          <cell r="Y62">
            <v>-83</v>
          </cell>
          <cell r="Z62">
            <v>7.9611250784507759E-8</v>
          </cell>
          <cell r="AA62">
            <v>100</v>
          </cell>
          <cell r="AB62">
            <v>7.9611250784507761E-6</v>
          </cell>
          <cell r="AC62">
            <v>100</v>
          </cell>
          <cell r="AD62">
            <v>7.9611250784507761E-6</v>
          </cell>
        </row>
        <row r="63">
          <cell r="Y63">
            <v>-82</v>
          </cell>
          <cell r="Z63">
            <v>9.50852454999935E-8</v>
          </cell>
          <cell r="AA63">
            <v>100</v>
          </cell>
          <cell r="AB63">
            <v>9.5085245499993495E-6</v>
          </cell>
          <cell r="AC63">
            <v>100</v>
          </cell>
          <cell r="AD63">
            <v>9.5085245499993495E-6</v>
          </cell>
        </row>
        <row r="64">
          <cell r="Y64">
            <v>-81</v>
          </cell>
          <cell r="Z64">
            <v>1.1342500039074524E-7</v>
          </cell>
          <cell r="AA64">
            <v>100</v>
          </cell>
          <cell r="AB64">
            <v>1.1342500039074525E-5</v>
          </cell>
          <cell r="AC64">
            <v>100</v>
          </cell>
          <cell r="AD64">
            <v>1.1342500039074525E-5</v>
          </cell>
        </row>
        <row r="65">
          <cell r="Y65">
            <v>-80</v>
          </cell>
          <cell r="Z65">
            <v>1.3513283299426482E-7</v>
          </cell>
          <cell r="AA65">
            <v>100</v>
          </cell>
          <cell r="AB65">
            <v>1.3513283299426482E-5</v>
          </cell>
          <cell r="AC65">
            <v>100</v>
          </cell>
          <cell r="AD65">
            <v>1.3513283299426482E-5</v>
          </cell>
        </row>
        <row r="66">
          <cell r="Y66">
            <v>-79</v>
          </cell>
          <cell r="Z66">
            <v>1.6079364137576981E-7</v>
          </cell>
          <cell r="AA66">
            <v>100</v>
          </cell>
          <cell r="AB66">
            <v>1.6079364137576981E-5</v>
          </cell>
          <cell r="AC66">
            <v>100</v>
          </cell>
          <cell r="AD66">
            <v>1.6079364137576981E-5</v>
          </cell>
        </row>
        <row r="67">
          <cell r="Y67">
            <v>-78</v>
          </cell>
          <cell r="Z67">
            <v>1.9108747287464203E-7</v>
          </cell>
          <cell r="AA67">
            <v>100</v>
          </cell>
          <cell r="AB67">
            <v>1.9108747287464203E-5</v>
          </cell>
          <cell r="AC67">
            <v>100</v>
          </cell>
          <cell r="AD67">
            <v>1.9108747287464203E-5</v>
          </cell>
        </row>
        <row r="68">
          <cell r="Y68">
            <v>-77</v>
          </cell>
          <cell r="Z68">
            <v>2.2680382850475372E-7</v>
          </cell>
          <cell r="AA68">
            <v>100</v>
          </cell>
          <cell r="AB68">
            <v>2.2680382850475372E-5</v>
          </cell>
          <cell r="AC68">
            <v>100</v>
          </cell>
          <cell r="AD68">
            <v>2.2680382850475372E-5</v>
          </cell>
        </row>
        <row r="69">
          <cell r="Y69">
            <v>-76</v>
          </cell>
          <cell r="Z69">
            <v>2.688579129332413E-7</v>
          </cell>
          <cell r="AA69">
            <v>100</v>
          </cell>
          <cell r="AB69">
            <v>2.688579129332413E-5</v>
          </cell>
          <cell r="AC69">
            <v>100</v>
          </cell>
          <cell r="AD69">
            <v>2.688579129332413E-5</v>
          </cell>
        </row>
        <row r="70">
          <cell r="Y70">
            <v>-75</v>
          </cell>
          <cell r="Z70">
            <v>3.1830906057780927E-7</v>
          </cell>
          <cell r="AA70">
            <v>100</v>
          </cell>
          <cell r="AB70">
            <v>3.1830906057780925E-5</v>
          </cell>
          <cell r="AC70">
            <v>100</v>
          </cell>
          <cell r="AD70">
            <v>3.1830906057780925E-5</v>
          </cell>
        </row>
        <row r="71">
          <cell r="Y71">
            <v>-74</v>
          </cell>
          <cell r="Z71">
            <v>3.7638159025742367E-7</v>
          </cell>
          <cell r="AA71">
            <v>100</v>
          </cell>
          <cell r="AB71">
            <v>3.7638159025742364E-5</v>
          </cell>
          <cell r="AC71">
            <v>100</v>
          </cell>
          <cell r="AD71">
            <v>3.7638159025742364E-5</v>
          </cell>
        </row>
        <row r="72">
          <cell r="Y72">
            <v>-73</v>
          </cell>
          <cell r="Z72">
            <v>4.4448836396402304E-7</v>
          </cell>
          <cell r="AA72">
            <v>100</v>
          </cell>
          <cell r="AB72">
            <v>4.4448836396402304E-5</v>
          </cell>
          <cell r="AC72">
            <v>100</v>
          </cell>
          <cell r="AD72">
            <v>4.4448836396402304E-5</v>
          </cell>
        </row>
        <row r="73">
          <cell r="Y73">
            <v>-72</v>
          </cell>
          <cell r="Z73">
            <v>5.2425734962554471E-7</v>
          </cell>
          <cell r="AA73">
            <v>100</v>
          </cell>
          <cell r="AB73">
            <v>5.2425734962554473E-5</v>
          </cell>
          <cell r="AC73">
            <v>100</v>
          </cell>
          <cell r="AD73">
            <v>5.2425734962554473E-5</v>
          </cell>
        </row>
        <row r="74">
          <cell r="Y74">
            <v>-71</v>
          </cell>
          <cell r="Z74">
            <v>6.1756151310581513E-7</v>
          </cell>
          <cell r="AA74">
            <v>100</v>
          </cell>
          <cell r="AB74">
            <v>6.1756151310581519E-5</v>
          </cell>
          <cell r="AC74">
            <v>100</v>
          </cell>
          <cell r="AD74">
            <v>6.1756151310581519E-5</v>
          </cell>
        </row>
        <row r="75">
          <cell r="Y75">
            <v>-70</v>
          </cell>
          <cell r="Z75">
            <v>7.2655239100211848E-7</v>
          </cell>
          <cell r="AA75">
            <v>100</v>
          </cell>
          <cell r="AB75">
            <v>7.2655239100211853E-5</v>
          </cell>
          <cell r="AC75">
            <v>100</v>
          </cell>
          <cell r="AD75">
            <v>7.2655239100211853E-5</v>
          </cell>
        </row>
        <row r="76">
          <cell r="Y76">
            <v>-69</v>
          </cell>
          <cell r="Z76">
            <v>8.536977228864911E-7</v>
          </cell>
          <cell r="AA76">
            <v>100</v>
          </cell>
          <cell r="AB76">
            <v>8.5369772288649117E-5</v>
          </cell>
          <cell r="AC76">
            <v>100</v>
          </cell>
          <cell r="AD76">
            <v>8.5369772288649117E-5</v>
          </cell>
        </row>
        <row r="77">
          <cell r="Y77">
            <v>-68</v>
          </cell>
          <cell r="Z77">
            <v>1.0018235492782587E-6</v>
          </cell>
          <cell r="AA77">
            <v>100</v>
          </cell>
          <cell r="AB77">
            <v>1.0018235492782587E-4</v>
          </cell>
          <cell r="AC77">
            <v>100</v>
          </cell>
          <cell r="AD77">
            <v>1.0018235492782587E-4</v>
          </cell>
        </row>
        <row r="78">
          <cell r="Y78">
            <v>-67</v>
          </cell>
          <cell r="Z78">
            <v>1.1741612095710327E-6</v>
          </cell>
          <cell r="AA78">
            <v>100</v>
          </cell>
          <cell r="AB78">
            <v>1.1741612095710326E-4</v>
          </cell>
          <cell r="AC78">
            <v>100</v>
          </cell>
          <cell r="AD78">
            <v>1.1741612095710326E-4</v>
          </cell>
        </row>
        <row r="79">
          <cell r="Y79">
            <v>-66</v>
          </cell>
          <cell r="Z79">
            <v>1.37439970205523E-6</v>
          </cell>
          <cell r="AA79">
            <v>100</v>
          </cell>
          <cell r="AB79">
            <v>1.3743997020552301E-4</v>
          </cell>
          <cell r="AC79">
            <v>100</v>
          </cell>
          <cell r="AD79">
            <v>1.3743997020552301E-4</v>
          </cell>
        </row>
        <row r="80">
          <cell r="Y80">
            <v>-65</v>
          </cell>
          <cell r="Z80">
            <v>1.606743895705201E-6</v>
          </cell>
          <cell r="AA80">
            <v>100</v>
          </cell>
          <cell r="AB80">
            <v>1.606743895705201E-4</v>
          </cell>
          <cell r="AC80">
            <v>100</v>
          </cell>
          <cell r="AD80">
            <v>1.606743895705201E-4</v>
          </cell>
        </row>
        <row r="81">
          <cell r="Y81">
            <v>-64</v>
          </cell>
          <cell r="Z81">
            <v>1.8759791101070293E-6</v>
          </cell>
          <cell r="AA81">
            <v>100</v>
          </cell>
          <cell r="AB81">
            <v>1.8759791101070292E-4</v>
          </cell>
          <cell r="AC81">
            <v>100</v>
          </cell>
          <cell r="AD81">
            <v>1.8759791101070292E-4</v>
          </cell>
        </row>
        <row r="82">
          <cell r="Y82">
            <v>-63</v>
          </cell>
          <cell r="Z82">
            <v>2.1875426052937579E-6</v>
          </cell>
          <cell r="AA82">
            <v>100</v>
          </cell>
          <cell r="AB82">
            <v>2.1875426052937578E-4</v>
          </cell>
          <cell r="AC82">
            <v>100</v>
          </cell>
          <cell r="AD82">
            <v>2.1875426052937578E-4</v>
          </cell>
        </row>
        <row r="83">
          <cell r="Y83">
            <v>-62</v>
          </cell>
          <cell r="Z83">
            <v>2.547602546759618E-6</v>
          </cell>
          <cell r="AA83">
            <v>100</v>
          </cell>
          <cell r="AB83">
            <v>2.5476025467596178E-4</v>
          </cell>
          <cell r="AC83">
            <v>100</v>
          </cell>
          <cell r="AD83">
            <v>2.5476025467596178E-4</v>
          </cell>
        </row>
        <row r="84">
          <cell r="Y84">
            <v>-61</v>
          </cell>
          <cell r="Z84">
            <v>2.9631450319104093E-6</v>
          </cell>
          <cell r="AA84">
            <v>100</v>
          </cell>
          <cell r="AB84">
            <v>2.9631450319104091E-4</v>
          </cell>
          <cell r="AC84">
            <v>100</v>
          </cell>
          <cell r="AD84">
            <v>2.9631450319104091E-4</v>
          </cell>
        </row>
        <row r="85">
          <cell r="Y85">
            <v>-60</v>
          </cell>
          <cell r="Z85">
            <v>3.4420697819553901E-6</v>
          </cell>
          <cell r="AA85">
            <v>100</v>
          </cell>
          <cell r="AB85">
            <v>3.4420697819553901E-4</v>
          </cell>
          <cell r="AC85">
            <v>100</v>
          </cell>
          <cell r="AD85">
            <v>3.4420697819553901E-4</v>
          </cell>
        </row>
        <row r="86">
          <cell r="Y86">
            <v>-59</v>
          </cell>
          <cell r="Z86">
            <v>3.9932951169730274E-6</v>
          </cell>
          <cell r="AA86">
            <v>100</v>
          </cell>
          <cell r="AB86">
            <v>3.9932951169730272E-4</v>
          </cell>
          <cell r="AC86">
            <v>100</v>
          </cell>
          <cell r="AD86">
            <v>3.9932951169730272E-4</v>
          </cell>
        </row>
        <row r="87">
          <cell r="Y87">
            <v>-58</v>
          </cell>
          <cell r="Z87">
            <v>4.6268728407202104E-6</v>
          </cell>
          <cell r="AA87">
            <v>100</v>
          </cell>
          <cell r="AB87">
            <v>4.6268728407202104E-4</v>
          </cell>
          <cell r="AC87">
            <v>100</v>
          </cell>
          <cell r="AD87">
            <v>4.6268728407202104E-4</v>
          </cell>
        </row>
        <row r="88">
          <cell r="Y88">
            <v>-57</v>
          </cell>
          <cell r="Z88">
            <v>5.3541136647586541E-6</v>
          </cell>
          <cell r="AA88">
            <v>100</v>
          </cell>
          <cell r="AB88">
            <v>5.3541136647586546E-4</v>
          </cell>
          <cell r="AC88">
            <v>100</v>
          </cell>
          <cell r="AD88">
            <v>5.3541136647586546E-4</v>
          </cell>
        </row>
        <row r="89">
          <cell r="Y89">
            <v>-56</v>
          </cell>
          <cell r="Z89">
            <v>6.1877237976342997E-6</v>
          </cell>
          <cell r="AA89">
            <v>100</v>
          </cell>
          <cell r="AB89">
            <v>6.1877237976342998E-4</v>
          </cell>
          <cell r="AC89">
            <v>100</v>
          </cell>
          <cell r="AD89">
            <v>6.1877237976342998E-4</v>
          </cell>
        </row>
        <row r="90">
          <cell r="Y90">
            <v>-55</v>
          </cell>
          <cell r="Z90">
            <v>7.141953313070468E-6</v>
          </cell>
          <cell r="AA90">
            <v>100</v>
          </cell>
          <cell r="AB90">
            <v>7.1419533130704684E-4</v>
          </cell>
          <cell r="AC90">
            <v>100</v>
          </cell>
          <cell r="AD90">
            <v>7.1419533130704684E-4</v>
          </cell>
        </row>
        <row r="91">
          <cell r="Y91">
            <v>-54</v>
          </cell>
          <cell r="Z91">
            <v>8.2327568902849854E-6</v>
          </cell>
          <cell r="AA91">
            <v>100</v>
          </cell>
          <cell r="AB91">
            <v>8.2327568902849859E-4</v>
          </cell>
          <cell r="AC91">
            <v>100</v>
          </cell>
          <cell r="AD91">
            <v>8.2327568902849859E-4</v>
          </cell>
        </row>
        <row r="92">
          <cell r="Y92">
            <v>-53</v>
          </cell>
          <cell r="Z92">
            <v>9.4779674883986666E-6</v>
          </cell>
          <cell r="AA92">
            <v>100</v>
          </cell>
          <cell r="AB92">
            <v>9.4779674883986662E-4</v>
          </cell>
          <cell r="AC92">
            <v>100</v>
          </cell>
          <cell r="AD92">
            <v>9.4779674883986662E-4</v>
          </cell>
        </row>
        <row r="93">
          <cell r="Y93">
            <v>-52</v>
          </cell>
          <cell r="Z93">
            <v>1.0897483474221388E-5</v>
          </cell>
          <cell r="AA93">
            <v>100</v>
          </cell>
          <cell r="AB93">
            <v>1.0897483474221388E-3</v>
          </cell>
          <cell r="AC93">
            <v>100</v>
          </cell>
          <cell r="AD93">
            <v>1.0897483474221388E-3</v>
          </cell>
        </row>
        <row r="94">
          <cell r="Y94">
            <v>-51</v>
          </cell>
          <cell r="Z94">
            <v>1.2513469667202103E-5</v>
          </cell>
          <cell r="AA94">
            <v>100</v>
          </cell>
          <cell r="AB94">
            <v>1.2513469667202104E-3</v>
          </cell>
          <cell r="AC94">
            <v>100</v>
          </cell>
          <cell r="AD94">
            <v>1.2513469667202104E-3</v>
          </cell>
        </row>
        <row r="95">
          <cell r="Y95">
            <v>-50</v>
          </cell>
          <cell r="Z95">
            <v>1.4350572695684205E-5</v>
          </cell>
          <cell r="AA95">
            <v>100</v>
          </cell>
          <cell r="AB95">
            <v>1.4350572695684205E-3</v>
          </cell>
          <cell r="AC95">
            <v>100</v>
          </cell>
          <cell r="AD95">
            <v>1.4350572695684205E-3</v>
          </cell>
        </row>
        <row r="96">
          <cell r="Y96">
            <v>-49</v>
          </cell>
          <cell r="Z96">
            <v>1.6436150973551169E-5</v>
          </cell>
          <cell r="AA96">
            <v>100</v>
          </cell>
          <cell r="AB96">
            <v>1.6436150973551168E-3</v>
          </cell>
          <cell r="AC96">
            <v>100</v>
          </cell>
          <cell r="AD96">
            <v>1.6436150973551168E-3</v>
          </cell>
        </row>
        <row r="97">
          <cell r="Y97">
            <v>-48</v>
          </cell>
          <cell r="Z97">
            <v>1.8800519504542516E-5</v>
          </cell>
          <cell r="AA97">
            <v>100</v>
          </cell>
          <cell r="AB97">
            <v>1.8800519504542515E-3</v>
          </cell>
          <cell r="AC97">
            <v>100</v>
          </cell>
          <cell r="AD97">
            <v>1.8800519504542515E-3</v>
          </cell>
        </row>
        <row r="98">
          <cell r="Y98">
            <v>-47</v>
          </cell>
          <cell r="Z98">
            <v>2.1477209601786185E-5</v>
          </cell>
          <cell r="AA98">
            <v>100</v>
          </cell>
          <cell r="AB98">
            <v>2.1477209601786186E-3</v>
          </cell>
          <cell r="AC98">
            <v>100</v>
          </cell>
          <cell r="AD98">
            <v>2.1477209601786186E-3</v>
          </cell>
        </row>
        <row r="99">
          <cell r="Y99">
            <v>-46</v>
          </cell>
          <cell r="Z99">
            <v>2.4503243471201207E-5</v>
          </cell>
          <cell r="AA99">
            <v>100</v>
          </cell>
          <cell r="AB99">
            <v>2.4503243471201207E-3</v>
          </cell>
          <cell r="AC99">
            <v>100</v>
          </cell>
          <cell r="AD99">
            <v>2.4503243471201207E-3</v>
          </cell>
        </row>
        <row r="100">
          <cell r="Y100">
            <v>-45</v>
          </cell>
          <cell r="Z100">
            <v>2.7919423448357214E-5</v>
          </cell>
          <cell r="AA100">
            <v>100</v>
          </cell>
          <cell r="AB100">
            <v>2.7919423448357216E-3</v>
          </cell>
          <cell r="AC100">
            <v>100</v>
          </cell>
          <cell r="AD100">
            <v>2.7919423448357216E-3</v>
          </cell>
        </row>
        <row r="101">
          <cell r="Y101">
            <v>-44</v>
          </cell>
          <cell r="Z101">
            <v>3.1770635498154502E-5</v>
          </cell>
          <cell r="AA101">
            <v>100</v>
          </cell>
          <cell r="AB101">
            <v>3.17706354981545E-3</v>
          </cell>
          <cell r="AC101">
            <v>100</v>
          </cell>
          <cell r="AD101">
            <v>3.17706354981545E-3</v>
          </cell>
        </row>
        <row r="102">
          <cell r="Y102">
            <v>-43</v>
          </cell>
          <cell r="Z102">
            <v>3.6106166384565891E-5</v>
          </cell>
          <cell r="AA102">
            <v>100</v>
          </cell>
          <cell r="AB102">
            <v>3.6106166384565889E-3</v>
          </cell>
          <cell r="AC102">
            <v>100</v>
          </cell>
          <cell r="AD102">
            <v>3.6106166384565889E-3</v>
          </cell>
        </row>
        <row r="103">
          <cell r="Y103">
            <v>-42</v>
          </cell>
          <cell r="Z103">
            <v>4.0980033693104693E-5</v>
          </cell>
          <cell r="AA103">
            <v>100</v>
          </cell>
          <cell r="AB103">
            <v>4.0980033693104696E-3</v>
          </cell>
          <cell r="AC103">
            <v>100</v>
          </cell>
          <cell r="AD103">
            <v>4.0980033693104696E-3</v>
          </cell>
        </row>
        <row r="104">
          <cell r="Y104">
            <v>-41</v>
          </cell>
          <cell r="Z104">
            <v>4.6451327641290739E-5</v>
          </cell>
          <cell r="AA104">
            <v>100</v>
          </cell>
          <cell r="AB104">
            <v>4.645132764129074E-3</v>
          </cell>
          <cell r="AC104">
            <v>100</v>
          </cell>
          <cell r="AD104">
            <v>4.645132764129074E-3</v>
          </cell>
        </row>
        <row r="105">
          <cell r="Y105">
            <v>-40</v>
          </cell>
          <cell r="Z105">
            <v>5.2584563342188622E-5</v>
          </cell>
          <cell r="AA105">
            <v>100</v>
          </cell>
          <cell r="AB105">
            <v>5.2584563342188625E-3</v>
          </cell>
          <cell r="AC105">
            <v>100</v>
          </cell>
          <cell r="AD105">
            <v>5.2584563342188625E-3</v>
          </cell>
        </row>
        <row r="106">
          <cell r="Y106">
            <v>-39</v>
          </cell>
          <cell r="Z106">
            <v>5.945004189336794E-5</v>
          </cell>
          <cell r="AA106">
            <v>100</v>
          </cell>
          <cell r="AB106">
            <v>5.9450041893367939E-3</v>
          </cell>
          <cell r="AC106">
            <v>100</v>
          </cell>
          <cell r="AD106">
            <v>5.9450041893367939E-3</v>
          </cell>
        </row>
        <row r="107">
          <cell r="Y107">
            <v>-38</v>
          </cell>
          <cell r="Z107">
            <v>6.7124218349020576E-5</v>
          </cell>
          <cell r="AA107">
            <v>100</v>
          </cell>
          <cell r="AB107">
            <v>6.7124218349020577E-3</v>
          </cell>
          <cell r="AC107">
            <v>100</v>
          </cell>
          <cell r="AD107">
            <v>6.7124218349020577E-3</v>
          </cell>
        </row>
        <row r="108">
          <cell r="Y108">
            <v>-37</v>
          </cell>
          <cell r="Z108">
            <v>7.569007429760274E-5</v>
          </cell>
          <cell r="AA108">
            <v>100</v>
          </cell>
          <cell r="AB108">
            <v>7.5690074297602742E-3</v>
          </cell>
          <cell r="AC108">
            <v>100</v>
          </cell>
          <cell r="AD108">
            <v>7.5690074297602742E-3</v>
          </cell>
        </row>
        <row r="109">
          <cell r="Y109">
            <v>-36</v>
          </cell>
          <cell r="Z109">
            <v>8.5237492412656667E-5</v>
          </cell>
          <cell r="AA109">
            <v>100</v>
          </cell>
          <cell r="AB109">
            <v>8.523749241265666E-3</v>
          </cell>
          <cell r="AC109">
            <v>100</v>
          </cell>
          <cell r="AD109">
            <v>8.523749241265666E-3</v>
          </cell>
        </row>
        <row r="110">
          <cell r="Y110">
            <v>-35</v>
          </cell>
          <cell r="Z110">
            <v>9.5863629972629957E-5</v>
          </cell>
          <cell r="AA110">
            <v>100</v>
          </cell>
          <cell r="AB110">
            <v>9.5863629972629955E-3</v>
          </cell>
          <cell r="AC110">
            <v>100</v>
          </cell>
          <cell r="AD110">
            <v>9.5863629972629955E-3</v>
          </cell>
        </row>
        <row r="111">
          <cell r="Y111">
            <v>-34</v>
          </cell>
          <cell r="Z111">
            <v>1.0767328795875683E-4</v>
          </cell>
          <cell r="AA111">
            <v>100</v>
          </cell>
          <cell r="AB111">
            <v>1.0767328795875683E-2</v>
          </cell>
          <cell r="AC111">
            <v>100</v>
          </cell>
          <cell r="AD111">
            <v>1.0767328795875683E-2</v>
          </cell>
        </row>
        <row r="112">
          <cell r="Y112">
            <v>-33</v>
          </cell>
          <cell r="Z112">
            <v>1.2077927194196075E-4</v>
          </cell>
          <cell r="AA112">
            <v>100</v>
          </cell>
          <cell r="AB112">
            <v>1.2077927194196075E-2</v>
          </cell>
          <cell r="AC112">
            <v>100</v>
          </cell>
          <cell r="AD112">
            <v>1.2077927194196075E-2</v>
          </cell>
        </row>
        <row r="113">
          <cell r="Y113">
            <v>-32</v>
          </cell>
          <cell r="Z113">
            <v>1.3530274056339995E-4</v>
          </cell>
          <cell r="AA113">
            <v>100</v>
          </cell>
          <cell r="AB113">
            <v>1.3530274056339995E-2</v>
          </cell>
          <cell r="AC113">
            <v>100</v>
          </cell>
          <cell r="AD113">
            <v>1.3530274056339995E-2</v>
          </cell>
        </row>
        <row r="114">
          <cell r="Y114">
            <v>-31</v>
          </cell>
          <cell r="Z114">
            <v>1.5137353700349094E-4</v>
          </cell>
          <cell r="AA114">
            <v>100</v>
          </cell>
          <cell r="AB114">
            <v>1.5137353700349094E-2</v>
          </cell>
          <cell r="AC114">
            <v>100</v>
          </cell>
          <cell r="AD114">
            <v>1.5137353700349094E-2</v>
          </cell>
        </row>
        <row r="115">
          <cell r="Y115">
            <v>-30</v>
          </cell>
          <cell r="Z115">
            <v>1.6913049842561155E-4</v>
          </cell>
          <cell r="AA115">
            <v>100</v>
          </cell>
          <cell r="AB115">
            <v>1.6913049842561156E-2</v>
          </cell>
          <cell r="AC115">
            <v>100</v>
          </cell>
          <cell r="AD115">
            <v>1.6913049842561156E-2</v>
          </cell>
        </row>
        <row r="116">
          <cell r="Y116">
            <v>-29</v>
          </cell>
          <cell r="Z116">
            <v>1.88721737978673E-4</v>
          </cell>
          <cell r="AA116">
            <v>100</v>
          </cell>
          <cell r="AB116">
            <v>1.8872173797867299E-2</v>
          </cell>
          <cell r="AC116">
            <v>100</v>
          </cell>
          <cell r="AD116">
            <v>1.8872173797867299E-2</v>
          </cell>
        </row>
        <row r="117">
          <cell r="Y117">
            <v>-28</v>
          </cell>
          <cell r="Z117">
            <v>2.1030489355368682E-4</v>
          </cell>
          <cell r="AA117">
            <v>100</v>
          </cell>
          <cell r="AB117">
            <v>2.1030489355368682E-2</v>
          </cell>
          <cell r="AC117">
            <v>100</v>
          </cell>
          <cell r="AD117">
            <v>2.1030489355368682E-2</v>
          </cell>
        </row>
        <row r="118">
          <cell r="Y118">
            <v>-27</v>
          </cell>
          <cell r="Z118">
            <v>2.3404733711983287E-4</v>
          </cell>
          <cell r="AA118">
            <v>100</v>
          </cell>
          <cell r="AB118">
            <v>2.3404733711983285E-2</v>
          </cell>
          <cell r="AC118">
            <v>100</v>
          </cell>
          <cell r="AD118">
            <v>2.3404733711983285E-2</v>
          </cell>
        </row>
        <row r="119">
          <cell r="Y119">
            <v>-26</v>
          </cell>
          <cell r="Z119">
            <v>2.6012633812251779E-4</v>
          </cell>
          <cell r="AA119">
            <v>100</v>
          </cell>
          <cell r="AB119">
            <v>2.601263381225178E-2</v>
          </cell>
          <cell r="AC119">
            <v>100</v>
          </cell>
          <cell r="AD119">
            <v>2.601263381225178E-2</v>
          </cell>
        </row>
        <row r="120">
          <cell r="Y120">
            <v>-25</v>
          </cell>
          <cell r="Z120">
            <v>2.8872917411758915E-4</v>
          </cell>
          <cell r="AA120">
            <v>100</v>
          </cell>
          <cell r="AB120">
            <v>2.8872917411758917E-2</v>
          </cell>
          <cell r="AC120">
            <v>100</v>
          </cell>
          <cell r="AD120">
            <v>2.8872917411758917E-2</v>
          </cell>
        </row>
        <row r="121">
          <cell r="Y121">
            <v>-24</v>
          </cell>
          <cell r="Z121">
            <v>3.2005318154977895E-4</v>
          </cell>
          <cell r="AA121">
            <v>100</v>
          </cell>
          <cell r="AB121">
            <v>3.2005318154977896E-2</v>
          </cell>
          <cell r="AC121">
            <v>100</v>
          </cell>
          <cell r="AD121">
            <v>3.2005318154977896E-2</v>
          </cell>
        </row>
        <row r="122">
          <cell r="Y122">
            <v>-23</v>
          </cell>
          <cell r="Z122">
            <v>3.5430573936888417E-4</v>
          </cell>
          <cell r="AA122">
            <v>100</v>
          </cell>
          <cell r="AB122">
            <v>3.5430573936888414E-2</v>
          </cell>
          <cell r="AC122">
            <v>100</v>
          </cell>
          <cell r="AD122">
            <v>3.5430573936888414E-2</v>
          </cell>
        </row>
        <row r="123">
          <cell r="Y123">
            <v>-22</v>
          </cell>
          <cell r="Z123">
            <v>3.9170417802224808E-4</v>
          </cell>
          <cell r="AA123">
            <v>100</v>
          </cell>
          <cell r="AB123">
            <v>3.9170417802224806E-2</v>
          </cell>
          <cell r="AC123">
            <v>100</v>
          </cell>
          <cell r="AD123">
            <v>3.9170417802224806E-2</v>
          </cell>
        </row>
        <row r="124">
          <cell r="Y124">
            <v>-21</v>
          </cell>
          <cell r="Z124">
            <v>4.3247560627602275E-4</v>
          </cell>
          <cell r="AA124">
            <v>100</v>
          </cell>
          <cell r="AB124">
            <v>4.3247560627602273E-2</v>
          </cell>
          <cell r="AC124">
            <v>100</v>
          </cell>
          <cell r="AD124">
            <v>4.3247560627602273E-2</v>
          </cell>
        </row>
        <row r="125">
          <cell r="Y125">
            <v>-20</v>
          </cell>
          <cell r="Z125">
            <v>4.7685664830972107E-4</v>
          </cell>
          <cell r="AA125">
            <v>100</v>
          </cell>
          <cell r="AB125">
            <v>4.7685664830972106E-2</v>
          </cell>
          <cell r="AC125">
            <v>100</v>
          </cell>
          <cell r="AD125">
            <v>4.7685664830972106E-2</v>
          </cell>
        </row>
        <row r="126">
          <cell r="Y126">
            <v>-19</v>
          </cell>
          <cell r="Z126">
            <v>5.2509308360691937E-4</v>
          </cell>
          <cell r="AA126">
            <v>100</v>
          </cell>
          <cell r="AB126">
            <v>5.2509308360691939E-2</v>
          </cell>
          <cell r="AC126">
            <v>100</v>
          </cell>
          <cell r="AD126">
            <v>5.2509308360691939E-2</v>
          </cell>
        </row>
        <row r="127">
          <cell r="Y127">
            <v>-18</v>
          </cell>
          <cell r="Z127">
            <v>5.7743938233883649E-4</v>
          </cell>
          <cell r="AA127">
            <v>100</v>
          </cell>
          <cell r="AB127">
            <v>5.774393823388365E-2</v>
          </cell>
          <cell r="AC127">
            <v>100</v>
          </cell>
          <cell r="AD127">
            <v>5.774393823388365E-2</v>
          </cell>
        </row>
        <row r="128">
          <cell r="Y128">
            <v>-17</v>
          </cell>
          <cell r="Z128">
            <v>6.341581292152532E-4</v>
          </cell>
          <cell r="AA128">
            <v>100</v>
          </cell>
          <cell r="AB128">
            <v>6.3415812921525316E-2</v>
          </cell>
          <cell r="AC128">
            <v>100</v>
          </cell>
          <cell r="AD128">
            <v>6.3415812921525316E-2</v>
          </cell>
        </row>
        <row r="129">
          <cell r="Y129">
            <v>-16</v>
          </cell>
          <cell r="Z129">
            <v>6.9551932916490141E-4</v>
          </cell>
          <cell r="AA129">
            <v>100</v>
          </cell>
          <cell r="AB129">
            <v>6.9551932916490145E-2</v>
          </cell>
          <cell r="AC129">
            <v>100</v>
          </cell>
          <cell r="AD129">
            <v>6.9551932916490145E-2</v>
          </cell>
        </row>
        <row r="130">
          <cell r="Y130">
            <v>-15</v>
          </cell>
          <cell r="Z130">
            <v>7.6179958871475963E-4</v>
          </cell>
          <cell r="AA130">
            <v>100</v>
          </cell>
          <cell r="AB130">
            <v>7.6179958871475967E-2</v>
          </cell>
          <cell r="AC130">
            <v>100</v>
          </cell>
          <cell r="AD130">
            <v>7.6179958871475967E-2</v>
          </cell>
        </row>
        <row r="131">
          <cell r="Y131">
            <v>-14</v>
          </cell>
          <cell r="Z131">
            <v>8.3328116756721884E-4</v>
          </cell>
          <cell r="AA131">
            <v>100</v>
          </cell>
          <cell r="AB131">
            <v>8.3328116756721887E-2</v>
          </cell>
          <cell r="AC131">
            <v>100</v>
          </cell>
          <cell r="AD131">
            <v>8.3328116756721887E-2</v>
          </cell>
        </row>
        <row r="132">
          <cell r="Y132">
            <v>-13</v>
          </cell>
          <cell r="Z132">
            <v>9.1025089563230761E-4</v>
          </cell>
          <cell r="AA132">
            <v>100</v>
          </cell>
          <cell r="AB132">
            <v>9.1025089563230757E-2</v>
          </cell>
          <cell r="AC132">
            <v>100</v>
          </cell>
          <cell r="AD132">
            <v>9.1025089563230757E-2</v>
          </cell>
        </row>
        <row r="133">
          <cell r="Y133">
            <v>-12</v>
          </cell>
          <cell r="Z133">
            <v>9.9299895166283874E-4</v>
          </cell>
          <cell r="AA133">
            <v>100</v>
          </cell>
          <cell r="AB133">
            <v>9.9299895166283875E-2</v>
          </cell>
          <cell r="AC133">
            <v>100</v>
          </cell>
          <cell r="AD133">
            <v>9.9299895166283875E-2</v>
          </cell>
        </row>
        <row r="134">
          <cell r="Y134">
            <v>-11</v>
          </cell>
          <cell r="Z134">
            <v>1.0818175006629186E-3</v>
          </cell>
          <cell r="AA134">
            <v>100</v>
          </cell>
          <cell r="AB134">
            <v>0.10818175006629185</v>
          </cell>
          <cell r="AC134">
            <v>100</v>
          </cell>
          <cell r="AD134">
            <v>0.10818175006629185</v>
          </cell>
        </row>
        <row r="135">
          <cell r="Y135">
            <v>-10</v>
          </cell>
          <cell r="Z135">
            <v>1.1769991883969777E-3</v>
          </cell>
          <cell r="AA135">
            <v>100</v>
          </cell>
          <cell r="AB135">
            <v>0.11769991883969777</v>
          </cell>
          <cell r="AC135">
            <v>100</v>
          </cell>
          <cell r="AD135">
            <v>0.11769991883969777</v>
          </cell>
        </row>
        <row r="136">
          <cell r="Y136">
            <v>-9</v>
          </cell>
          <cell r="Z136">
            <v>1.2788354926143164E-3</v>
          </cell>
          <cell r="AA136">
            <v>100</v>
          </cell>
          <cell r="AB136">
            <v>0.12788354926143164</v>
          </cell>
          <cell r="AC136">
            <v>100</v>
          </cell>
          <cell r="AD136">
            <v>0.12788354926143164</v>
          </cell>
        </row>
        <row r="137">
          <cell r="Y137">
            <v>-8</v>
          </cell>
          <cell r="Z137">
            <v>1.3876149320185133E-3</v>
          </cell>
          <cell r="AA137">
            <v>100</v>
          </cell>
          <cell r="AB137">
            <v>0.13876149320185133</v>
          </cell>
          <cell r="AC137">
            <v>100</v>
          </cell>
          <cell r="AD137">
            <v>0.13876149320185133</v>
          </cell>
        </row>
        <row r="138">
          <cell r="Y138">
            <v>-7</v>
          </cell>
          <cell r="Z138">
            <v>1.5036211355462918E-3</v>
          </cell>
          <cell r="AA138">
            <v>100</v>
          </cell>
          <cell r="AB138">
            <v>0.15036211355462917</v>
          </cell>
          <cell r="AC138">
            <v>100</v>
          </cell>
          <cell r="AD138">
            <v>0.15036211355462917</v>
          </cell>
        </row>
        <row r="139">
          <cell r="Y139">
            <v>-6</v>
          </cell>
          <cell r="Z139">
            <v>1.6271307761685522E-3</v>
          </cell>
          <cell r="AA139">
            <v>100</v>
          </cell>
          <cell r="AB139">
            <v>0.16271307761685522</v>
          </cell>
          <cell r="AC139">
            <v>100</v>
          </cell>
          <cell r="AD139">
            <v>0.16271307761685522</v>
          </cell>
        </row>
        <row r="140">
          <cell r="Y140">
            <v>-5</v>
          </cell>
          <cell r="Z140">
            <v>1.7584113751738712E-3</v>
          </cell>
          <cell r="AA140">
            <v>100</v>
          </cell>
          <cell r="AB140">
            <v>0.17584113751738711</v>
          </cell>
          <cell r="AC140">
            <v>100</v>
          </cell>
          <cell r="AD140">
            <v>0.17584113751738711</v>
          </cell>
        </row>
        <row r="141">
          <cell r="Y141">
            <v>-4</v>
          </cell>
          <cell r="Z141">
            <v>1.8977189847306257E-3</v>
          </cell>
          <cell r="AA141">
            <v>100</v>
          </cell>
          <cell r="AB141">
            <v>0.18977189847306256</v>
          </cell>
          <cell r="AC141">
            <v>100</v>
          </cell>
          <cell r="AD141">
            <v>0.18977189847306256</v>
          </cell>
        </row>
        <row r="142">
          <cell r="Y142">
            <v>-3</v>
          </cell>
          <cell r="Z142">
            <v>2.0452957584302157E-3</v>
          </cell>
          <cell r="AA142">
            <v>100</v>
          </cell>
          <cell r="AB142">
            <v>0.20452957584302156</v>
          </cell>
          <cell r="AC142">
            <v>100</v>
          </cell>
          <cell r="AD142">
            <v>0.20452957584302156</v>
          </cell>
        </row>
        <row r="143">
          <cell r="Y143">
            <v>-2</v>
          </cell>
          <cell r="Z143">
            <v>2.20136742147499E-3</v>
          </cell>
          <cell r="AA143">
            <v>100</v>
          </cell>
          <cell r="AB143">
            <v>0.22013674214749901</v>
          </cell>
          <cell r="AC143">
            <v>100</v>
          </cell>
          <cell r="AD143">
            <v>0.22013674214749901</v>
          </cell>
        </row>
        <row r="144">
          <cell r="Y144">
            <v>-1</v>
          </cell>
          <cell r="Z144">
            <v>2.3661406541620419E-3</v>
          </cell>
          <cell r="AA144">
            <v>100</v>
          </cell>
          <cell r="AB144">
            <v>0.23661406541620419</v>
          </cell>
          <cell r="AC144">
            <v>100</v>
          </cell>
          <cell r="AD144">
            <v>0.23661406541620419</v>
          </cell>
        </row>
        <row r="145">
          <cell r="Y145">
            <v>0</v>
          </cell>
          <cell r="Z145">
            <v>2.5398004043179481E-3</v>
          </cell>
          <cell r="AA145">
            <v>100.00000000000003</v>
          </cell>
          <cell r="AB145">
            <v>0.2539800404317949</v>
          </cell>
          <cell r="AC145">
            <v>100</v>
          </cell>
          <cell r="AD145">
            <v>0.25398004043179478</v>
          </cell>
        </row>
        <row r="146">
          <cell r="Y146">
            <v>1</v>
          </cell>
          <cell r="Z146">
            <v>2.722507146318488E-3</v>
          </cell>
          <cell r="AA146">
            <v>99.000000000000014</v>
          </cell>
          <cell r="AB146">
            <v>0.26952820748553036</v>
          </cell>
          <cell r="AC146">
            <v>99</v>
          </cell>
          <cell r="AD146">
            <v>0.2695282074855303</v>
          </cell>
        </row>
        <row r="147">
          <cell r="Y147">
            <v>2</v>
          </cell>
          <cell r="Z147">
            <v>2.9143941062676894E-3</v>
          </cell>
          <cell r="AA147">
            <v>98.000000000000014</v>
          </cell>
          <cell r="AB147">
            <v>0.28561062241423357</v>
          </cell>
          <cell r="AC147">
            <v>98</v>
          </cell>
          <cell r="AD147">
            <v>0.28561062241423357</v>
          </cell>
        </row>
        <row r="148">
          <cell r="Y148">
            <v>3</v>
          </cell>
          <cell r="Z148">
            <v>3.1155644747775956E-3</v>
          </cell>
          <cell r="AA148">
            <v>97.000000000000014</v>
          </cell>
          <cell r="AB148">
            <v>0.30220975405342682</v>
          </cell>
          <cell r="AC148">
            <v>97</v>
          </cell>
          <cell r="AD148">
            <v>0.30220975405342676</v>
          </cell>
        </row>
        <row r="149">
          <cell r="Y149">
            <v>4</v>
          </cell>
          <cell r="Z149">
            <v>3.3260886305501534E-3</v>
          </cell>
          <cell r="AA149">
            <v>96.000000000000014</v>
          </cell>
          <cell r="AB149">
            <v>0.31930450853281478</v>
          </cell>
          <cell r="AC149">
            <v>96</v>
          </cell>
          <cell r="AD149">
            <v>0.31930450853281472</v>
          </cell>
        </row>
        <row r="150">
          <cell r="Y150">
            <v>5</v>
          </cell>
          <cell r="Z150">
            <v>3.5460013995969241E-3</v>
          </cell>
          <cell r="AA150">
            <v>95.000000000000014</v>
          </cell>
          <cell r="AB150">
            <v>0.33687013296170787</v>
          </cell>
          <cell r="AC150">
            <v>95</v>
          </cell>
          <cell r="AD150">
            <v>0.33687013296170781</v>
          </cell>
        </row>
        <row r="151">
          <cell r="Y151">
            <v>6</v>
          </cell>
          <cell r="Z151">
            <v>3.7752993763922218E-3</v>
          </cell>
          <cell r="AA151">
            <v>94.000000000000014</v>
          </cell>
          <cell r="AB151">
            <v>0.35487814138086893</v>
          </cell>
          <cell r="AC151">
            <v>94</v>
          </cell>
          <cell r="AD151">
            <v>0.35487814138086887</v>
          </cell>
        </row>
        <row r="152">
          <cell r="Y152">
            <v>7</v>
          </cell>
          <cell r="Z152">
            <v>4.0139383345284881E-3</v>
          </cell>
          <cell r="AA152">
            <v>93</v>
          </cell>
          <cell r="AB152">
            <v>0.37329626511114938</v>
          </cell>
          <cell r="AC152">
            <v>93</v>
          </cell>
          <cell r="AD152">
            <v>0.37329626511114938</v>
          </cell>
        </row>
        <row r="153">
          <cell r="Y153">
            <v>8</v>
          </cell>
          <cell r="Z153">
            <v>4.2618307554802455E-3</v>
          </cell>
          <cell r="AA153">
            <v>92</v>
          </cell>
          <cell r="AB153">
            <v>0.3920884295041826</v>
          </cell>
          <cell r="AC153">
            <v>92</v>
          </cell>
          <cell r="AD153">
            <v>0.3920884295041826</v>
          </cell>
        </row>
        <row r="154">
          <cell r="Y154">
            <v>9</v>
          </cell>
          <cell r="Z154">
            <v>4.5188435048719323E-3</v>
          </cell>
          <cell r="AA154">
            <v>91</v>
          </cell>
          <cell r="AB154">
            <v>0.41121475894334586</v>
          </cell>
          <cell r="AC154">
            <v>91</v>
          </cell>
          <cell r="AD154">
            <v>0.41121475894334586</v>
          </cell>
        </row>
        <row r="155">
          <cell r="Y155">
            <v>10</v>
          </cell>
          <cell r="Z155">
            <v>4.7847956861395416E-3</v>
          </cell>
          <cell r="AA155">
            <v>89.999999999999986</v>
          </cell>
          <cell r="AB155">
            <v>0.43063161175255865</v>
          </cell>
          <cell r="AC155">
            <v>90</v>
          </cell>
          <cell r="AD155">
            <v>0.43063161175255876</v>
          </cell>
        </row>
        <row r="156">
          <cell r="Y156">
            <v>11</v>
          </cell>
          <cell r="Z156">
            <v>5.059456701670996E-3</v>
          </cell>
          <cell r="AA156">
            <v>89</v>
          </cell>
          <cell r="AB156">
            <v>0.45029164644871866</v>
          </cell>
          <cell r="AC156">
            <v>89</v>
          </cell>
          <cell r="AD156">
            <v>0.45029164644871866</v>
          </cell>
        </row>
        <row r="157">
          <cell r="Y157">
            <v>12</v>
          </cell>
          <cell r="Z157">
            <v>5.3425445513576126E-3</v>
          </cell>
          <cell r="AA157">
            <v>87.999999999999986</v>
          </cell>
          <cell r="AB157">
            <v>0.47014392051946985</v>
          </cell>
          <cell r="AC157">
            <v>88</v>
          </cell>
          <cell r="AD157">
            <v>0.4701439205194699</v>
          </cell>
        </row>
        <row r="158">
          <cell r="Y158">
            <v>13</v>
          </cell>
          <cell r="Z158">
            <v>5.633724397995964E-3</v>
          </cell>
          <cell r="AA158">
            <v>86.999999999999986</v>
          </cell>
          <cell r="AB158">
            <v>0.49013402262564881</v>
          </cell>
          <cell r="AC158">
            <v>87</v>
          </cell>
          <cell r="AD158">
            <v>0.49013402262564887</v>
          </cell>
        </row>
        <row r="159">
          <cell r="Y159">
            <v>14</v>
          </cell>
          <cell r="Z159">
            <v>5.9326074280991944E-3</v>
          </cell>
          <cell r="AA159">
            <v>85.999999999999986</v>
          </cell>
          <cell r="AB159">
            <v>0.51020423881653065</v>
          </cell>
          <cell r="AC159">
            <v>86</v>
          </cell>
          <cell r="AD159">
            <v>0.51020423881653076</v>
          </cell>
        </row>
        <row r="160">
          <cell r="Y160">
            <v>15</v>
          </cell>
          <cell r="Z160">
            <v>6.2387500354345775E-3</v>
          </cell>
          <cell r="AA160">
            <v>85</v>
          </cell>
          <cell r="AB160">
            <v>0.53029375301193904</v>
          </cell>
          <cell r="AC160">
            <v>85</v>
          </cell>
          <cell r="AD160">
            <v>0.53029375301193904</v>
          </cell>
        </row>
        <row r="161">
          <cell r="Y161">
            <v>16</v>
          </cell>
          <cell r="Z161">
            <v>6.5516533529457275E-3</v>
          </cell>
          <cell r="AA161">
            <v>84</v>
          </cell>
          <cell r="AB161">
            <v>0.55033888164744116</v>
          </cell>
          <cell r="AC161">
            <v>84</v>
          </cell>
          <cell r="AD161">
            <v>0.55033888164744116</v>
          </cell>
        </row>
        <row r="162">
          <cell r="Y162">
            <v>17</v>
          </cell>
          <cell r="Z162">
            <v>6.8707631566941301E-3</v>
          </cell>
          <cell r="AA162">
            <v>83.000000000000014</v>
          </cell>
          <cell r="AB162">
            <v>0.57027334200561286</v>
          </cell>
          <cell r="AC162">
            <v>83</v>
          </cell>
          <cell r="AD162">
            <v>0.57027334200561275</v>
          </cell>
        </row>
        <row r="163">
          <cell r="Y163">
            <v>18</v>
          </cell>
          <cell r="Z163">
            <v>7.1954701630208839E-3</v>
          </cell>
          <cell r="AA163">
            <v>82.000000000000014</v>
          </cell>
          <cell r="AB163">
            <v>0.59002855336771254</v>
          </cell>
          <cell r="AC163">
            <v>82</v>
          </cell>
          <cell r="AD163">
            <v>0.59002855336771254</v>
          </cell>
        </row>
        <row r="164">
          <cell r="Y164">
            <v>19</v>
          </cell>
          <cell r="Z164">
            <v>7.5251107373275261E-3</v>
          </cell>
          <cell r="AA164">
            <v>81.000000000000014</v>
          </cell>
          <cell r="AB164">
            <v>0.60953396972352969</v>
          </cell>
          <cell r="AC164">
            <v>81</v>
          </cell>
          <cell r="AD164">
            <v>0.60953396972352958</v>
          </cell>
        </row>
        <row r="165">
          <cell r="Y165">
            <v>20</v>
          </cell>
          <cell r="Z165">
            <v>7.8589680297050744E-3</v>
          </cell>
          <cell r="AA165">
            <v>80.000000000000014</v>
          </cell>
          <cell r="AB165">
            <v>0.62871744237640603</v>
          </cell>
          <cell r="AC165">
            <v>80</v>
          </cell>
          <cell r="AD165">
            <v>0.62871744237640592</v>
          </cell>
        </row>
        <row r="166">
          <cell r="Y166">
            <v>21</v>
          </cell>
          <cell r="Z166">
            <v>8.1962735491275286E-3</v>
          </cell>
          <cell r="AA166">
            <v>79.000000000000014</v>
          </cell>
          <cell r="AB166">
            <v>0.6475056103810749</v>
          </cell>
          <cell r="AC166">
            <v>79</v>
          </cell>
          <cell r="AD166">
            <v>0.64750561038107479</v>
          </cell>
        </row>
        <row r="167">
          <cell r="Y167">
            <v>22</v>
          </cell>
          <cell r="Z167">
            <v>8.5362091840982847E-3</v>
          </cell>
          <cell r="AA167">
            <v>78.000000000000028</v>
          </cell>
          <cell r="AB167">
            <v>0.66582431635966643</v>
          </cell>
          <cell r="AC167">
            <v>78</v>
          </cell>
          <cell r="AD167">
            <v>0.66582431635966621</v>
          </cell>
        </row>
        <row r="168">
          <cell r="Y168">
            <v>23</v>
          </cell>
          <cell r="Z168">
            <v>8.8779096735278028E-3</v>
          </cell>
          <cell r="AA168">
            <v>77.000000000000028</v>
          </cell>
          <cell r="AB168">
            <v>0.68359904486164103</v>
          </cell>
          <cell r="AC168">
            <v>77</v>
          </cell>
          <cell r="AD168">
            <v>0.6835990448616408</v>
          </cell>
        </row>
        <row r="169">
          <cell r="Y169">
            <v>24</v>
          </cell>
          <cell r="Z169">
            <v>9.2204655272648938E-3</v>
          </cell>
          <cell r="AA169">
            <v>76.000000000000028</v>
          </cell>
          <cell r="AB169">
            <v>0.70075538007213223</v>
          </cell>
          <cell r="AC169">
            <v>76</v>
          </cell>
          <cell r="AD169">
            <v>0.70075538007213189</v>
          </cell>
        </row>
        <row r="170">
          <cell r="Y170">
            <v>25</v>
          </cell>
          <cell r="Z170">
            <v>9.5629263911566949E-3</v>
          </cell>
          <cell r="AA170">
            <v>75.000000000000028</v>
          </cell>
          <cell r="AB170">
            <v>0.71721947933675234</v>
          </cell>
          <cell r="AC170">
            <v>75</v>
          </cell>
          <cell r="AD170">
            <v>0.71721947933675212</v>
          </cell>
        </row>
        <row r="171">
          <cell r="Y171">
            <v>26</v>
          </cell>
          <cell r="Z171">
            <v>9.9043048468062563E-3</v>
          </cell>
          <cell r="AA171">
            <v>74.000000000000028</v>
          </cell>
          <cell r="AB171">
            <v>0.73291855866366329</v>
          </cell>
          <cell r="AC171">
            <v>74</v>
          </cell>
          <cell r="AD171">
            <v>0.73291855866366296</v>
          </cell>
        </row>
        <row r="172">
          <cell r="Y172">
            <v>27</v>
          </cell>
          <cell r="Z172">
            <v>1.0243580631403803E-2</v>
          </cell>
          <cell r="AA172">
            <v>73.000000000000028</v>
          </cell>
          <cell r="AB172">
            <v>0.74778138609247791</v>
          </cell>
          <cell r="AC172">
            <v>73</v>
          </cell>
          <cell r="AD172">
            <v>0.74778138609247757</v>
          </cell>
        </row>
        <row r="173">
          <cell r="Y173">
            <v>28</v>
          </cell>
          <cell r="Z173">
            <v>1.0579705258174615E-2</v>
          </cell>
          <cell r="AA173">
            <v>72.000000000000014</v>
          </cell>
          <cell r="AB173">
            <v>0.76173877858857242</v>
          </cell>
          <cell r="AC173">
            <v>72</v>
          </cell>
          <cell r="AD173">
            <v>0.76173877858857231</v>
          </cell>
        </row>
        <row r="174">
          <cell r="Y174">
            <v>29</v>
          </cell>
          <cell r="Z174">
            <v>1.0911607013179248E-2</v>
          </cell>
          <cell r="AA174">
            <v>71.000000000000028</v>
          </cell>
          <cell r="AB174">
            <v>0.77472409793572694</v>
          </cell>
          <cell r="AC174">
            <v>70.999999999999986</v>
          </cell>
          <cell r="AD174">
            <v>0.7747240979357265</v>
          </cell>
        </row>
        <row r="175">
          <cell r="Y175">
            <v>30</v>
          </cell>
          <cell r="Z175">
            <v>1.1238196299472899E-2</v>
          </cell>
          <cell r="AA175">
            <v>70</v>
          </cell>
          <cell r="AB175">
            <v>0.78667374096310294</v>
          </cell>
          <cell r="AC175">
            <v>70</v>
          </cell>
          <cell r="AD175">
            <v>0.78667374096310294</v>
          </cell>
        </row>
        <row r="176">
          <cell r="Y176">
            <v>31</v>
          </cell>
          <cell r="Z176">
            <v>1.155837129507311E-2</v>
          </cell>
          <cell r="AA176">
            <v>69</v>
          </cell>
          <cell r="AB176">
            <v>0.79752761936004457</v>
          </cell>
          <cell r="AC176">
            <v>69</v>
          </cell>
          <cell r="AD176">
            <v>0.79752761936004457</v>
          </cell>
        </row>
        <row r="177">
          <cell r="Y177">
            <v>32</v>
          </cell>
          <cell r="Z177">
            <v>1.1871023886817015E-2</v>
          </cell>
          <cell r="AA177">
            <v>68</v>
          </cell>
          <cell r="AB177">
            <v>0.80722962430355705</v>
          </cell>
          <cell r="AC177">
            <v>68</v>
          </cell>
          <cell r="AD177">
            <v>0.80722962430355705</v>
          </cell>
        </row>
        <row r="178">
          <cell r="Y178">
            <v>33</v>
          </cell>
          <cell r="Z178">
            <v>1.2175045838131081E-2</v>
          </cell>
          <cell r="AA178">
            <v>67</v>
          </cell>
          <cell r="AB178">
            <v>0.81572807115478241</v>
          </cell>
          <cell r="AC178">
            <v>67</v>
          </cell>
          <cell r="AD178">
            <v>0.81572807115478241</v>
          </cell>
        </row>
        <row r="179">
          <cell r="Y179">
            <v>34</v>
          </cell>
          <cell r="Z179">
            <v>1.2469335144992403E-2</v>
          </cell>
          <cell r="AA179">
            <v>66</v>
          </cell>
          <cell r="AB179">
            <v>0.82297611956949857</v>
          </cell>
          <cell r="AC179">
            <v>66.000000000000014</v>
          </cell>
          <cell r="AD179">
            <v>0.82297611956949879</v>
          </cell>
        </row>
        <row r="180">
          <cell r="Y180">
            <v>35</v>
          </cell>
          <cell r="Z180">
            <v>1.2752802531048756E-2</v>
          </cell>
          <cell r="AA180">
            <v>65.000000000000014</v>
          </cell>
          <cell r="AB180">
            <v>0.82893216451816931</v>
          </cell>
          <cell r="AC180">
            <v>65.000000000000028</v>
          </cell>
          <cell r="AD180">
            <v>0.82893216451816953</v>
          </cell>
        </row>
        <row r="181">
          <cell r="Y181">
            <v>36</v>
          </cell>
          <cell r="Z181">
            <v>1.3024378029982093E-2</v>
          </cell>
          <cell r="AA181">
            <v>64.000000000000071</v>
          </cell>
          <cell r="AB181">
            <v>0.83356019391885483</v>
          </cell>
          <cell r="AC181">
            <v>64.000000000000085</v>
          </cell>
          <cell r="AD181">
            <v>0.83356019391885505</v>
          </cell>
        </row>
        <row r="182">
          <cell r="Y182">
            <v>37</v>
          </cell>
          <cell r="Z182">
            <v>1.328301760085936E-2</v>
          </cell>
          <cell r="AA182">
            <v>63.000000000000227</v>
          </cell>
          <cell r="AB182">
            <v>0.83683010885414266</v>
          </cell>
          <cell r="AC182">
            <v>63.000000000000242</v>
          </cell>
          <cell r="AD182">
            <v>0.83683010885414288</v>
          </cell>
        </row>
        <row r="183">
          <cell r="Y183">
            <v>38</v>
          </cell>
          <cell r="Z183">
            <v>1.3527709720398547E-2</v>
          </cell>
          <cell r="AA183">
            <v>62.000000000000654</v>
          </cell>
          <cell r="AB183">
            <v>0.83871800266471874</v>
          </cell>
          <cell r="AC183">
            <v>62.000000000000661</v>
          </cell>
          <cell r="AD183">
            <v>0.83871800266471885</v>
          </cell>
        </row>
        <row r="184">
          <cell r="Y184">
            <v>39</v>
          </cell>
          <cell r="Z184">
            <v>1.3757481894883242E-2</v>
          </cell>
          <cell r="AA184">
            <v>61.000000000001791</v>
          </cell>
          <cell r="AB184">
            <v>0.83920639558790244</v>
          </cell>
          <cell r="AC184">
            <v>61.000000000001798</v>
          </cell>
          <cell r="AD184">
            <v>0.83920639558790255</v>
          </cell>
        </row>
        <row r="185">
          <cell r="Y185">
            <v>40</v>
          </cell>
          <cell r="Z185">
            <v>1.3971407033875213E-2</v>
          </cell>
          <cell r="AA185">
            <v>60.000000000004746</v>
          </cell>
          <cell r="AB185">
            <v>0.83828442203257914</v>
          </cell>
          <cell r="AC185">
            <v>60.000000000004761</v>
          </cell>
          <cell r="AD185">
            <v>0.83828442203257936</v>
          </cell>
        </row>
        <row r="186">
          <cell r="Y186">
            <v>41</v>
          </cell>
          <cell r="Z186">
            <v>1.4168609627941154E-2</v>
          </cell>
          <cell r="AA186">
            <v>59.000000000012278</v>
          </cell>
          <cell r="AB186">
            <v>0.83594796804870208</v>
          </cell>
          <cell r="AC186">
            <v>59.000000000012285</v>
          </cell>
          <cell r="AD186">
            <v>0.83594796804870219</v>
          </cell>
        </row>
        <row r="187">
          <cell r="Y187">
            <v>42</v>
          </cell>
          <cell r="Z187">
            <v>1.4348271673349509E-2</v>
          </cell>
          <cell r="AA187">
            <v>58.000000000030909</v>
          </cell>
          <cell r="AB187">
            <v>0.83219975705471505</v>
          </cell>
          <cell r="AC187">
            <v>58.000000000030923</v>
          </cell>
          <cell r="AD187">
            <v>0.83219975705471516</v>
          </cell>
        </row>
        <row r="188">
          <cell r="Y188">
            <v>43</v>
          </cell>
          <cell r="Z188">
            <v>1.4509638288092557E-2</v>
          </cell>
          <cell r="AA188">
            <v>57.000000000076028</v>
          </cell>
          <cell r="AB188">
            <v>0.82704938242237891</v>
          </cell>
          <cell r="AC188">
            <v>57.000000000076035</v>
          </cell>
          <cell r="AD188">
            <v>0.82704938242237902</v>
          </cell>
        </row>
        <row r="189">
          <cell r="Y189">
            <v>44</v>
          </cell>
          <cell r="Z189">
            <v>1.4652022965663172E-2</v>
          </cell>
          <cell r="AA189">
            <v>56.000000000182723</v>
          </cell>
          <cell r="AB189">
            <v>0.82051328607981489</v>
          </cell>
          <cell r="AC189">
            <v>56.000000000182723</v>
          </cell>
          <cell r="AD189">
            <v>0.82051328607981489</v>
          </cell>
        </row>
        <row r="190">
          <cell r="Y190">
            <v>45</v>
          </cell>
          <cell r="Z190">
            <v>1.47748124157248E-2</v>
          </cell>
          <cell r="AA190">
            <v>55.000000000429367</v>
          </cell>
          <cell r="AB190">
            <v>0.81261468287120786</v>
          </cell>
          <cell r="AC190">
            <v>55.000000000429367</v>
          </cell>
          <cell r="AD190">
            <v>0.81261468287120786</v>
          </cell>
        </row>
        <row r="191">
          <cell r="Y191">
            <v>46</v>
          </cell>
          <cell r="Z191">
            <v>1.4877470944178989E-2</v>
          </cell>
          <cell r="AA191">
            <v>54.000000000986986</v>
          </cell>
          <cell r="AB191">
            <v>0.80338343100034926</v>
          </cell>
          <cell r="AC191">
            <v>54.000000000986986</v>
          </cell>
          <cell r="AD191">
            <v>0.80338343100034926</v>
          </cell>
        </row>
        <row r="192">
          <cell r="Y192">
            <v>47</v>
          </cell>
          <cell r="Z192">
            <v>1.4959544329064338E-2</v>
          </cell>
          <cell r="AA192">
            <v>53.000000002220659</v>
          </cell>
          <cell r="AB192">
            <v>0.79285584947362997</v>
          </cell>
          <cell r="AC192">
            <v>53.000000002220666</v>
          </cell>
          <cell r="AD192">
            <v>0.79285584947363008</v>
          </cell>
        </row>
        <row r="193">
          <cell r="Y193">
            <v>48</v>
          </cell>
          <cell r="Z193">
            <v>1.502066315322868E-2</v>
          </cell>
          <cell r="AA193">
            <v>52.000000004892755</v>
          </cell>
          <cell r="AB193">
            <v>0.7810744840413838</v>
          </cell>
          <cell r="AC193">
            <v>52.000000004892755</v>
          </cell>
          <cell r="AD193">
            <v>0.7810744840413838</v>
          </cell>
        </row>
        <row r="194">
          <cell r="Y194">
            <v>49</v>
          </cell>
          <cell r="Z194">
            <v>1.5060545559712021E-2</v>
          </cell>
          <cell r="AA194">
            <v>51.000000010561536</v>
          </cell>
          <cell r="AB194">
            <v>0.76808782370437556</v>
          </cell>
          <cell r="AC194">
            <v>51.000000010561543</v>
          </cell>
          <cell r="AD194">
            <v>0.76808782370437567</v>
          </cell>
        </row>
        <row r="195">
          <cell r="Y195">
            <v>50</v>
          </cell>
          <cell r="Z195">
            <v>1.5078999401231358E-2</v>
          </cell>
          <cell r="AA195">
            <v>50.000000022346043</v>
          </cell>
          <cell r="AB195">
            <v>0.75394997039852385</v>
          </cell>
          <cell r="AC195">
            <v>50.000000022346043</v>
          </cell>
          <cell r="AD195">
            <v>0.75394997039852385</v>
          </cell>
        </row>
        <row r="196">
          <cell r="Y196">
            <v>51</v>
          </cell>
          <cell r="Z196">
            <v>1.5075923760977977E-2</v>
          </cell>
          <cell r="AA196">
            <v>49.000000046361947</v>
          </cell>
          <cell r="AB196">
            <v>0.73872026498687005</v>
          </cell>
          <cell r="AC196">
            <v>49.000000046361968</v>
          </cell>
          <cell r="AD196">
            <v>0.73872026498687038</v>
          </cell>
        </row>
        <row r="197">
          <cell r="Y197">
            <v>52</v>
          </cell>
          <cell r="Z197">
            <v>1.5051309828085408E-2</v>
          </cell>
          <cell r="AA197">
            <v>48.000000094361056</v>
          </cell>
          <cell r="AB197">
            <v>0.72246287316835711</v>
          </cell>
          <cell r="AC197">
            <v>48.00000009436107</v>
          </cell>
          <cell r="AD197">
            <v>0.72246287316835733</v>
          </cell>
        </row>
        <row r="198">
          <cell r="Y198">
            <v>53</v>
          </cell>
          <cell r="Z198">
            <v>1.5005241117473691E-2</v>
          </cell>
          <cell r="AA198">
            <v>47.00000018848165</v>
          </cell>
          <cell r="AB198">
            <v>0.70524633534947612</v>
          </cell>
          <cell r="AC198">
            <v>47.000000188481671</v>
          </cell>
          <cell r="AD198">
            <v>0.70524633534947645</v>
          </cell>
        </row>
        <row r="199">
          <cell r="Y199">
            <v>54</v>
          </cell>
          <cell r="Z199">
            <v>1.4937893030321541E-2</v>
          </cell>
          <cell r="AA199">
            <v>46.000000369623947</v>
          </cell>
          <cell r="AB199">
            <v>0.68714308491619391</v>
          </cell>
          <cell r="AC199">
            <v>46.000000369623969</v>
          </cell>
          <cell r="AD199">
            <v>0.68714308491619425</v>
          </cell>
        </row>
        <row r="200">
          <cell r="Y200">
            <v>55</v>
          </cell>
          <cell r="Z200">
            <v>1.4849531757978152E-2</v>
          </cell>
          <cell r="AA200">
            <v>45.000000711917536</v>
          </cell>
          <cell r="AB200">
            <v>0.66822893968065888</v>
          </cell>
          <cell r="AC200">
            <v>45.000000711917558</v>
          </cell>
          <cell r="AD200">
            <v>0.66822893968065922</v>
          </cell>
        </row>
        <row r="201">
          <cell r="Y201">
            <v>56</v>
          </cell>
          <cell r="Z201">
            <v>1.4740512538719004E-2</v>
          </cell>
          <cell r="AA201">
            <v>44.00000134721347</v>
          </cell>
          <cell r="AB201">
            <v>0.64858257156225319</v>
          </cell>
          <cell r="AC201">
            <v>44.000001347213491</v>
          </cell>
          <cell r="AD201">
            <v>0.64858257156225352</v>
          </cell>
        </row>
        <row r="202">
          <cell r="Y202">
            <v>57</v>
          </cell>
          <cell r="Z202">
            <v>1.4611277283208329E-2</v>
          </cell>
          <cell r="AA202">
            <v>43.000002505727892</v>
          </cell>
          <cell r="AB202">
            <v>0.62828495978984322</v>
          </cell>
          <cell r="AC202">
            <v>43.000002505727906</v>
          </cell>
          <cell r="AD202">
            <v>0.62828495978984333</v>
          </cell>
        </row>
        <row r="203">
          <cell r="Y203">
            <v>58</v>
          </cell>
          <cell r="Z203">
            <v>1.4462351590822558E-2</v>
          </cell>
          <cell r="AA203">
            <v>42.000004582169453</v>
          </cell>
          <cell r="AB203">
            <v>0.60741883308349309</v>
          </cell>
          <cell r="AC203">
            <v>42.000004582169467</v>
          </cell>
          <cell r="AD203">
            <v>0.60741883308349331</v>
          </cell>
        </row>
        <row r="204">
          <cell r="Y204">
            <v>59</v>
          </cell>
          <cell r="Z204">
            <v>1.4294341185009435E-2</v>
          </cell>
          <cell r="AA204">
            <v>41.000008241244032</v>
          </cell>
          <cell r="AB204">
            <v>0.58606810638854079</v>
          </cell>
          <cell r="AC204">
            <v>41.000008241244053</v>
          </cell>
          <cell r="AD204">
            <v>0.58606810638854112</v>
          </cell>
        </row>
        <row r="205">
          <cell r="Y205">
            <v>60</v>
          </cell>
          <cell r="Z205">
            <v>1.4107927801536097E-2</v>
          </cell>
          <cell r="AA205">
            <v>40.000014582747454</v>
          </cell>
          <cell r="AB205">
            <v>0.56431731779379213</v>
          </cell>
          <cell r="AC205">
            <v>40.000014582747482</v>
          </cell>
          <cell r="AD205">
            <v>0.56431731779379257</v>
          </cell>
        </row>
        <row r="206">
          <cell r="Y206">
            <v>61</v>
          </cell>
          <cell r="Z206">
            <v>1.3903864568756212E-2</v>
          </cell>
          <cell r="AA206">
            <v>39.000025394965633</v>
          </cell>
          <cell r="AB206">
            <v>0.54225107126965522</v>
          </cell>
          <cell r="AC206">
            <v>39.000025394965647</v>
          </cell>
          <cell r="AD206">
            <v>0.54225107126965533</v>
          </cell>
        </row>
        <row r="207">
          <cell r="Y207">
            <v>62</v>
          </cell>
          <cell r="Z207">
            <v>1.3682970923792169E-2</v>
          </cell>
          <cell r="AA207">
            <v>38.000043536224368</v>
          </cell>
          <cell r="AB207">
            <v>0.51995349080899456</v>
          </cell>
          <cell r="AC207">
            <v>38.000043536224382</v>
          </cell>
          <cell r="AD207">
            <v>0.51995349080899478</v>
          </cell>
        </row>
        <row r="208">
          <cell r="Y208">
            <v>63</v>
          </cell>
          <cell r="Z208">
            <v>1.3446127112810546E-2</v>
          </cell>
          <cell r="AA208">
            <v>37.000073498516258</v>
          </cell>
          <cell r="AB208">
            <v>0.49750769144438239</v>
          </cell>
          <cell r="AC208">
            <v>37.000073498516279</v>
          </cell>
          <cell r="AD208">
            <v>0.49750769144438267</v>
          </cell>
        </row>
        <row r="209">
          <cell r="Y209">
            <v>64</v>
          </cell>
          <cell r="Z209">
            <v>1.3194268327196996E-2</v>
          </cell>
          <cell r="AA209">
            <v>36.000122224352864</v>
          </cell>
          <cell r="AB209">
            <v>0.47499527243999967</v>
          </cell>
          <cell r="AC209">
            <v>36.000122224352886</v>
          </cell>
          <cell r="AD209">
            <v>0.47499527243999995</v>
          </cell>
        </row>
        <row r="210">
          <cell r="Y210">
            <v>65</v>
          </cell>
          <cell r="Z210">
            <v>1.2928378530498085E-2</v>
          </cell>
          <cell r="AA210">
            <v>35.00020026822807</v>
          </cell>
          <cell r="AB210">
            <v>0.45249583771089313</v>
          </cell>
          <cell r="AC210">
            <v>35.000200268228085</v>
          </cell>
          <cell r="AD210">
            <v>0.4524958377108933</v>
          </cell>
        </row>
        <row r="211">
          <cell r="Y211">
            <v>66</v>
          </cell>
          <cell r="Z211">
            <v>1.2649484033351449E-2</v>
          </cell>
          <cell r="AA211">
            <v>34.000323416778045</v>
          </cell>
          <cell r="AB211">
            <v>0.43008654818931924</v>
          </cell>
          <cell r="AC211">
            <v>34.000323416778066</v>
          </cell>
          <cell r="AD211">
            <v>0.43008654818931952</v>
          </cell>
        </row>
        <row r="212">
          <cell r="Y212">
            <v>67</v>
          </cell>
          <cell r="Z212">
            <v>1.2358646875320269E-2</v>
          </cell>
          <cell r="AA212">
            <v>33.000514905744353</v>
          </cell>
          <cell r="AB212">
            <v>0.40784171042383738</v>
          </cell>
          <cell r="AC212">
            <v>33.000514905744367</v>
          </cell>
          <cell r="AD212">
            <v>0.4078417104238376</v>
          </cell>
        </row>
        <row r="213">
          <cell r="Y213">
            <v>68</v>
          </cell>
          <cell r="Z213">
            <v>1.2056958073524414E-2</v>
          </cell>
          <cell r="AA213">
            <v>32.000808395332044</v>
          </cell>
          <cell r="AB213">
            <v>0.38583240514140654</v>
          </cell>
          <cell r="AC213">
            <v>32.000808395332051</v>
          </cell>
          <cell r="AD213">
            <v>0.3858324051414066</v>
          </cell>
        </row>
        <row r="214">
          <cell r="Y214">
            <v>69</v>
          </cell>
          <cell r="Z214">
            <v>1.1745530798284739E-2</v>
          </cell>
          <cell r="AA214">
            <v>31.001251885833526</v>
          </cell>
          <cell r="AB214">
            <v>0.36412615881044053</v>
          </cell>
          <cell r="AC214">
            <v>31.001251885833526</v>
          </cell>
          <cell r="AD214">
            <v>0.36412615881044053</v>
          </cell>
        </row>
        <row r="215">
          <cell r="Y215">
            <v>70</v>
          </cell>
          <cell r="Z215">
            <v>1.142549353554582E-2</v>
          </cell>
          <cell r="AA215">
            <v>30.001912768963678</v>
          </cell>
          <cell r="AB215">
            <v>0.34278666039580408</v>
          </cell>
          <cell r="AC215">
            <v>30.001912768963678</v>
          </cell>
          <cell r="AD215">
            <v>0.34278666039580408</v>
          </cell>
        </row>
        <row r="216">
          <cell r="Y216">
            <v>71</v>
          </cell>
          <cell r="Z216">
            <v>1.109798329481747E-2</v>
          </cell>
          <cell r="AA216">
            <v>29.002884212991958</v>
          </cell>
          <cell r="AB216">
            <v>0.32187352449731005</v>
          </cell>
          <cell r="AC216">
            <v>29.002884212991955</v>
          </cell>
          <cell r="AD216">
            <v>0.32187352449731005</v>
          </cell>
        </row>
        <row r="217">
          <cell r="Y217">
            <v>72</v>
          </cell>
          <cell r="Z217">
            <v>1.0764138919620162E-2</v>
          </cell>
          <cell r="AA217">
            <v>28.004293066735897</v>
          </cell>
          <cell r="AB217">
            <v>0.30144210091610096</v>
          </cell>
          <cell r="AC217">
            <v>28.004293066735897</v>
          </cell>
          <cell r="AD217">
            <v>0.30144210091610096</v>
          </cell>
        </row>
        <row r="218">
          <cell r="Y218">
            <v>73</v>
          </cell>
          <cell r="Z218">
            <v>1.04250945551005E-2</v>
          </cell>
          <cell r="AA218">
            <v>27.006309433973811</v>
          </cell>
          <cell r="AB218">
            <v>0.28154332943347965</v>
          </cell>
          <cell r="AC218">
            <v>27.006309433973811</v>
          </cell>
          <cell r="AD218">
            <v>0.28154332943347965</v>
          </cell>
        </row>
        <row r="219">
          <cell r="Y219">
            <v>74</v>
          </cell>
          <cell r="Z219">
            <v>1.0081973324574563E-2</v>
          </cell>
          <cell r="AA219">
            <v>26.009158011477446</v>
          </cell>
          <cell r="AB219">
            <v>0.26222363726636039</v>
          </cell>
          <cell r="AC219">
            <v>26.009158011477446</v>
          </cell>
          <cell r="AD219">
            <v>0.26222363726636039</v>
          </cell>
        </row>
        <row r="220">
          <cell r="Y220">
            <v>75</v>
          </cell>
          <cell r="Z220">
            <v>9.7358812633461765E-3</v>
          </cell>
          <cell r="AA220">
            <v>25.013131197448267</v>
          </cell>
          <cell r="AB220">
            <v>0.2435248753628563</v>
          </cell>
          <cell r="AC220">
            <v>25.013131197448267</v>
          </cell>
          <cell r="AD220">
            <v>0.2435248753628563</v>
          </cell>
        </row>
        <row r="221">
          <cell r="Y221">
            <v>76</v>
          </cell>
          <cell r="Z221">
            <v>9.3879015542449179E-3</v>
          </cell>
          <cell r="AA221">
            <v>24.01860386137534</v>
          </cell>
          <cell r="AB221">
            <v>0.22548428852099853</v>
          </cell>
          <cell r="AC221">
            <v>24.018603861375336</v>
          </cell>
          <cell r="AD221">
            <v>0.2254842885209985</v>
          </cell>
        </row>
        <row r="222">
          <cell r="Y222">
            <v>77</v>
          </cell>
          <cell r="Z222">
            <v>9.0390891050774434E-3</v>
          </cell>
          <cell r="AA222">
            <v>23.02604952261327</v>
          </cell>
          <cell r="AB222">
            <v>0.20813451337282729</v>
          </cell>
          <cell r="AC222">
            <v>23.02604952261327</v>
          </cell>
          <cell r="AD222">
            <v>0.20813451337282729</v>
          </cell>
        </row>
        <row r="223">
          <cell r="Y223">
            <v>78</v>
          </cell>
          <cell r="Z223">
            <v>8.6904655035434757E-3</v>
          </cell>
          <cell r="AA223">
            <v>22.036057518021138</v>
          </cell>
          <cell r="AB223">
            <v>0.19150359769446257</v>
          </cell>
          <cell r="AC223">
            <v>22.036057518021138</v>
          </cell>
          <cell r="AD223">
            <v>0.19150359769446257</v>
          </cell>
        </row>
        <row r="224">
          <cell r="Y224">
            <v>79</v>
          </cell>
          <cell r="Z224">
            <v>8.343014380300889E-3</v>
          </cell>
          <cell r="AA224">
            <v>21.049350557236636</v>
          </cell>
          <cell r="AB224">
            <v>0.1756150343950198</v>
          </cell>
          <cell r="AC224">
            <v>21.049350557236632</v>
          </cell>
          <cell r="AD224">
            <v>0.17561503439501974</v>
          </cell>
        </row>
        <row r="225">
          <cell r="Y225">
            <v>80</v>
          </cell>
          <cell r="Z225">
            <v>7.9976772057932886E-3</v>
          </cell>
          <cell r="AA225">
            <v>20.066801879752909</v>
          </cell>
          <cell r="AB225">
            <v>0.16048780398686976</v>
          </cell>
          <cell r="AC225">
            <v>20.066801879752905</v>
          </cell>
          <cell r="AD225">
            <v>0.16048780398686974</v>
          </cell>
        </row>
        <row r="226">
          <cell r="Y226">
            <v>81</v>
          </cell>
          <cell r="Z226">
            <v>7.6553495412549095E-3</v>
          </cell>
          <cell r="AA226">
            <v>19.089451056395163</v>
          </cell>
          <cell r="AB226">
            <v>0.14613642038738275</v>
          </cell>
          <cell r="AC226">
            <v>19.089451056395159</v>
          </cell>
          <cell r="AD226">
            <v>0.14613642038738273</v>
          </cell>
        </row>
        <row r="227">
          <cell r="Y227">
            <v>82</v>
          </cell>
          <cell r="Z227">
            <v>7.3168777590465117E-3</v>
          </cell>
          <cell r="AA227">
            <v>18.118517336896652</v>
          </cell>
          <cell r="AB227">
            <v>0.13257097652923774</v>
          </cell>
          <cell r="AC227">
            <v>18.118517336896652</v>
          </cell>
          <cell r="AD227">
            <v>0.13257097652923774</v>
          </cell>
        </row>
        <row r="228">
          <cell r="Y228">
            <v>83</v>
          </cell>
          <cell r="Z228">
            <v>6.9830562422654356E-3</v>
          </cell>
          <cell r="AA228">
            <v>17.155409353811848</v>
          </cell>
          <cell r="AB228">
            <v>0.11979718837675467</v>
          </cell>
          <cell r="AC228">
            <v>17.155409353811844</v>
          </cell>
          <cell r="AD228">
            <v>0.11979718837675464</v>
          </cell>
        </row>
        <row r="229">
          <cell r="Y229">
            <v>84</v>
          </cell>
          <cell r="Z229">
            <v>6.6546250684042943E-3</v>
          </cell>
          <cell r="AA229">
            <v>16.201729968815826</v>
          </cell>
          <cell r="AB229">
            <v>0.10781643840199892</v>
          </cell>
          <cell r="AC229">
            <v>16.20172996881583</v>
          </cell>
          <cell r="AD229">
            <v>0.10781643840199895</v>
          </cell>
        </row>
        <row r="230">
          <cell r="Y230">
            <v>85</v>
          </cell>
          <cell r="Z230">
            <v>6.3322681768380965E-3</v>
          </cell>
          <cell r="AA230">
            <v>15.259275105354087</v>
          </cell>
          <cell r="AB230">
            <v>9.6625822151251484E-2</v>
          </cell>
          <cell r="AC230">
            <v>15.259275105354098</v>
          </cell>
          <cell r="AD230">
            <v>9.6625822151251539E-2</v>
          </cell>
        </row>
        <row r="231">
          <cell r="Y231">
            <v>86</v>
          </cell>
          <cell r="Z231">
            <v>6.0166120151169096E-3</v>
          </cell>
          <cell r="AA231">
            <v>14.330025561344451</v>
          </cell>
          <cell r="AB231">
            <v>8.6218203969317467E-2</v>
          </cell>
          <cell r="AC231">
            <v>14.330025561344465</v>
          </cell>
          <cell r="AD231">
            <v>8.621820396931755E-2</v>
          </cell>
        </row>
        <row r="232">
          <cell r="Y232">
            <v>87</v>
          </cell>
          <cell r="Z232">
            <v>5.7082246544969285E-3</v>
          </cell>
          <cell r="AA232">
            <v>13.416131039953532</v>
          </cell>
          <cell r="AB232">
            <v>7.6582289970224274E-2</v>
          </cell>
          <cell r="AC232">
            <v>13.416131039953546</v>
          </cell>
          <cell r="AD232">
            <v>7.6582289970224343E-2</v>
          </cell>
        </row>
        <row r="233">
          <cell r="Y233">
            <v>88</v>
          </cell>
          <cell r="Z233">
            <v>5.407615360906148E-3</v>
          </cell>
          <cell r="AA233">
            <v>12.519885969848493</v>
          </cell>
          <cell r="AB233">
            <v>6.7702727687346073E-2</v>
          </cell>
          <cell r="AC233">
            <v>12.519885969848508</v>
          </cell>
          <cell r="AD233">
            <v>6.7702727687346156E-2</v>
          </cell>
        </row>
        <row r="234">
          <cell r="Y234">
            <v>89</v>
          </cell>
          <cell r="Z234">
            <v>5.1152346036473454E-3</v>
          </cell>
          <cell r="AA234">
            <v>11.643697094386498</v>
          </cell>
          <cell r="AB234">
            <v>5.9560242291593866E-2</v>
          </cell>
          <cell r="AC234">
            <v>11.643697094386514</v>
          </cell>
          <cell r="AD234">
            <v>5.956024229159395E-2</v>
          </cell>
        </row>
        <row r="235">
          <cell r="Y235">
            <v>90</v>
          </cell>
          <cell r="Z235">
            <v>4.8314744806200799E-3</v>
          </cell>
          <cell r="AA235">
            <v>10.790043269085233</v>
          </cell>
          <cell r="AB235">
            <v>5.2131818699371765E-2</v>
          </cell>
          <cell r="AC235">
            <v>10.790043269085245</v>
          </cell>
          <cell r="AD235">
            <v>5.2131818699371828E-2</v>
          </cell>
        </row>
        <row r="236">
          <cell r="Y236">
            <v>91</v>
          </cell>
          <cell r="Z236">
            <v>4.5566695357498041E-3</v>
          </cell>
          <cell r="AA236">
            <v>9.9614283884069952</v>
          </cell>
          <cell r="AB236">
            <v>4.5390937270007418E-2</v>
          </cell>
          <cell r="AC236">
            <v>9.9614283884070112</v>
          </cell>
          <cell r="AD236">
            <v>4.5390937270007495E-2</v>
          </cell>
        </row>
        <row r="237">
          <cell r="Y237">
            <v>92</v>
          </cell>
          <cell r="Z237">
            <v>4.2910979416187992E-3</v>
          </cell>
          <cell r="AA237">
            <v>9.1603288314903271</v>
          </cell>
          <cell r="AB237">
            <v>3.9307868193359484E-2</v>
          </cell>
          <cell r="AC237">
            <v>9.1603288314903395</v>
          </cell>
          <cell r="AD237">
            <v>3.9307868193359539E-2</v>
          </cell>
        </row>
        <row r="238">
          <cell r="Y238">
            <v>93</v>
          </cell>
          <cell r="Z238">
            <v>4.0349830180606682E-3</v>
          </cell>
          <cell r="AA238">
            <v>8.3891372351840676</v>
          </cell>
          <cell r="AB238">
            <v>3.3850026280148139E-2</v>
          </cell>
          <cell r="AC238">
            <v>8.3891372351840765</v>
          </cell>
          <cell r="AD238">
            <v>3.3850026280148174E-2</v>
          </cell>
        </row>
        <row r="239">
          <cell r="Y239">
            <v>94</v>
          </cell>
          <cell r="Z239">
            <v>3.7884950556926296E-3</v>
          </cell>
          <cell r="AA239">
            <v>7.6501047363083492</v>
          </cell>
          <cell r="AB239">
            <v>2.898238396903495E-2</v>
          </cell>
          <cell r="AC239">
            <v>7.650104736308343</v>
          </cell>
          <cell r="AD239">
            <v>2.8982383969034926E-2</v>
          </cell>
        </row>
        <row r="240">
          <cell r="Y240">
            <v>95</v>
          </cell>
          <cell r="Z240">
            <v>3.551753412003165E-3</v>
          </cell>
          <cell r="AA240">
            <v>6.9452840432097913</v>
          </cell>
          <cell r="AB240">
            <v>2.4667936297801514E-2</v>
          </cell>
          <cell r="AC240">
            <v>6.9452840432097904</v>
          </cell>
          <cell r="AD240">
            <v>2.4667936297801511E-2</v>
          </cell>
        </row>
        <row r="241">
          <cell r="Y241">
            <v>96</v>
          </cell>
          <cell r="Z241">
            <v>3.324828846717795E-3</v>
          </cell>
          <cell r="AA241">
            <v>6.2764757772450972</v>
          </cell>
          <cell r="AB241">
            <v>2.0868207719909992E-2</v>
          </cell>
          <cell r="AC241">
            <v>6.2764757772450945</v>
          </cell>
          <cell r="AD241">
            <v>2.0868207719909982E-2</v>
          </cell>
        </row>
        <row r="242">
          <cell r="Y242">
            <v>97</v>
          </cell>
          <cell r="Z242">
            <v>3.1077460626836636E-3</v>
          </cell>
          <cell r="AA242">
            <v>5.645180456211512</v>
          </cell>
          <cell r="AB242">
            <v>1.7543787335930094E-2</v>
          </cell>
          <cell r="AC242">
            <v>5.6451804562115093</v>
          </cell>
          <cell r="AD242">
            <v>1.7543787335930087E-2</v>
          </cell>
        </row>
        <row r="243">
          <cell r="Y243">
            <v>98</v>
          </cell>
          <cell r="Z243">
            <v>2.9004864184457965E-3</v>
          </cell>
          <cell r="AA243">
            <v>5.05255827428216</v>
          </cell>
          <cell r="AB243">
            <v>1.4654876652961337E-2</v>
          </cell>
          <cell r="AC243">
            <v>5.0525582742821591</v>
          </cell>
          <cell r="AD243">
            <v>1.4654876652961333E-2</v>
          </cell>
        </row>
        <row r="244">
          <cell r="Y244">
            <v>99</v>
          </cell>
          <cell r="Z244">
            <v>2.702990779009849E-3</v>
          </cell>
          <cell r="AA244">
            <v>4.4993984791938635</v>
          </cell>
          <cell r="AB244">
            <v>1.2161832600351951E-2</v>
          </cell>
          <cell r="AC244">
            <v>4.4993984791938626</v>
          </cell>
          <cell r="AD244">
            <v>1.2161832600351948E-2</v>
          </cell>
        </row>
        <row r="245">
          <cell r="Y245">
            <v>100</v>
          </cell>
          <cell r="Z245">
            <v>2.5151624719633877E-3</v>
          </cell>
          <cell r="AA245">
            <v>3.9860996809147098</v>
          </cell>
          <cell r="AB245">
            <v>1.0025688326941912E-2</v>
          </cell>
          <cell r="AC245">
            <v>3.9860996809147133</v>
          </cell>
          <cell r="AD245">
            <v>1.0025688326941921E-2</v>
          </cell>
        </row>
        <row r="246">
          <cell r="Y246">
            <v>101</v>
          </cell>
          <cell r="Z246">
            <v>2.3368703171407607E-3</v>
          </cell>
          <cell r="AA246">
            <v>3.5126618794447078</v>
          </cell>
          <cell r="AB246">
            <v>8.2086352802262143E-3</v>
          </cell>
          <cell r="AC246">
            <v>3.5126618794447122</v>
          </cell>
          <cell r="AD246">
            <v>8.2086352802262248E-3</v>
          </cell>
        </row>
        <row r="247">
          <cell r="Y247">
            <v>102</v>
          </cell>
          <cell r="Z247">
            <v>2.1679516993208534E-3</v>
          </cell>
          <cell r="AA247">
            <v>3.0786904114491094</v>
          </cell>
          <cell r="AB247">
            <v>6.6744521091839136E-3</v>
          </cell>
          <cell r="AC247">
            <v>3.0786904114491143</v>
          </cell>
          <cell r="AD247">
            <v>6.6744521091839249E-3</v>
          </cell>
        </row>
        <row r="248">
          <cell r="Y248">
            <v>103</v>
          </cell>
          <cell r="Z248">
            <v>2.0082156550163708E-3</v>
          </cell>
          <cell r="AA248">
            <v>2.6834114272519454</v>
          </cell>
          <cell r="AB248">
            <v>5.3888688370571803E-3</v>
          </cell>
          <cell r="AC248">
            <v>2.6834114272519498</v>
          </cell>
          <cell r="AD248">
            <v>5.388868837057189E-3</v>
          </cell>
        </row>
        <row r="249">
          <cell r="Y249">
            <v>104</v>
          </cell>
          <cell r="Z249">
            <v>1.8574459462073658E-3</v>
          </cell>
          <cell r="AA249">
            <v>2.3256979613056892</v>
          </cell>
          <cell r="AB249">
            <v>4.3198582503299878E-3</v>
          </cell>
          <cell r="AC249">
            <v>2.3256979613056905</v>
          </cell>
          <cell r="AD249">
            <v>4.3198582503299896E-3</v>
          </cell>
        </row>
        <row r="250">
          <cell r="Y250">
            <v>105</v>
          </cell>
          <cell r="Z250">
            <v>1.7154040958502633E-3</v>
          </cell>
          <cell r="AA250">
            <v>2.0041051859853036</v>
          </cell>
          <cell r="AB250">
            <v>3.4378502445539436E-3</v>
          </cell>
          <cell r="AC250">
            <v>2.0041051859853076</v>
          </cell>
          <cell r="AD250">
            <v>3.4378502445539505E-3</v>
          </cell>
        </row>
        <row r="251">
          <cell r="Y251">
            <v>106</v>
          </cell>
          <cell r="Z251">
            <v>1.5818323621234918E-3</v>
          </cell>
          <cell r="AA251">
            <v>1.7169130684038474</v>
          </cell>
          <cell r="AB251">
            <v>2.7158686545539503E-3</v>
          </cell>
          <cell r="AC251">
            <v>1.7169130684038487</v>
          </cell>
          <cell r="AD251">
            <v>2.7158686545539525E-3</v>
          </cell>
        </row>
        <row r="252">
          <cell r="Y252">
            <v>107</v>
          </cell>
          <cell r="Z252">
            <v>1.4564566306131039E-3</v>
          </cell>
          <cell r="AA252">
            <v>1.4621744015194889</v>
          </cell>
          <cell r="AB252">
            <v>2.1295936022058064E-3</v>
          </cell>
          <cell r="AC252">
            <v>1.4621744015194906</v>
          </cell>
          <cell r="AD252">
            <v>2.129593602205809E-3</v>
          </cell>
        </row>
        <row r="253">
          <cell r="Y253">
            <v>108</v>
          </cell>
          <cell r="Z253">
            <v>1.3389892059565696E-3</v>
          </cell>
          <cell r="AA253">
            <v>1.2377660623894293</v>
          </cell>
          <cell r="AB253">
            <v>1.6573553970388117E-3</v>
          </cell>
          <cell r="AC253">
            <v>1.2377660623894324</v>
          </cell>
          <cell r="AD253">
            <v>1.6573553970388158E-3</v>
          </cell>
        </row>
        <row r="254">
          <cell r="Y254">
            <v>109</v>
          </cell>
          <cell r="Z254">
            <v>1.2291314868235236E-3</v>
          </cell>
          <cell r="AA254">
            <v>1.0414413600689065</v>
          </cell>
          <cell r="AB254">
            <v>1.2800683673410077E-3</v>
          </cell>
          <cell r="AC254">
            <v>1.0414413600689043</v>
          </cell>
          <cell r="AD254">
            <v>1.2800683673410049E-3</v>
          </cell>
        </row>
        <row r="255">
          <cell r="Y255">
            <v>110</v>
          </cell>
          <cell r="Z255">
            <v>1.1265765104746894E-3</v>
          </cell>
          <cell r="AA255">
            <v>0.87088146216080176</v>
          </cell>
          <cell r="AB255">
            <v>9.8111459867821133E-4</v>
          </cell>
          <cell r="AC255">
            <v>0.87088146216080742</v>
          </cell>
          <cell r="AD255">
            <v>9.8111459867821762E-4</v>
          </cell>
        </row>
        <row r="256">
          <cell r="Y256">
            <v>111</v>
          </cell>
          <cell r="Z256">
            <v>1.031011355485381E-3</v>
          </cell>
          <cell r="AA256">
            <v>0.72374411371853209</v>
          </cell>
          <cell r="AB256">
            <v>7.4618839970950947E-4</v>
          </cell>
          <cell r="AC256">
            <v>0.72374411371853653</v>
          </cell>
          <cell r="AD256">
            <v>7.4618839970951414E-4</v>
          </cell>
        </row>
        <row r="257">
          <cell r="Y257">
            <v>112</v>
          </cell>
          <cell r="Z257">
            <v>9.4211939350924423E-4</v>
          </cell>
          <cell r="AA257">
            <v>0.597708161191429</v>
          </cell>
          <cell r="AB257">
            <v>5.6311245031719472E-4</v>
          </cell>
          <cell r="AC257">
            <v>0.59770816119143255</v>
          </cell>
          <cell r="AD257">
            <v>5.6311245031719797E-4</v>
          </cell>
        </row>
        <row r="258">
          <cell r="Y258">
            <v>113</v>
          </cell>
          <cell r="Z258">
            <v>8.5958238317600331E-4</v>
          </cell>
          <cell r="AA258">
            <v>0.49051274073143913</v>
          </cell>
          <cell r="AB258">
            <v>4.2163611065612351E-4</v>
          </cell>
          <cell r="AC258">
            <v>0.49051274073144335</v>
          </cell>
          <cell r="AD258">
            <v>4.2163611065612708E-4</v>
          </cell>
        </row>
        <row r="259">
          <cell r="Y259">
            <v>114</v>
          </cell>
          <cell r="Z259">
            <v>7.8308240133138376E-4</v>
          </cell>
          <cell r="AA259">
            <v>0.39999035749898293</v>
          </cell>
          <cell r="AB259">
            <v>3.1322540965970219E-4</v>
          </cell>
          <cell r="AC259">
            <v>0.39999035749898293</v>
          </cell>
          <cell r="AD259">
            <v>3.1322540965970219E-4</v>
          </cell>
        </row>
        <row r="260">
          <cell r="Y260">
            <v>115</v>
          </cell>
          <cell r="Z260">
            <v>7.1230360883013232E-4</v>
          </cell>
          <cell r="AA260">
            <v>0.32409344551874919</v>
          </cell>
          <cell r="AB260">
            <v>2.3085293084119693E-4</v>
          </cell>
          <cell r="AC260">
            <v>0.32409344551875496</v>
          </cell>
          <cell r="AD260">
            <v>2.3085293084120103E-4</v>
          </cell>
        </row>
        <row r="261">
          <cell r="Y261">
            <v>116</v>
          </cell>
          <cell r="Z261">
            <v>6.4693384995708131E-4</v>
          </cell>
          <cell r="AA261">
            <v>0.26091433462740476</v>
          </cell>
          <cell r="AB261">
            <v>1.6879431500949719E-4</v>
          </cell>
          <cell r="AC261">
            <v>0.2609143346274061</v>
          </cell>
          <cell r="AD261">
            <v>1.6879431500949803E-4</v>
          </cell>
        </row>
        <row r="262">
          <cell r="Y262">
            <v>117</v>
          </cell>
          <cell r="Z262">
            <v>5.8666608627398796E-4</v>
          </cell>
          <cell r="AA262">
            <v>0.20869884536441308</v>
          </cell>
          <cell r="AB262">
            <v>1.2243653481984042E-4</v>
          </cell>
          <cell r="AC262">
            <v>0.20869884536441408</v>
          </cell>
          <cell r="AD262">
            <v>1.2243653481984102E-4</v>
          </cell>
        </row>
        <row r="263">
          <cell r="Y263">
            <v>118</v>
          </cell>
          <cell r="Z263">
            <v>5.3119966725390859E-4</v>
          </cell>
          <cell r="AA263">
            <v>0.16585397287779124</v>
          </cell>
          <cell r="AB263">
            <v>8.810157520542149E-5</v>
          </cell>
          <cell r="AC263">
            <v>0.16585397287779391</v>
          </cell>
          <cell r="AD263">
            <v>8.81015752054229E-5</v>
          </cell>
        </row>
        <row r="264">
          <cell r="Y264">
            <v>119</v>
          </cell>
          <cell r="Z264">
            <v>4.8024144146847962E-4</v>
          </cell>
          <cell r="AA264">
            <v>0.13095030104910999</v>
          </cell>
          <cell r="AB264">
            <v>6.2887761336555942E-5</v>
          </cell>
          <cell r="AC264">
            <v>0.1309503010491132</v>
          </cell>
          <cell r="AD264">
            <v>6.2887761336557487E-5</v>
          </cell>
        </row>
        <row r="265">
          <cell r="Y265">
            <v>120</v>
          </cell>
          <cell r="Z265">
            <v>4.3350671333051218E-4</v>
          </cell>
          <cell r="AA265">
            <v>0.10271990708424428</v>
          </cell>
          <cell r="AB265">
            <v>4.4529769313706333E-5</v>
          </cell>
          <cell r="AC265">
            <v>0.1027199070842485</v>
          </cell>
          <cell r="AD265">
            <v>4.4529769313708163E-5</v>
          </cell>
        </row>
        <row r="266">
          <cell r="Y266">
            <v>121</v>
          </cell>
          <cell r="Z266">
            <v>3.9072005146494553E-4</v>
          </cell>
          <cell r="AA266">
            <v>8.0050578005891659E-2</v>
          </cell>
          <cell r="AB266">
            <v>3.1277365958260629E-5</v>
          </cell>
          <cell r="AC266">
            <v>8.0050578005893436E-2</v>
          </cell>
          <cell r="AD266">
            <v>3.127736595826132E-5</v>
          </cell>
        </row>
        <row r="267">
          <cell r="Y267">
            <v>122</v>
          </cell>
          <cell r="Z267">
            <v>3.5161595568585099E-4</v>
          </cell>
          <cell r="AA267">
            <v>6.1977170321351305E-2</v>
          </cell>
          <cell r="AB267">
            <v>2.1792161973246699E-5</v>
          </cell>
          <cell r="AC267">
            <v>6.1977170321353026E-2</v>
          </cell>
          <cell r="AD267">
            <v>2.1792161973247305E-5</v>
          </cell>
        </row>
        <row r="268">
          <cell r="Y268">
            <v>123</v>
          </cell>
          <cell r="Z268">
            <v>3.1593939030007009E-4</v>
          </cell>
          <cell r="AA268">
            <v>4.7670911320263798E-2</v>
          </cell>
          <cell r="AB268">
            <v>1.5061118657572854E-5</v>
          </cell>
          <cell r="AC268">
            <v>4.7670911320264242E-2</v>
          </cell>
          <cell r="AD268">
            <v>1.5061118657572995E-5</v>
          </cell>
        </row>
        <row r="269">
          <cell r="Y269">
            <v>124</v>
          </cell>
          <cell r="Z269">
            <v>2.8344619204451763E-4</v>
          </cell>
          <cell r="AA269">
            <v>3.6427374826048409E-2</v>
          </cell>
          <cell r="AB269">
            <v>1.0325200680621745E-5</v>
          </cell>
          <cell r="AC269">
            <v>3.6427374826050019E-2</v>
          </cell>
          <cell r="AD269">
            <v>1.0325200680622201E-5</v>
          </cell>
        </row>
        <row r="270">
          <cell r="Y270">
            <v>125</v>
          </cell>
          <cell r="Z270">
            <v>2.5390336140162107E-4</v>
          </cell>
          <cell r="AA270">
            <v>2.7653775837375161E-2</v>
          </cell>
          <cell r="AB270">
            <v>7.0213866405564821E-6</v>
          </cell>
          <cell r="AC270">
            <v>2.7653775837376132E-2</v>
          </cell>
          <cell r="AD270">
            <v>7.0213866405567285E-6</v>
          </cell>
        </row>
        <row r="271">
          <cell r="Y271">
            <v>126</v>
          </cell>
          <cell r="Z271">
            <v>2.2708924633356946E-4</v>
          </cell>
          <cell r="AA271">
            <v>2.0856126853135537E-2</v>
          </cell>
          <cell r="AB271">
            <v>4.7362021285158691E-6</v>
          </cell>
          <cell r="AC271">
            <v>2.0856126853135815E-2</v>
          </cell>
          <cell r="AD271">
            <v>4.7362021285159317E-6</v>
          </cell>
        </row>
        <row r="272">
          <cell r="Y272">
            <v>127</v>
          </cell>
          <cell r="Z272">
            <v>2.0279362764265104E-4</v>
          </cell>
          <cell r="AA272">
            <v>1.5626692158128952E-2</v>
          </cell>
          <cell r="AB272">
            <v>3.1689935908019377E-6</v>
          </cell>
          <cell r="AC272">
            <v>1.5626692158132754E-2</v>
          </cell>
          <cell r="AD272">
            <v>3.1689935908027089E-6</v>
          </cell>
        </row>
        <row r="273">
          <cell r="Y273">
            <v>128</v>
          </cell>
          <cell r="Z273">
            <v>1.8081771521033274E-4</v>
          </cell>
          <cell r="AA273">
            <v>1.163207186409343E-2</v>
          </cell>
          <cell r="AB273">
            <v>2.10328465762777E-6</v>
          </cell>
          <cell r="AC273">
            <v>1.1632071864094873E-2</v>
          </cell>
          <cell r="AD273">
            <v>2.1032846576280309E-6</v>
          </cell>
        </row>
        <row r="274">
          <cell r="Y274">
            <v>129</v>
          </cell>
          <cell r="Z274">
            <v>1.609740643050486E-4</v>
          </cell>
          <cell r="AA274">
            <v>8.6021503208163486E-3</v>
          </cell>
          <cell r="AB274">
            <v>1.3847230989047853E-6</v>
          </cell>
          <cell r="AC274">
            <v>8.6021503208188188E-3</v>
          </cell>
          <cell r="AD274">
            <v>1.384723098905183E-6</v>
          </cell>
        </row>
        <row r="275">
          <cell r="Y275">
            <v>130</v>
          </cell>
          <cell r="Z275">
            <v>1.4308642098909258E-4</v>
          </cell>
          <cell r="AA275">
            <v>6.3200572664994237E-3</v>
          </cell>
          <cell r="AB275">
            <v>9.0431437470951017E-7</v>
          </cell>
          <cell r="AC275">
            <v>6.3200572665011376E-3</v>
          </cell>
          <cell r="AD275">
            <v>9.0431437470975539E-7</v>
          </cell>
        </row>
        <row r="276">
          <cell r="Y276">
            <v>131</v>
          </cell>
          <cell r="Z276">
            <v>1.2698950540987203E-4</v>
          </cell>
          <cell r="AA276">
            <v>4.6132168959979181E-3</v>
          </cell>
          <cell r="AB276">
            <v>5.8583013197124069E-7</v>
          </cell>
          <cell r="AC276">
            <v>4.6132168959997846E-3</v>
          </cell>
          <cell r="AD276">
            <v>5.8583013197147775E-7</v>
          </cell>
        </row>
        <row r="277">
          <cell r="Y277">
            <v>132</v>
          </cell>
          <cell r="Z277">
            <v>1.1252874144274705E-4</v>
          </cell>
          <cell r="AA277">
            <v>3.3455007116151014E-3</v>
          </cell>
          <cell r="AB277">
            <v>3.7646498457386201E-7</v>
          </cell>
          <cell r="AC277">
            <v>3.3455007116158925E-3</v>
          </cell>
          <cell r="AD277">
            <v>3.7646498457395101E-7</v>
          </cell>
        </row>
        <row r="278">
          <cell r="Y278">
            <v>133</v>
          </cell>
          <cell r="Z278">
            <v>9.9559940773426162E-5</v>
          </cell>
          <cell r="AA278">
            <v>2.4104543652009314E-3</v>
          </cell>
          <cell r="AB278">
            <v>2.3998469383645127E-7</v>
          </cell>
          <cell r="AC278">
            <v>2.41045436520506E-3</v>
          </cell>
          <cell r="AD278">
            <v>2.3998469383686234E-7</v>
          </cell>
        </row>
        <row r="279">
          <cell r="Y279">
            <v>134</v>
          </cell>
          <cell r="Z279">
            <v>8.7948949077985288E-5</v>
          </cell>
          <cell r="AA279">
            <v>1.7255357165076868E-3</v>
          </cell>
          <cell r="AB279">
            <v>1.5175905286337939E-7</v>
          </cell>
          <cell r="AC279">
            <v>1.7255357165103097E-3</v>
          </cell>
          <cell r="AD279">
            <v>1.5175905286361008E-7</v>
          </cell>
        </row>
        <row r="280">
          <cell r="Y280">
            <v>135</v>
          </cell>
          <cell r="Z280">
            <v>7.7571261489640575E-5</v>
          </cell>
          <cell r="AA280">
            <v>1.2272795288000848E-3</v>
          </cell>
          <cell r="AB280">
            <v>9.5201621249434258E-8</v>
          </cell>
          <cell r="AC280">
            <v>1.2272795288001438E-3</v>
          </cell>
          <cell r="AD280">
            <v>9.5201621249438824E-8</v>
          </cell>
        </row>
        <row r="281">
          <cell r="Y281">
            <v>136</v>
          </cell>
          <cell r="Z281">
            <v>6.831161404333284E-5</v>
          </cell>
          <cell r="AA281">
            <v>8.6729183071143634E-4</v>
          </cell>
          <cell r="AB281">
            <v>5.92461048024952E-8</v>
          </cell>
          <cell r="AC281">
            <v>8.6729183071440272E-4</v>
          </cell>
          <cell r="AD281">
            <v>5.924610480269784E-8</v>
          </cell>
        </row>
        <row r="282">
          <cell r="Y282">
            <v>137</v>
          </cell>
          <cell r="Z282">
            <v>6.0063557271508925E-5</v>
          </cell>
          <cell r="AA282">
            <v>6.0897213969568487E-4</v>
          </cell>
          <cell r="AB282">
            <v>3.6577032989365102E-8</v>
          </cell>
          <cell r="AC282">
            <v>6.0897213969602921E-4</v>
          </cell>
          <cell r="AD282">
            <v>3.6577032989385782E-8</v>
          </cell>
        </row>
        <row r="283">
          <cell r="Y283">
            <v>138</v>
          </cell>
          <cell r="Z283">
            <v>5.2729017595775534E-5</v>
          </cell>
          <cell r="AA283">
            <v>4.2486267282060286E-4</v>
          </cell>
          <cell r="AB283">
            <v>2.2402591350945792E-8</v>
          </cell>
          <cell r="AC283">
            <v>4.2486267282335326E-4</v>
          </cell>
          <cell r="AD283">
            <v>2.2402591351090816E-8</v>
          </cell>
        </row>
        <row r="284">
          <cell r="Y284">
            <v>139</v>
          </cell>
          <cell r="Z284">
            <v>4.6217851627684376E-5</v>
          </cell>
          <cell r="AA284">
            <v>2.9452873068525065E-4</v>
          </cell>
          <cell r="AB284">
            <v>1.3612485174901126E-8</v>
          </cell>
          <cell r="AC284">
            <v>2.9452873068842693E-4</v>
          </cell>
          <cell r="AD284">
            <v>1.3612485175047925E-8</v>
          </cell>
        </row>
        <row r="285">
          <cell r="Y285">
            <v>140</v>
          </cell>
          <cell r="Z285">
            <v>4.04473979642606E-5</v>
          </cell>
          <cell r="AA285">
            <v>2.028822164201749E-4</v>
          </cell>
          <cell r="AB285">
            <v>8.2060577474180601E-9</v>
          </cell>
          <cell r="AC285">
            <v>2.0288221642311482E-4</v>
          </cell>
          <cell r="AD285">
            <v>8.2060577475369723E-9</v>
          </cell>
        </row>
        <row r="286">
          <cell r="Y286">
            <v>141</v>
          </cell>
          <cell r="Z286">
            <v>3.5342030546857952E-5</v>
          </cell>
          <cell r="AA286">
            <v>1.3886957920528076E-4</v>
          </cell>
          <cell r="AB286">
            <v>4.9079329103023427E-9</v>
          </cell>
          <cell r="AC286">
            <v>1.3886957920831479E-4</v>
          </cell>
          <cell r="AD286">
            <v>4.907932910409571E-9</v>
          </cell>
        </row>
        <row r="287">
          <cell r="Y287">
            <v>142</v>
          </cell>
          <cell r="Z287">
            <v>3.0832717150152121E-5</v>
          </cell>
          <cell r="AA287">
            <v>9.4455436352225419E-5</v>
          </cell>
          <cell r="AB287">
            <v>2.9123177523423627E-9</v>
          </cell>
          <cell r="AC287">
            <v>9.4455436354502894E-5</v>
          </cell>
          <cell r="AD287">
            <v>2.9123177524125838E-9</v>
          </cell>
        </row>
        <row r="288">
          <cell r="Y288">
            <v>143</v>
          </cell>
          <cell r="Z288">
            <v>2.685658608658003E-5</v>
          </cell>
          <cell r="AA288">
            <v>6.384305009199398E-5</v>
          </cell>
          <cell r="AB288">
            <v>1.7146063708254773E-9</v>
          </cell>
          <cell r="AC288">
            <v>6.3843050091811401E-5</v>
          </cell>
          <cell r="AD288">
            <v>1.714606370820574E-9</v>
          </cell>
        </row>
        <row r="289">
          <cell r="Y289">
            <v>144</v>
          </cell>
          <cell r="Z289">
            <v>2.3356503753754793E-5</v>
          </cell>
          <cell r="AA289">
            <v>4.2882241868658078E-5</v>
          </cell>
          <cell r="AB289">
            <v>1.0015792431747334E-9</v>
          </cell>
          <cell r="AC289">
            <v>4.2882241868228408E-5</v>
          </cell>
          <cell r="AD289">
            <v>1.0015792431646978E-9</v>
          </cell>
        </row>
        <row r="290">
          <cell r="Y290">
            <v>145</v>
          </cell>
          <cell r="Z290">
            <v>2.0280665221137973E-5</v>
          </cell>
          <cell r="AA290">
            <v>2.8623918393200221E-5</v>
          </cell>
          <cell r="AB290">
            <v>5.8051210624966721E-10</v>
          </cell>
          <cell r="AC290">
            <v>2.8623918396211917E-5</v>
          </cell>
          <cell r="AD290">
            <v>5.8051210631074643E-10</v>
          </cell>
        </row>
        <row r="291">
          <cell r="Y291">
            <v>146</v>
          </cell>
          <cell r="Z291">
            <v>1.7582199649893977E-5</v>
          </cell>
          <cell r="AA291">
            <v>1.8987998192221411E-5</v>
          </cell>
          <cell r="AB291">
            <v>3.3385077516746274E-10</v>
          </cell>
          <cell r="AC291">
            <v>1.8987998190576622E-5</v>
          </cell>
          <cell r="AD291">
            <v>3.3385077513854379E-10</v>
          </cell>
        </row>
        <row r="292">
          <cell r="Y292">
            <v>147</v>
          </cell>
          <cell r="Z292">
            <v>1.5218791967784491E-5</v>
          </cell>
          <cell r="AA292">
            <v>1.2518107631143138E-5</v>
          </cell>
          <cell r="AB292">
            <v>1.9051047586870295E-10</v>
          </cell>
          <cell r="AC292">
            <v>1.2518107631443652E-5</v>
          </cell>
          <cell r="AD292">
            <v>1.9051047587327641E-10</v>
          </cell>
        </row>
        <row r="293">
          <cell r="Y293">
            <v>148</v>
          </cell>
          <cell r="Z293">
            <v>1.3152321880011103E-5</v>
          </cell>
          <cell r="AA293">
            <v>8.2019787299714153E-6</v>
          </cell>
          <cell r="AB293">
            <v>1.0787506430958872E-10</v>
          </cell>
          <cell r="AC293">
            <v>8.2019787310392731E-6</v>
          </cell>
          <cell r="AD293">
            <v>1.0787506432363354E-10</v>
          </cell>
        </row>
        <row r="294">
          <cell r="Y294">
            <v>149</v>
          </cell>
          <cell r="Z294">
            <v>1.1348520987571371E-5</v>
          </cell>
          <cell r="AA294">
            <v>5.341094193589413E-6</v>
          </cell>
          <cell r="AB294">
            <v>6.0613519552545037E-11</v>
          </cell>
          <cell r="AC294">
            <v>5.3410941930638731E-6</v>
          </cell>
          <cell r="AD294">
            <v>6.0613519546580935E-11</v>
          </cell>
        </row>
        <row r="295">
          <cell r="Y295">
            <v>150</v>
          </cell>
          <cell r="Z295">
            <v>9.7766485066953633E-6</v>
          </cell>
          <cell r="AA295">
            <v>3.4568837274928654E-6</v>
          </cell>
          <cell r="AB295">
            <v>3.3796737132212626E-11</v>
          </cell>
          <cell r="AC295">
            <v>3.4568837258844922E-6</v>
          </cell>
          <cell r="AD295">
            <v>3.3796737116488122E-11</v>
          </cell>
        </row>
        <row r="296">
          <cell r="Y296">
            <v>151</v>
          </cell>
          <cell r="Z296">
            <v>8.4091858357257737E-6</v>
          </cell>
          <cell r="AA296">
            <v>2.2237893082532878E-6</v>
          </cell>
          <cell r="AB296">
            <v>1.8700257552601964E-11</v>
          </cell>
          <cell r="AC296">
            <v>2.2237893100003509E-6</v>
          </cell>
          <cell r="AD296">
            <v>1.8700257567293341E-11</v>
          </cell>
        </row>
        <row r="297">
          <cell r="Y297">
            <v>152</v>
          </cell>
          <cell r="Z297">
            <v>7.2215499985400696E-6</v>
          </cell>
          <cell r="AA297">
            <v>1.4218975691315805E-6</v>
          </cell>
          <cell r="AB297">
            <v>1.0268304388286294E-11</v>
          </cell>
          <cell r="AC297">
            <v>1.4218975705468811E-6</v>
          </cell>
          <cell r="AD297">
            <v>1.0268304398506957E-11</v>
          </cell>
        </row>
        <row r="298">
          <cell r="Y298">
            <v>153</v>
          </cell>
          <cell r="Z298">
            <v>6.1918258049858123E-6</v>
          </cell>
          <cell r="AA298">
            <v>9.0369180372196212E-7</v>
          </cell>
          <cell r="AB298">
            <v>5.5955022300398186E-12</v>
          </cell>
          <cell r="AC298">
            <v>9.0369180214730415E-7</v>
          </cell>
          <cell r="AD298">
            <v>5.5955022202898109E-12</v>
          </cell>
        </row>
        <row r="299">
          <cell r="Y299">
            <v>154</v>
          </cell>
          <cell r="Z299">
            <v>5.300516407389023E-6</v>
          </cell>
          <cell r="AA299">
            <v>5.7090170735296653E-7</v>
          </cell>
          <cell r="AB299">
            <v>3.0260738668308055E-12</v>
          </cell>
          <cell r="AC299">
            <v>5.7090171252012839E-7</v>
          </cell>
          <cell r="AD299">
            <v>3.0260738942194317E-12</v>
          </cell>
        </row>
        <row r="300">
          <cell r="Y300">
            <v>155</v>
          </cell>
          <cell r="Z300">
            <v>4.5303117963742518E-6</v>
          </cell>
          <cell r="AA300">
            <v>3.5851139623677142E-7</v>
          </cell>
          <cell r="AB300">
            <v>1.6241684075060491E-12</v>
          </cell>
          <cell r="AC300">
            <v>3.5851139480368315E-7</v>
          </cell>
          <cell r="AD300">
            <v>1.6241684010137125E-12</v>
          </cell>
        </row>
        <row r="301">
          <cell r="Y301">
            <v>156</v>
          </cell>
          <cell r="Z301">
            <v>3.8658746671778704E-6</v>
          </cell>
          <cell r="AA301">
            <v>2.2379836572827827E-7</v>
          </cell>
          <cell r="AB301">
            <v>8.6517643262475905E-13</v>
          </cell>
          <cell r="AC301">
            <v>2.2379836763921933E-7</v>
          </cell>
          <cell r="AD301">
            <v>8.6517644001221772E-13</v>
          </cell>
        </row>
        <row r="302">
          <cell r="Y302">
            <v>157</v>
          </cell>
          <cell r="Z302">
            <v>3.2936429975093109E-6</v>
          </cell>
          <cell r="AA302">
            <v>1.388784639511087E-7</v>
          </cell>
          <cell r="AB302">
            <v>4.5741608029741847E-13</v>
          </cell>
          <cell r="AC302">
            <v>1.3887846432184104E-7</v>
          </cell>
          <cell r="AD302">
            <v>4.5741608151847841E-13</v>
          </cell>
        </row>
        <row r="303">
          <cell r="Y303">
            <v>158</v>
          </cell>
          <cell r="Z303">
            <v>2.8016486078982486E-6</v>
          </cell>
          <cell r="AA303">
            <v>8.5673930727558911E-8</v>
          </cell>
          <cell r="AB303">
            <v>2.4002824875603642E-13</v>
          </cell>
          <cell r="AC303">
            <v>8.5673933855801087E-8</v>
          </cell>
          <cell r="AD303">
            <v>2.4002825752027173E-13</v>
          </cell>
        </row>
        <row r="304">
          <cell r="Y304">
            <v>159</v>
          </cell>
          <cell r="Z304">
            <v>2.3793509234116478E-6</v>
          </cell>
          <cell r="AA304">
            <v>5.2542415640566276E-8</v>
          </cell>
          <cell r="AB304">
            <v>1.2501684517265998E-13</v>
          </cell>
          <cell r="AC304">
            <v>5.254241624852015E-8</v>
          </cell>
          <cell r="AD304">
            <v>1.2501684661919559E-13</v>
          </cell>
        </row>
        <row r="305">
          <cell r="Y305">
            <v>160</v>
          </cell>
          <cell r="Z305">
            <v>2.0174851197396462E-6</v>
          </cell>
          <cell r="AA305">
            <v>3.203544018948179E-8</v>
          </cell>
          <cell r="AB305">
            <v>6.4631023886588942E-14</v>
          </cell>
          <cell r="AC305">
            <v>3.2035439195548871E-8</v>
          </cell>
          <cell r="AD305">
            <v>6.4631021881344065E-14</v>
          </cell>
        </row>
        <row r="306">
          <cell r="Y306">
            <v>161</v>
          </cell>
          <cell r="Z306">
            <v>1.7079238150660864E-6</v>
          </cell>
          <cell r="AA306">
            <v>1.9418802010839897E-8</v>
          </cell>
          <cell r="AB306">
            <v>3.316583441436667E-14</v>
          </cell>
          <cell r="AC306">
            <v>1.9418801603807955E-8</v>
          </cell>
          <cell r="AD306">
            <v>3.3165833719187124E-14</v>
          </cell>
        </row>
        <row r="307">
          <cell r="Y307">
            <v>162</v>
          </cell>
          <cell r="Z307">
            <v>1.4435514600577955E-6</v>
          </cell>
          <cell r="AA307">
            <v>1.1702994462403637E-8</v>
          </cell>
          <cell r="AB307">
            <v>1.6893874743251067E-14</v>
          </cell>
          <cell r="AC307">
            <v>1.1702994083680807E-8</v>
          </cell>
          <cell r="AD307">
            <v>1.6893874196545172E-14</v>
          </cell>
        </row>
        <row r="308">
          <cell r="Y308">
            <v>163</v>
          </cell>
          <cell r="Z308">
            <v>1.2181505800150172E-6</v>
          </cell>
          <cell r="AA308">
            <v>7.0123910012043211E-9</v>
          </cell>
          <cell r="AB308">
            <v>8.5421481654091314E-15</v>
          </cell>
          <cell r="AC308">
            <v>7.0123953173725122E-9</v>
          </cell>
          <cell r="AD308">
            <v>8.542153423151917E-15</v>
          </cell>
        </row>
        <row r="309">
          <cell r="Y309">
            <v>164</v>
          </cell>
          <cell r="Z309">
            <v>1.02629903411936E-6</v>
          </cell>
          <cell r="AA309">
            <v>4.1777410419996386E-9</v>
          </cell>
          <cell r="AB309">
            <v>4.2876115962050379E-15</v>
          </cell>
          <cell r="AC309">
            <v>4.1777416808231127E-9</v>
          </cell>
          <cell r="AD309">
            <v>4.2876122518289518E-15</v>
          </cell>
        </row>
        <row r="310">
          <cell r="Y310">
            <v>165</v>
          </cell>
          <cell r="Z310">
            <v>8.6327747528594264E-7</v>
          </cell>
          <cell r="AA310">
            <v>2.474769944527111E-9</v>
          </cell>
          <cell r="AB310">
            <v>2.1364131496248968E-15</v>
          </cell>
          <cell r="AC310">
            <v>2.4747718187197233E-9</v>
          </cell>
          <cell r="AD310">
            <v>2.1364147675731632E-15</v>
          </cell>
        </row>
        <row r="311">
          <cell r="Y311">
            <v>166</v>
          </cell>
          <cell r="Z311">
            <v>7.249862189950307E-7</v>
          </cell>
          <cell r="AA311">
            <v>1.4576648776909451E-9</v>
          </cell>
          <cell r="AB311">
            <v>1.0567869482390121E-15</v>
          </cell>
          <cell r="AC311">
            <v>1.4576726279312526E-9</v>
          </cell>
          <cell r="AD311">
            <v>1.0567925670564291E-15</v>
          </cell>
        </row>
        <row r="312">
          <cell r="Y312">
            <v>167</v>
          </cell>
          <cell r="Z312">
            <v>6.0787075937110351E-7</v>
          </cell>
          <cell r="AA312">
            <v>8.5373219604889528E-10</v>
          </cell>
          <cell r="AB312">
            <v>5.1895883831180174E-16</v>
          </cell>
          <cell r="AC312">
            <v>8.5373844041922265E-10</v>
          </cell>
          <cell r="AD312">
            <v>5.189626340819345E-16</v>
          </cell>
        </row>
        <row r="313">
          <cell r="Y313">
            <v>168</v>
          </cell>
          <cell r="Z313">
            <v>5.0885520456440435E-7</v>
          </cell>
          <cell r="AA313">
            <v>4.9720805250785816E-10</v>
          </cell>
          <cell r="AB313">
            <v>2.5300690526995526E-16</v>
          </cell>
          <cell r="AC313">
            <v>4.9720511863034603E-10</v>
          </cell>
          <cell r="AD313">
            <v>2.5300541235111368E-16</v>
          </cell>
        </row>
        <row r="314">
          <cell r="Y314">
            <v>169</v>
          </cell>
          <cell r="Z314">
            <v>4.2528294013452639E-7</v>
          </cell>
          <cell r="AA314">
            <v>2.8795077433585448E-10</v>
          </cell>
          <cell r="AB314">
            <v>1.2246055192356572E-16</v>
          </cell>
          <cell r="AC314">
            <v>2.879518486888966E-10</v>
          </cell>
          <cell r="AD314">
            <v>1.2246100882758621E-16</v>
          </cell>
        </row>
        <row r="315">
          <cell r="Y315">
            <v>170</v>
          </cell>
          <cell r="Z315">
            <v>3.5486386774614671E-7</v>
          </cell>
          <cell r="AA315">
            <v>1.6583379114365471E-10</v>
          </cell>
          <cell r="AB315">
            <v>5.8848420528244002E-17</v>
          </cell>
          <cell r="AC315">
            <v>1.6583725745006492E-10</v>
          </cell>
          <cell r="AD315">
            <v>5.8849650595143524E-17</v>
          </cell>
        </row>
        <row r="316">
          <cell r="Y316">
            <v>171</v>
          </cell>
          <cell r="Z316">
            <v>2.9562760626164224E-7</v>
          </cell>
          <cell r="AA316">
            <v>9.4975804998398417E-11</v>
          </cell>
          <cell r="AB316">
            <v>2.8077469884449039E-17</v>
          </cell>
          <cell r="AC316">
            <v>9.498069009091417E-11</v>
          </cell>
          <cell r="AD316">
            <v>2.8078914052655839E-17</v>
          </cell>
        </row>
        <row r="317">
          <cell r="Y317">
            <v>172</v>
          </cell>
          <cell r="Z317">
            <v>2.4588208257963064E-7</v>
          </cell>
          <cell r="AA317">
            <v>5.4093840518021352E-11</v>
          </cell>
          <cell r="AB317">
            <v>1.3300706161301496E-17</v>
          </cell>
          <cell r="AC317">
            <v>5.4093613374222664E-11</v>
          </cell>
          <cell r="AD317">
            <v>1.3300650310711229E-17</v>
          </cell>
        </row>
        <row r="318">
          <cell r="Y318">
            <v>173</v>
          </cell>
          <cell r="Z318">
            <v>2.0417697973544347E-7</v>
          </cell>
          <cell r="AA318">
            <v>3.0639712989000145E-11</v>
          </cell>
          <cell r="AB318">
            <v>6.2559240580548869E-18</v>
          </cell>
          <cell r="AC318">
            <v>3.0639956472502999E-11</v>
          </cell>
          <cell r="AD318">
            <v>6.255973771781115E-18</v>
          </cell>
        </row>
        <row r="319">
          <cell r="Y319">
            <v>174</v>
          </cell>
          <cell r="Z319">
            <v>1.6927154936371273E-7</v>
          </cell>
          <cell r="AA319">
            <v>1.7259527140822684E-11</v>
          </cell>
          <cell r="AB319">
            <v>2.9215469004121066E-18</v>
          </cell>
          <cell r="AC319">
            <v>1.7257778418613099E-11</v>
          </cell>
          <cell r="AD319">
            <v>2.9212508914942833E-18</v>
          </cell>
        </row>
        <row r="320">
          <cell r="Y320">
            <v>175</v>
          </cell>
          <cell r="Z320">
            <v>1.4010633422382959E-7</v>
          </cell>
          <cell r="AA320">
            <v>9.6689323214604883E-12</v>
          </cell>
          <cell r="AB320">
            <v>1.3546786634181316E-18</v>
          </cell>
          <cell r="AC320">
            <v>9.6755460095114009E-12</v>
          </cell>
          <cell r="AD320">
            <v>1.355605283006645E-18</v>
          </cell>
        </row>
        <row r="321">
          <cell r="Y321">
            <v>176</v>
          </cell>
          <cell r="Z321">
            <v>1.1577838378384943E-7</v>
          </cell>
          <cell r="AA321">
            <v>5.3868021154812595E-12</v>
          </cell>
          <cell r="AB321">
            <v>6.2367524269384123E-19</v>
          </cell>
          <cell r="AC321">
            <v>5.3913269559604039E-12</v>
          </cell>
          <cell r="AD321">
            <v>6.2419912141139631E-19</v>
          </cell>
        </row>
        <row r="322">
          <cell r="Y322">
            <v>177</v>
          </cell>
          <cell r="Z322">
            <v>9.5519581595900357E-8</v>
          </cell>
          <cell r="AA322">
            <v>2.9843905124948833E-12</v>
          </cell>
          <cell r="AB322">
            <v>2.8506773307228588E-19</v>
          </cell>
          <cell r="AC322">
            <v>2.9831313903597435E-12</v>
          </cell>
          <cell r="AD322">
            <v>2.8494746225275921E-19</v>
          </cell>
        </row>
        <row r="323">
          <cell r="Y323">
            <v>178</v>
          </cell>
          <cell r="Z323">
            <v>7.8677737189425707E-8</v>
          </cell>
          <cell r="AA323">
            <v>1.6439072325624693E-12</v>
          </cell>
          <cell r="AB323">
            <v>1.2933890120734608E-19</v>
          </cell>
          <cell r="AC323">
            <v>1.6428593090193574E-12</v>
          </cell>
          <cell r="AD323">
            <v>1.2925645295422652E-19</v>
          </cell>
        </row>
        <row r="324">
          <cell r="Y324">
            <v>179</v>
          </cell>
          <cell r="Z324">
            <v>6.4700127323429646E-8</v>
          </cell>
          <cell r="AA324">
            <v>9.0005780606361441E-13</v>
          </cell>
          <cell r="AB324">
            <v>5.8233854650762605E-20</v>
          </cell>
          <cell r="AC324">
            <v>8.9707143909646621E-13</v>
          </cell>
          <cell r="AD324">
            <v>5.8040636327753629E-20</v>
          </cell>
        </row>
        <row r="325">
          <cell r="Y325">
            <v>180</v>
          </cell>
          <cell r="Z325">
            <v>5.3119201593224007E-8</v>
          </cell>
          <cell r="AA325">
            <v>4.8949733155723152E-13</v>
          </cell>
          <cell r="AB325">
            <v>2.6001707434333791E-20</v>
          </cell>
          <cell r="AC325">
            <v>4.8739414958761773E-13</v>
          </cell>
          <cell r="AD325">
            <v>2.5889988087302643E-20</v>
          </cell>
        </row>
        <row r="326">
          <cell r="Y326">
            <v>181</v>
          </cell>
          <cell r="Z326">
            <v>4.3540195536392743E-8</v>
          </cell>
          <cell r="AA326">
            <v>2.6412205755832474E-13</v>
          </cell>
          <cell r="AB326">
            <v>1.1499926031563838E-20</v>
          </cell>
          <cell r="AC326">
            <v>2.6658701157779204E-13</v>
          </cell>
          <cell r="AD326">
            <v>1.1607250611559662E-20</v>
          </cell>
        </row>
        <row r="327">
          <cell r="Y327">
            <v>182</v>
          </cell>
          <cell r="Z327">
            <v>3.5630420520419171E-8</v>
          </cell>
          <cell r="AA327">
            <v>1.411093464298574E-13</v>
          </cell>
          <cell r="AB327">
            <v>5.0277853526573283E-21</v>
          </cell>
          <cell r="AC327">
            <v>1.4071298046213068E-13</v>
          </cell>
          <cell r="AD327">
            <v>5.0136626665472424E-21</v>
          </cell>
        </row>
        <row r="328">
          <cell r="Y328">
            <v>183</v>
          </cell>
          <cell r="Z328">
            <v>2.9110023841923365E-8</v>
          </cell>
          <cell r="AA328">
            <v>7.4273920347422973E-14</v>
          </cell>
          <cell r="AB328">
            <v>2.1621155921465995E-21</v>
          </cell>
          <cell r="AC328">
            <v>7.6877172069179492E-14</v>
          </cell>
          <cell r="AD328">
            <v>2.2378963118334599E-21</v>
          </cell>
        </row>
        <row r="329">
          <cell r="Y329">
            <v>184</v>
          </cell>
          <cell r="Z329">
            <v>2.3744034670045679E-8</v>
          </cell>
          <cell r="AA329">
            <v>3.8191672047105385E-14</v>
          </cell>
          <cell r="AB329">
            <v>9.0682438519348473E-22</v>
          </cell>
          <cell r="AC329">
            <v>4.6702256009769143E-14</v>
          </cell>
          <cell r="AD329">
            <v>1.1088999858653077E-21</v>
          </cell>
        </row>
        <row r="330">
          <cell r="Y330">
            <v>185</v>
          </cell>
          <cell r="Z330">
            <v>1.9335531789049017E-8</v>
          </cell>
          <cell r="AA330">
            <v>1.8873791418627661E-14</v>
          </cell>
          <cell r="AB330">
            <v>3.6493479395475568E-22</v>
          </cell>
          <cell r="AC330">
            <v>1.5312467541746381E-14</v>
          </cell>
          <cell r="AD330">
            <v>2.9607470292221841E-22</v>
          </cell>
        </row>
        <row r="331">
          <cell r="Y331">
            <v>186</v>
          </cell>
          <cell r="Z331">
            <v>1.5719787616679312E-8</v>
          </cell>
          <cell r="AA331">
            <v>8.4376949871511897E-15</v>
          </cell>
          <cell r="AB331">
            <v>1.3263877317233638E-22</v>
          </cell>
          <cell r="AC331">
            <v>7.7549941516338479E-15</v>
          </cell>
          <cell r="AD331">
            <v>1.2190686103227425E-22</v>
          </cell>
        </row>
        <row r="332">
          <cell r="Y332">
            <v>187</v>
          </cell>
          <cell r="Z332">
            <v>1.2759259785626556E-8</v>
          </cell>
          <cell r="AA332">
            <v>2.886579864025407E-15</v>
          </cell>
          <cell r="AB332">
            <v>3.6830622377058749E-23</v>
          </cell>
          <cell r="AC332">
            <v>8.3065329744146068E-15</v>
          </cell>
          <cell r="AD332">
            <v>1.0598521213842924E-22</v>
          </cell>
        </row>
        <row r="333">
          <cell r="Y333">
            <v>188</v>
          </cell>
          <cell r="Z333">
            <v>1.0339316773083706E-8</v>
          </cell>
          <cell r="AA333">
            <v>0</v>
          </cell>
          <cell r="AB333">
            <v>0</v>
          </cell>
          <cell r="AC333">
            <v>1.2199814218371374E-15</v>
          </cell>
          <cell r="AD333">
            <v>1.2613774377651222E-23</v>
          </cell>
        </row>
        <row r="334">
          <cell r="Y334">
            <v>189</v>
          </cell>
          <cell r="Z334">
            <v>8.3645977506981809E-9</v>
          </cell>
          <cell r="AA334">
            <v>0</v>
          </cell>
          <cell r="AB334">
            <v>0</v>
          </cell>
          <cell r="AC334">
            <v>3.8486918386861106E-15</v>
          </cell>
          <cell r="AD334">
            <v>3.2192759097004286E-23</v>
          </cell>
        </row>
        <row r="335">
          <cell r="Y335">
            <v>190</v>
          </cell>
          <cell r="Z335">
            <v>6.7559191088510312E-9</v>
          </cell>
          <cell r="AA335">
            <v>0</v>
          </cell>
          <cell r="AB335">
            <v>0</v>
          </cell>
          <cell r="AC335">
            <v>-1.5387729534351049E-15</v>
          </cell>
          <cell r="AD335">
            <v>-1.0395825600295363E-23</v>
          </cell>
        </row>
        <row r="336">
          <cell r="Y336">
            <v>191</v>
          </cell>
          <cell r="Z336">
            <v>5.4476510904269451E-9</v>
          </cell>
          <cell r="AA336">
            <v>0</v>
          </cell>
          <cell r="AB336">
            <v>0</v>
          </cell>
          <cell r="AC336">
            <v>-8.602976384772703E-17</v>
          </cell>
          <cell r="AD336">
            <v>-4.6866013683424269E-25</v>
          </cell>
        </row>
        <row r="337">
          <cell r="Y337">
            <v>192</v>
          </cell>
          <cell r="Z337">
            <v>4.3854977539139034E-9</v>
          </cell>
          <cell r="AA337">
            <v>0</v>
          </cell>
          <cell r="AB337">
            <v>0</v>
          </cell>
          <cell r="AC337">
            <v>2.651300923703736E-16</v>
          </cell>
          <cell r="AD337">
            <v>1.1627274245852591E-24</v>
          </cell>
        </row>
        <row r="338">
          <cell r="Y338">
            <v>193</v>
          </cell>
          <cell r="Z338">
            <v>3.5246221749064745E-9</v>
          </cell>
          <cell r="AA338">
            <v>0</v>
          </cell>
          <cell r="AB338">
            <v>0</v>
          </cell>
          <cell r="AC338">
            <v>5.429627937265219E-15</v>
          </cell>
          <cell r="AD338">
            <v>1.913738702917669E-23</v>
          </cell>
        </row>
        <row r="339">
          <cell r="Y339">
            <v>194</v>
          </cell>
          <cell r="Z339">
            <v>2.8280664863883144E-9</v>
          </cell>
          <cell r="AA339">
            <v>0</v>
          </cell>
          <cell r="AB339">
            <v>0</v>
          </cell>
          <cell r="AC339">
            <v>2.7987772872501092E-15</v>
          </cell>
          <cell r="AD339">
            <v>7.9151282489368343E-24</v>
          </cell>
        </row>
        <row r="340">
          <cell r="Y340">
            <v>195</v>
          </cell>
          <cell r="Z340">
            <v>2.2654231444081313E-9</v>
          </cell>
          <cell r="AA340">
            <v>0</v>
          </cell>
          <cell r="AB340">
            <v>0</v>
          </cell>
          <cell r="AC340">
            <v>1.4352704037179964E-15</v>
          </cell>
          <cell r="AD340">
            <v>3.2514947910667512E-24</v>
          </cell>
        </row>
        <row r="341">
          <cell r="Y341">
            <v>196</v>
          </cell>
          <cell r="Z341">
            <v>1.811719774839537E-9</v>
          </cell>
          <cell r="AA341">
            <v>0</v>
          </cell>
          <cell r="AB341">
            <v>0</v>
          </cell>
          <cell r="AC341">
            <v>7.3228081822348454E-16</v>
          </cell>
          <cell r="AD341">
            <v>1.3266876391111634E-24</v>
          </cell>
        </row>
        <row r="342">
          <cell r="Y342">
            <v>197</v>
          </cell>
          <cell r="Z342">
            <v>1.446485191223386E-9</v>
          </cell>
          <cell r="AA342">
            <v>0</v>
          </cell>
          <cell r="AB342">
            <v>0</v>
          </cell>
          <cell r="AC342">
            <v>3.7171615138246849E-16</v>
          </cell>
          <cell r="AD342">
            <v>5.3768190831329102E-25</v>
          </cell>
        </row>
        <row r="343">
          <cell r="Y343">
            <v>198</v>
          </cell>
          <cell r="Z343">
            <v>1.1529687499763263E-9</v>
          </cell>
          <cell r="AA343">
            <v>0</v>
          </cell>
          <cell r="AB343">
            <v>0</v>
          </cell>
          <cell r="AC343">
            <v>1.8773542999114556E-16</v>
          </cell>
          <cell r="AD343">
            <v>2.1645308404315921E-25</v>
          </cell>
        </row>
        <row r="344">
          <cell r="Y344">
            <v>199</v>
          </cell>
          <cell r="Z344">
            <v>9.1748919852335559E-10</v>
          </cell>
          <cell r="AA344">
            <v>0</v>
          </cell>
          <cell r="AB344">
            <v>0</v>
          </cell>
          <cell r="AC344">
            <v>9.4339412055853564E-17</v>
          </cell>
          <cell r="AD344">
            <v>8.6555391556289678E-26</v>
          </cell>
        </row>
        <row r="345">
          <cell r="Y345">
            <v>200</v>
          </cell>
          <cell r="Z345">
            <v>7.2889263946555667E-10</v>
          </cell>
          <cell r="AA345">
            <v>0</v>
          </cell>
          <cell r="AB345">
            <v>0</v>
          </cell>
          <cell r="AC345">
            <v>4.7169706027926085E-17</v>
          </cell>
          <cell r="AD345">
            <v>3.4381651529509424E-26</v>
          </cell>
        </row>
        <row r="346">
          <cell r="Y346">
            <v>201</v>
          </cell>
          <cell r="Z346">
            <v>5.7810223944213073E-10</v>
          </cell>
          <cell r="AA346">
            <v>0</v>
          </cell>
          <cell r="AB346">
            <v>0</v>
          </cell>
          <cell r="AC346">
            <v>2.3467515436779569E-17</v>
          </cell>
          <cell r="AD346">
            <v>1.3566623228145041E-26</v>
          </cell>
        </row>
        <row r="347">
          <cell r="Y347">
            <v>202</v>
          </cell>
          <cell r="Z347">
            <v>4.5774490918643712E-10</v>
          </cell>
          <cell r="AA347">
            <v>0</v>
          </cell>
          <cell r="AB347">
            <v>0</v>
          </cell>
          <cell r="AC347">
            <v>1.1617581899395516E-17</v>
          </cell>
          <cell r="AD347">
            <v>5.3178889715047965E-27</v>
          </cell>
        </row>
        <row r="348">
          <cell r="Y348">
            <v>203</v>
          </cell>
          <cell r="Z348">
            <v>3.6184242056847542E-10</v>
          </cell>
          <cell r="AA348">
            <v>0</v>
          </cell>
          <cell r="AB348">
            <v>0</v>
          </cell>
          <cell r="AC348">
            <v>5.7229467484708414E-18</v>
          </cell>
          <cell r="AD348">
            <v>2.0708049042511749E-27</v>
          </cell>
        </row>
        <row r="349">
          <cell r="Y349">
            <v>204</v>
          </cell>
          <cell r="Z349">
            <v>2.8555635142650742E-10</v>
          </cell>
          <cell r="AA349">
            <v>0</v>
          </cell>
          <cell r="AB349">
            <v>0</v>
          </cell>
          <cell r="AC349">
            <v>2.8053660531719677E-18</v>
          </cell>
          <cell r="AD349">
            <v>8.010900945595685E-28</v>
          </cell>
        </row>
        <row r="350">
          <cell r="Y350">
            <v>205</v>
          </cell>
          <cell r="Z350">
            <v>2.2497789941737261E-10</v>
          </cell>
          <cell r="AA350">
            <v>0</v>
          </cell>
          <cell r="AB350">
            <v>0</v>
          </cell>
          <cell r="AC350">
            <v>1.3684712454497431E-18</v>
          </cell>
          <cell r="AD350">
            <v>3.0787578621435891E-28</v>
          </cell>
        </row>
        <row r="351">
          <cell r="Y351">
            <v>206</v>
          </cell>
          <cell r="Z351">
            <v>1.7695501740273869E-10</v>
          </cell>
          <cell r="AA351">
            <v>0</v>
          </cell>
          <cell r="AB351">
            <v>0</v>
          </cell>
          <cell r="AC351">
            <v>6.64306429829959E-19</v>
          </cell>
          <cell r="AD351">
            <v>1.1755235585131161E-28</v>
          </cell>
        </row>
        <row r="352">
          <cell r="Y352">
            <v>207</v>
          </cell>
          <cell r="Z352">
            <v>1.3895052654713371E-10</v>
          </cell>
          <cell r="AA352">
            <v>0</v>
          </cell>
          <cell r="AB352">
            <v>0</v>
          </cell>
          <cell r="AC352">
            <v>3.209209805941893E-19</v>
          </cell>
          <cell r="AD352">
            <v>4.459213923358508E-29</v>
          </cell>
        </row>
        <row r="353">
          <cell r="Y353">
            <v>208</v>
          </cell>
          <cell r="Z353">
            <v>1.0892588724323042E-10</v>
          </cell>
          <cell r="AA353">
            <v>0</v>
          </cell>
          <cell r="AB353">
            <v>0</v>
          </cell>
          <cell r="AC353">
            <v>1.5428893297797362E-19</v>
          </cell>
          <cell r="AD353">
            <v>1.6806058916437089E-29</v>
          </cell>
        </row>
        <row r="354">
          <cell r="Y354">
            <v>209</v>
          </cell>
          <cell r="Z354">
            <v>8.5246176819832902E-11</v>
          </cell>
          <cell r="AA354">
            <v>0</v>
          </cell>
          <cell r="AB354">
            <v>0</v>
          </cell>
          <cell r="AC354">
            <v>7.3822455970324434E-20</v>
          </cell>
          <cell r="AD354">
            <v>6.293082134920606E-30</v>
          </cell>
        </row>
        <row r="355">
          <cell r="Y355">
            <v>210</v>
          </cell>
          <cell r="Z355">
            <v>6.6602558366476708E-11</v>
          </cell>
          <cell r="AA355">
            <v>0</v>
          </cell>
          <cell r="AB355">
            <v>0</v>
          </cell>
          <cell r="AC355">
            <v>3.5153550462058329E-20</v>
          </cell>
          <cell r="AD355">
            <v>2.341316396438124E-30</v>
          </cell>
        </row>
        <row r="356">
          <cell r="Y356">
            <v>211</v>
          </cell>
          <cell r="Z356">
            <v>5.1949145877643008E-11</v>
          </cell>
          <cell r="AA356">
            <v>0</v>
          </cell>
          <cell r="AB356">
            <v>0</v>
          </cell>
          <cell r="AC356">
            <v>1.6660450455951834E-20</v>
          </cell>
          <cell r="AD356">
            <v>8.6549617112348581E-31</v>
          </cell>
        </row>
        <row r="357">
          <cell r="Y357">
            <v>212</v>
          </cell>
          <cell r="Z357">
            <v>4.0451693815281052E-11</v>
          </cell>
          <cell r="AA357">
            <v>0</v>
          </cell>
          <cell r="AB357">
            <v>0</v>
          </cell>
          <cell r="AC357">
            <v>7.8587030452600791E-21</v>
          </cell>
          <cell r="AD357">
            <v>3.1789784937207753E-31</v>
          </cell>
        </row>
        <row r="358">
          <cell r="Y358">
            <v>213</v>
          </cell>
          <cell r="Z358">
            <v>3.1445978495548257E-11</v>
          </cell>
          <cell r="AA358">
            <v>0</v>
          </cell>
          <cell r="AB358">
            <v>0</v>
          </cell>
          <cell r="AC358">
            <v>3.6895319461317047E-21</v>
          </cell>
          <cell r="AD358">
            <v>1.1602094223669589E-31</v>
          </cell>
        </row>
        <row r="359">
          <cell r="Y359">
            <v>214</v>
          </cell>
          <cell r="Z359">
            <v>2.4404106890879946E-11</v>
          </cell>
          <cell r="AA359">
            <v>0</v>
          </cell>
          <cell r="AB359">
            <v>0</v>
          </cell>
          <cell r="AC359">
            <v>1.7240803486596097E-21</v>
          </cell>
          <cell r="AD359">
            <v>4.2074641117154681E-32</v>
          </cell>
        </row>
        <row r="360">
          <cell r="Y360">
            <v>215</v>
          </cell>
          <cell r="Z360">
            <v>1.8907296274817626E-11</v>
          </cell>
          <cell r="AA360">
            <v>0</v>
          </cell>
          <cell r="AB360">
            <v>0</v>
          </cell>
          <cell r="AC360">
            <v>8.0189783658587755E-22</v>
          </cell>
          <cell r="AD360">
            <v>1.5161719978464475E-32</v>
          </cell>
        </row>
        <row r="361">
          <cell r="Y361">
            <v>216</v>
          </cell>
          <cell r="Z361">
            <v>1.4623924901919903E-11</v>
          </cell>
          <cell r="AA361">
            <v>0</v>
          </cell>
          <cell r="AB361">
            <v>0</v>
          </cell>
          <cell r="AC361">
            <v>3.7124899841937398E-22</v>
          </cell>
          <cell r="AD361">
            <v>5.4291174727979057E-33</v>
          </cell>
        </row>
        <row r="362">
          <cell r="Y362">
            <v>217</v>
          </cell>
          <cell r="Z362">
            <v>1.1291867574538188E-11</v>
          </cell>
          <cell r="AA362">
            <v>0</v>
          </cell>
          <cell r="AB362">
            <v>0</v>
          </cell>
          <cell r="AC362">
            <v>1.7108248775086915E-22</v>
          </cell>
          <cell r="AD362">
            <v>1.9318407960053662E-33</v>
          </cell>
        </row>
        <row r="363">
          <cell r="Y363">
            <v>218</v>
          </cell>
          <cell r="Z363">
            <v>8.7043073208554735E-12</v>
          </cell>
          <cell r="AA363">
            <v>0</v>
          </cell>
          <cell r="AB363">
            <v>0</v>
          </cell>
          <cell r="AC363">
            <v>7.8478205390306256E-23</v>
          </cell>
          <cell r="AD363">
            <v>6.8309841770644224E-34</v>
          </cell>
        </row>
        <row r="364">
          <cell r="Y364">
            <v>219</v>
          </cell>
          <cell r="Z364">
            <v>6.6983613132962943E-12</v>
          </cell>
          <cell r="AA364">
            <v>0</v>
          </cell>
          <cell r="AB364">
            <v>0</v>
          </cell>
          <cell r="AC364">
            <v>3.5834796981875544E-23</v>
          </cell>
          <cell r="AD364">
            <v>2.4003441777322196E-34</v>
          </cell>
        </row>
        <row r="365">
          <cell r="Y365">
            <v>220</v>
          </cell>
          <cell r="Z365">
            <v>5.1459805446442642E-12</v>
          </cell>
          <cell r="AA365">
            <v>0</v>
          </cell>
          <cell r="AB365">
            <v>0</v>
          </cell>
          <cell r="AC365">
            <v>1.628854408266998E-23</v>
          </cell>
          <cell r="AD365">
            <v>8.3820530950000172E-35</v>
          </cell>
        </row>
        <row r="366">
          <cell r="Y366">
            <v>221</v>
          </cell>
          <cell r="Z366">
            <v>3.9466828517703438E-12</v>
          </cell>
          <cell r="AA366">
            <v>0</v>
          </cell>
          <cell r="AB366">
            <v>0</v>
          </cell>
          <cell r="AC366">
            <v>7.3703819378599045E-24</v>
          </cell>
          <cell r="AD366">
            <v>2.9088560005149558E-35</v>
          </cell>
        </row>
        <row r="367">
          <cell r="Y367">
            <v>222</v>
          </cell>
          <cell r="Z367">
            <v>3.0217611878281283E-12</v>
          </cell>
          <cell r="AA367">
            <v>0</v>
          </cell>
          <cell r="AB367">
            <v>0</v>
          </cell>
          <cell r="AC367">
            <v>3.3199918639007775E-24</v>
          </cell>
          <cell r="AD367">
            <v>1.0032222558240534E-35</v>
          </cell>
        </row>
        <row r="368">
          <cell r="Y368">
            <v>223</v>
          </cell>
          <cell r="Z368">
            <v>2.3096765913078346E-12</v>
          </cell>
          <cell r="AA368">
            <v>0</v>
          </cell>
          <cell r="AB368">
            <v>0</v>
          </cell>
          <cell r="AC368">
            <v>1.4887855891932122E-24</v>
          </cell>
          <cell r="AD368">
            <v>3.4386132248360044E-36</v>
          </cell>
        </row>
        <row r="369">
          <cell r="Y369">
            <v>224</v>
          </cell>
          <cell r="Z369">
            <v>1.7624006069007464E-12</v>
          </cell>
          <cell r="AA369">
            <v>0</v>
          </cell>
          <cell r="AB369">
            <v>0</v>
          </cell>
          <cell r="AC369">
            <v>6.6463642374697155E-25</v>
          </cell>
          <cell r="AD369">
            <v>1.1713556365800042E-36</v>
          </cell>
        </row>
        <row r="370">
          <cell r="Y370">
            <v>225</v>
          </cell>
          <cell r="Z370">
            <v>1.3425170949674242E-12</v>
          </cell>
          <cell r="AA370">
            <v>0</v>
          </cell>
          <cell r="AB370">
            <v>0</v>
          </cell>
          <cell r="AC370">
            <v>2.9539396610976508E-25</v>
          </cell>
          <cell r="AD370">
            <v>3.9657144925258758E-37</v>
          </cell>
        </row>
        <row r="371">
          <cell r="Y371">
            <v>226</v>
          </cell>
          <cell r="Z371">
            <v>1.0209301942574671E-12</v>
          </cell>
          <cell r="AA371">
            <v>0</v>
          </cell>
          <cell r="AB371">
            <v>0</v>
          </cell>
          <cell r="AC371">
            <v>1.307052947388386E-25</v>
          </cell>
          <cell r="AD371">
            <v>1.3344098194820199E-37</v>
          </cell>
        </row>
        <row r="372">
          <cell r="Y372">
            <v>227</v>
          </cell>
          <cell r="Z372">
            <v>7.7505515406025477E-13</v>
          </cell>
          <cell r="AA372">
            <v>0</v>
          </cell>
          <cell r="AB372">
            <v>0</v>
          </cell>
          <cell r="AC372">
            <v>5.7579424995080462E-26</v>
          </cell>
          <cell r="AD372">
            <v>4.4627230110262973E-38</v>
          </cell>
        </row>
        <row r="373">
          <cell r="Y373">
            <v>228</v>
          </cell>
          <cell r="Z373">
            <v>5.8739305697868577E-13</v>
          </cell>
          <cell r="AA373">
            <v>0</v>
          </cell>
          <cell r="AB373">
            <v>0</v>
          </cell>
          <cell r="AC373">
            <v>2.5254133769772539E-26</v>
          </cell>
          <cell r="AD373">
            <v>1.4834102836375354E-38</v>
          </cell>
        </row>
        <row r="374">
          <cell r="Y374">
            <v>229</v>
          </cell>
          <cell r="Z374">
            <v>4.4441013292193997E-13</v>
          </cell>
          <cell r="AA374">
            <v>0</v>
          </cell>
          <cell r="AB374">
            <v>0</v>
          </cell>
          <cell r="AC374">
            <v>1.1028006013001093E-26</v>
          </cell>
          <cell r="AD374">
            <v>4.9009576181017691E-39</v>
          </cell>
        </row>
        <row r="375">
          <cell r="Y375">
            <v>230</v>
          </cell>
          <cell r="Z375">
            <v>3.3565826394302068E-13</v>
          </cell>
          <cell r="AA375">
            <v>0</v>
          </cell>
          <cell r="AB375">
            <v>0</v>
          </cell>
          <cell r="AC375">
            <v>4.7947852230441448E-27</v>
          </cell>
          <cell r="AD375">
            <v>1.6094092839466469E-39</v>
          </cell>
        </row>
        <row r="376">
          <cell r="Y376">
            <v>231</v>
          </cell>
          <cell r="Z376">
            <v>2.5308609625660212E-13</v>
          </cell>
          <cell r="AA376">
            <v>0</v>
          </cell>
          <cell r="AB376">
            <v>0</v>
          </cell>
          <cell r="AC376">
            <v>2.0756645987203117E-27</v>
          </cell>
          <cell r="AD376">
            <v>5.2532185042815021E-40</v>
          </cell>
        </row>
        <row r="377">
          <cell r="Y377">
            <v>232</v>
          </cell>
          <cell r="Z377">
            <v>1.9050048516692739E-13</v>
          </cell>
          <cell r="AA377">
            <v>0</v>
          </cell>
          <cell r="AB377">
            <v>0</v>
          </cell>
          <cell r="AC377">
            <v>8.9468301668981979E-28</v>
          </cell>
          <cell r="AD377">
            <v>1.7043754875002087E-40</v>
          </cell>
        </row>
        <row r="378">
          <cell r="Y378">
            <v>233</v>
          </cell>
          <cell r="Z378">
            <v>1.4314627318124238E-13</v>
          </cell>
          <cell r="AA378">
            <v>0</v>
          </cell>
          <cell r="AB378">
            <v>0</v>
          </cell>
          <cell r="AC378">
            <v>3.8398412733467254E-28</v>
          </cell>
          <cell r="AD378">
            <v>5.4965896788709997E-41</v>
          </cell>
        </row>
        <row r="379">
          <cell r="Y379">
            <v>234</v>
          </cell>
          <cell r="Z379">
            <v>1.0737902852524244E-13</v>
          </cell>
          <cell r="AA379">
            <v>0</v>
          </cell>
          <cell r="AB379">
            <v>0</v>
          </cell>
          <cell r="AC379">
            <v>1.6409578091225557E-28</v>
          </cell>
          <cell r="AD379">
            <v>1.7620445539449024E-41</v>
          </cell>
        </row>
        <row r="380">
          <cell r="Y380">
            <v>235</v>
          </cell>
          <cell r="Z380">
            <v>8.0410667220167173E-14</v>
          </cell>
          <cell r="AA380">
            <v>0</v>
          </cell>
          <cell r="AB380">
            <v>0</v>
          </cell>
          <cell r="AC380">
            <v>6.9827991877554831E-29</v>
          </cell>
          <cell r="AD380">
            <v>5.6149154175185979E-42</v>
          </cell>
        </row>
        <row r="381">
          <cell r="Y381">
            <v>236</v>
          </cell>
          <cell r="Z381">
            <v>6.011210504479526E-14</v>
          </cell>
          <cell r="AA381">
            <v>0</v>
          </cell>
          <cell r="AB381">
            <v>0</v>
          </cell>
          <cell r="AC381">
            <v>2.9588132151506096E-29</v>
          </cell>
          <cell r="AD381">
            <v>1.7786049079706183E-42</v>
          </cell>
        </row>
        <row r="382">
          <cell r="Y382">
            <v>237</v>
          </cell>
          <cell r="Z382">
            <v>4.4860446176805091E-14</v>
          </cell>
          <cell r="AA382">
            <v>0</v>
          </cell>
          <cell r="AB382">
            <v>0</v>
          </cell>
          <cell r="AC382">
            <v>1.2484443945783336E-29</v>
          </cell>
          <cell r="AD382">
            <v>5.6005772567715353E-43</v>
          </cell>
        </row>
        <row r="383">
          <cell r="Y383">
            <v>238</v>
          </cell>
          <cell r="Z383">
            <v>3.3420883596365153E-14</v>
          </cell>
          <cell r="AA383">
            <v>0</v>
          </cell>
          <cell r="AB383">
            <v>0</v>
          </cell>
          <cell r="AC383">
            <v>5.2455646831022304E-30</v>
          </cell>
          <cell r="AD383">
            <v>1.7531140667116369E-43</v>
          </cell>
        </row>
        <row r="384">
          <cell r="Y384">
            <v>239</v>
          </cell>
          <cell r="Z384">
            <v>2.4855600499577058E-14</v>
          </cell>
          <cell r="AA384">
            <v>0</v>
          </cell>
          <cell r="AB384">
            <v>0</v>
          </cell>
          <cell r="AC384">
            <v>2.1947969385364663E-30</v>
          </cell>
          <cell r="AD384">
            <v>5.4552995881957192E-44</v>
          </cell>
        </row>
        <row r="385">
          <cell r="Y385">
            <v>240</v>
          </cell>
          <cell r="Z385">
            <v>1.8453633525008379E-14</v>
          </cell>
          <cell r="AA385">
            <v>0</v>
          </cell>
          <cell r="AB385">
            <v>0</v>
          </cell>
          <cell r="AC385">
            <v>9.144987243902291E-31</v>
          </cell>
          <cell r="AD385">
            <v>1.6875824318984929E-44</v>
          </cell>
        </row>
        <row r="386">
          <cell r="Y386">
            <v>241</v>
          </cell>
          <cell r="Z386">
            <v>1.3676977404516932E-14</v>
          </cell>
          <cell r="AA386">
            <v>0</v>
          </cell>
          <cell r="AB386">
            <v>0</v>
          </cell>
          <cell r="AC386">
            <v>3.7946005161419114E-31</v>
          </cell>
          <cell r="AD386">
            <v>5.1898665518441208E-45</v>
          </cell>
        </row>
        <row r="387">
          <cell r="Y387">
            <v>242</v>
          </cell>
          <cell r="Z387">
            <v>1.0119248950828086E-14</v>
          </cell>
          <cell r="AA387">
            <v>0</v>
          </cell>
          <cell r="AB387">
            <v>0</v>
          </cell>
          <cell r="AC387">
            <v>1.5680167422074219E-31</v>
          </cell>
          <cell r="AD387">
            <v>1.5867151773463328E-45</v>
          </cell>
        </row>
        <row r="388">
          <cell r="Y388">
            <v>243</v>
          </cell>
          <cell r="Z388">
            <v>7.4740440288446102E-15</v>
          </cell>
          <cell r="AA388">
            <v>0</v>
          </cell>
          <cell r="AB388">
            <v>0</v>
          </cell>
          <cell r="AC388">
            <v>6.4527437950923044E-32</v>
          </cell>
          <cell r="AD388">
            <v>4.8228091231373747E-46</v>
          </cell>
        </row>
        <row r="389">
          <cell r="Y389">
            <v>244</v>
          </cell>
          <cell r="Z389">
            <v>5.5107606865633633E-15</v>
          </cell>
          <cell r="AA389">
            <v>0</v>
          </cell>
          <cell r="AB389">
            <v>0</v>
          </cell>
          <cell r="AC389">
            <v>2.644567129136166E-32</v>
          </cell>
          <cell r="AD389">
            <v>1.457357656822132E-46</v>
          </cell>
        </row>
        <row r="390">
          <cell r="Y390">
            <v>245</v>
          </cell>
          <cell r="Z390">
            <v>4.0561619549546583E-15</v>
          </cell>
          <cell r="AA390">
            <v>0</v>
          </cell>
          <cell r="AB390">
            <v>0</v>
          </cell>
          <cell r="AC390">
            <v>1.0794151547494202E-32</v>
          </cell>
          <cell r="AD390">
            <v>4.3782826842960934E-47</v>
          </cell>
        </row>
        <row r="391">
          <cell r="Y391">
            <v>246</v>
          </cell>
          <cell r="Z391">
            <v>2.9803424415292528E-15</v>
          </cell>
          <cell r="AA391">
            <v>0</v>
          </cell>
          <cell r="AB391">
            <v>0</v>
          </cell>
          <cell r="AC391">
            <v>4.3878664827213855E-33</v>
          </cell>
          <cell r="AD391">
            <v>1.3077344706218229E-47</v>
          </cell>
        </row>
        <row r="392">
          <cell r="Y392">
            <v>247</v>
          </cell>
          <cell r="Z392">
            <v>2.186067162867293E-15</v>
          </cell>
          <cell r="AA392">
            <v>0</v>
          </cell>
          <cell r="AB392">
            <v>0</v>
          </cell>
          <cell r="AC392">
            <v>1.7764641630450913E-33</v>
          </cell>
          <cell r="AD392">
            <v>3.8834699728434031E-48</v>
          </cell>
        </row>
        <row r="393">
          <cell r="Y393">
            <v>248</v>
          </cell>
          <cell r="Z393">
            <v>1.6006876575028529E-15</v>
          </cell>
          <cell r="AA393">
            <v>0</v>
          </cell>
          <cell r="AB393">
            <v>0</v>
          </cell>
          <cell r="AC393">
            <v>7.1631619477624472E-34</v>
          </cell>
          <cell r="AD393">
            <v>1.1465984918477445E-48</v>
          </cell>
        </row>
        <row r="394">
          <cell r="Y394">
            <v>249</v>
          </cell>
          <cell r="Z394">
            <v>1.1700239814209788E-15</v>
          </cell>
          <cell r="AA394">
            <v>0</v>
          </cell>
          <cell r="AB394">
            <v>0</v>
          </cell>
          <cell r="AC394">
            <v>2.8767718665711822E-34</v>
          </cell>
          <cell r="AD394">
            <v>3.3658920729654755E-49</v>
          </cell>
        </row>
        <row r="395">
          <cell r="Y395">
            <v>250</v>
          </cell>
          <cell r="Z395">
            <v>8.5374330693000149E-16</v>
          </cell>
          <cell r="AA395">
            <v>0</v>
          </cell>
          <cell r="AB395">
            <v>0</v>
          </cell>
          <cell r="AC395">
            <v>1.1507087466285044E-34</v>
          </cell>
          <cell r="AD395">
            <v>9.8240989065989655E-50</v>
          </cell>
        </row>
        <row r="396">
          <cell r="Y396">
            <v>251</v>
          </cell>
          <cell r="Z396">
            <v>6.2187565036850085E-16</v>
          </cell>
          <cell r="AA396">
            <v>0</v>
          </cell>
          <cell r="AB396">
            <v>0</v>
          </cell>
          <cell r="AC396">
            <v>4.5844969985199945E-35</v>
          </cell>
          <cell r="AD396">
            <v>2.8509870525670619E-50</v>
          </cell>
        </row>
        <row r="397">
          <cell r="Y397">
            <v>252</v>
          </cell>
          <cell r="Z397">
            <v>4.5219191692195794E-16</v>
          </cell>
          <cell r="AA397">
            <v>0</v>
          </cell>
          <cell r="AB397">
            <v>0</v>
          </cell>
          <cell r="AC397">
            <v>1.8192448406825228E-35</v>
          </cell>
          <cell r="AD397">
            <v>8.2264781185861196E-51</v>
          </cell>
        </row>
        <row r="398">
          <cell r="Y398">
            <v>253</v>
          </cell>
          <cell r="Z398">
            <v>3.2823459379932463E-16</v>
          </cell>
          <cell r="AA398">
            <v>0</v>
          </cell>
          <cell r="AB398">
            <v>0</v>
          </cell>
          <cell r="AC398">
            <v>7.190691069891632E-36</v>
          </cell>
          <cell r="AD398">
            <v>2.360233562462311E-51</v>
          </cell>
        </row>
        <row r="399">
          <cell r="Y399">
            <v>254</v>
          </cell>
          <cell r="Z399">
            <v>2.3784144341766712E-16</v>
          </cell>
          <cell r="AA399">
            <v>0</v>
          </cell>
          <cell r="AB399">
            <v>0</v>
          </cell>
          <cell r="AC399">
            <v>2.8309807361777105E-36</v>
          </cell>
          <cell r="AD399">
            <v>6.7332454458011657E-52</v>
          </cell>
        </row>
        <row r="400">
          <cell r="Y400">
            <v>255</v>
          </cell>
          <cell r="Z400">
            <v>1.7204087771926771E-16</v>
          </cell>
          <cell r="AA400">
            <v>0</v>
          </cell>
          <cell r="AB400">
            <v>0</v>
          </cell>
          <cell r="AC400">
            <v>1.1101885239912753E-36</v>
          </cell>
          <cell r="AD400">
            <v>1.9099780810131731E-52</v>
          </cell>
        </row>
        <row r="401">
          <cell r="Y401">
            <v>256</v>
          </cell>
          <cell r="Z401">
            <v>1.2422700544824723E-16</v>
          </cell>
          <cell r="AA401">
            <v>0</v>
          </cell>
          <cell r="AB401">
            <v>0</v>
          </cell>
          <cell r="AC401">
            <v>4.336673921840767E-37</v>
          </cell>
          <cell r="AD401">
            <v>5.3873201491578466E-53</v>
          </cell>
        </row>
        <row r="402">
          <cell r="Y402">
            <v>257</v>
          </cell>
          <cell r="Z402">
            <v>8.9544712289519583E-17</v>
          </cell>
          <cell r="AA402">
            <v>0</v>
          </cell>
          <cell r="AB402">
            <v>0</v>
          </cell>
          <cell r="AC402">
            <v>1.6874217594711553E-37</v>
          </cell>
          <cell r="AD402">
            <v>1.5109969596291951E-53</v>
          </cell>
        </row>
        <row r="403">
          <cell r="Y403">
            <v>258</v>
          </cell>
          <cell r="Z403">
            <v>6.4432168742756332E-17</v>
          </cell>
          <cell r="AA403">
            <v>0</v>
          </cell>
          <cell r="AB403">
            <v>0</v>
          </cell>
          <cell r="AC403">
            <v>6.5403944165548153E-38</v>
          </cell>
          <cell r="AD403">
            <v>4.2141179669164119E-54</v>
          </cell>
        </row>
        <row r="404">
          <cell r="Y404">
            <v>259</v>
          </cell>
          <cell r="Z404">
            <v>4.6281107503061145E-17</v>
          </cell>
          <cell r="AA404">
            <v>0</v>
          </cell>
          <cell r="AB404">
            <v>0</v>
          </cell>
          <cell r="AC404">
            <v>2.5252488094806441E-38</v>
          </cell>
          <cell r="AD404">
            <v>1.1687131162355086E-54</v>
          </cell>
        </row>
        <row r="405">
          <cell r="Y405">
            <v>260</v>
          </cell>
          <cell r="Z405">
            <v>3.3185031929444509E-17</v>
          </cell>
          <cell r="AA405">
            <v>0</v>
          </cell>
          <cell r="AB405">
            <v>0</v>
          </cell>
          <cell r="AC405">
            <v>9.7124954210795161E-39</v>
          </cell>
          <cell r="AD405">
            <v>3.2230947066310734E-55</v>
          </cell>
        </row>
        <row r="406">
          <cell r="Y406">
            <v>261</v>
          </cell>
          <cell r="Z406">
            <v>2.3752950016408855E-17</v>
          </cell>
          <cell r="AA406">
            <v>0</v>
          </cell>
          <cell r="AB406">
            <v>0</v>
          </cell>
          <cell r="AC406">
            <v>3.7212626134403661E-39</v>
          </cell>
          <cell r="AD406">
            <v>8.8390964854980006E-56</v>
          </cell>
        </row>
        <row r="407">
          <cell r="Y407">
            <v>262</v>
          </cell>
          <cell r="Z407">
            <v>1.6971842912810477E-17</v>
          </cell>
          <cell r="AA407">
            <v>0</v>
          </cell>
          <cell r="AB407">
            <v>0</v>
          </cell>
          <cell r="AC407">
            <v>1.4203292417711181E-39</v>
          </cell>
          <cell r="AD407">
            <v>2.4105604775810631E-56</v>
          </cell>
        </row>
        <row r="408">
          <cell r="Y408">
            <v>263</v>
          </cell>
          <cell r="Z408">
            <v>1.2105309600883941E-17</v>
          </cell>
          <cell r="AA408">
            <v>0</v>
          </cell>
          <cell r="AB408">
            <v>0</v>
          </cell>
          <cell r="AC408">
            <v>5.4004914135786031E-40</v>
          </cell>
          <cell r="AD408">
            <v>6.5374620558284347E-57</v>
          </cell>
        </row>
        <row r="409">
          <cell r="Y409">
            <v>264</v>
          </cell>
          <cell r="Z409">
            <v>8.6190135778915855E-18</v>
          </cell>
          <cell r="AA409">
            <v>0</v>
          </cell>
          <cell r="AB409">
            <v>0</v>
          </cell>
          <cell r="AC409">
            <v>2.0456406869614683E-40</v>
          </cell>
          <cell r="AD409">
            <v>1.7631404856408365E-57</v>
          </cell>
        </row>
        <row r="410">
          <cell r="Y410">
            <v>265</v>
          </cell>
          <cell r="Z410">
            <v>6.1259480722755736E-18</v>
          </cell>
          <cell r="AA410">
            <v>0</v>
          </cell>
          <cell r="AB410">
            <v>0</v>
          </cell>
          <cell r="AC410">
            <v>7.7193988187230482E-41</v>
          </cell>
          <cell r="AD410">
            <v>4.72886363126828E-58</v>
          </cell>
        </row>
        <row r="411">
          <cell r="Y411">
            <v>266</v>
          </cell>
          <cell r="Z411">
            <v>4.346327597312776E-18</v>
          </cell>
          <cell r="AA411">
            <v>0</v>
          </cell>
          <cell r="AB411">
            <v>0</v>
          </cell>
          <cell r="AC411">
            <v>2.9020296310987679E-41</v>
          </cell>
          <cell r="AD411">
            <v>1.2613171473863989E-58</v>
          </cell>
        </row>
        <row r="412">
          <cell r="Y412">
            <v>267</v>
          </cell>
          <cell r="Z412">
            <v>3.07825307477399E-18</v>
          </cell>
          <cell r="AA412">
            <v>0</v>
          </cell>
          <cell r="AB412">
            <v>0</v>
          </cell>
          <cell r="AC412">
            <v>1.0869024835575717E-41</v>
          </cell>
          <cell r="AD412">
            <v>3.3457609119905812E-59</v>
          </cell>
        </row>
        <row r="413">
          <cell r="Y413">
            <v>268</v>
          </cell>
          <cell r="Z413">
            <v>2.1762972998204603E-18</v>
          </cell>
          <cell r="AA413">
            <v>0</v>
          </cell>
          <cell r="AB413">
            <v>0</v>
          </cell>
          <cell r="AC413">
            <v>4.0556062819311644E-42</v>
          </cell>
          <cell r="AD413">
            <v>8.8262050005016899E-60</v>
          </cell>
        </row>
        <row r="414">
          <cell r="Y414">
            <v>269</v>
          </cell>
          <cell r="Z414">
            <v>1.5359019100446645E-18</v>
          </cell>
          <cell r="AA414">
            <v>0</v>
          </cell>
          <cell r="AB414">
            <v>0</v>
          </cell>
          <cell r="AC414">
            <v>1.5076603278555081E-42</v>
          </cell>
          <cell r="AD414">
            <v>2.3156183772518399E-60</v>
          </cell>
        </row>
        <row r="415">
          <cell r="Y415">
            <v>270</v>
          </cell>
          <cell r="Z415">
            <v>1.0820302778409811E-18</v>
          </cell>
          <cell r="AA415">
            <v>0</v>
          </cell>
          <cell r="AB415">
            <v>0</v>
          </cell>
          <cell r="AC415">
            <v>5.5839271402056618E-43</v>
          </cell>
          <cell r="AD415">
            <v>6.0419782349605275E-61</v>
          </cell>
        </row>
        <row r="416">
          <cell r="Y416">
            <v>271</v>
          </cell>
          <cell r="Z416">
            <v>7.609311146665798E-19</v>
          </cell>
          <cell r="AA416">
            <v>0</v>
          </cell>
          <cell r="AB416">
            <v>0</v>
          </cell>
          <cell r="AC416">
            <v>2.0604897196330391E-43</v>
          </cell>
          <cell r="AD416">
            <v>1.5678907391193968E-61</v>
          </cell>
        </row>
        <row r="417">
          <cell r="Y417">
            <v>272</v>
          </cell>
          <cell r="Z417">
            <v>5.3417134796010933E-19</v>
          </cell>
          <cell r="AA417">
            <v>0</v>
          </cell>
          <cell r="AB417">
            <v>0</v>
          </cell>
          <cell r="AC417">
            <v>7.5753298515920008E-44</v>
          </cell>
          <cell r="AD417">
            <v>4.0465241580673537E-62</v>
          </cell>
        </row>
        <row r="418">
          <cell r="Y418">
            <v>273</v>
          </cell>
          <cell r="Z418">
            <v>3.7432124366595377E-19</v>
          </cell>
          <cell r="AA418">
            <v>0</v>
          </cell>
          <cell r="AB418">
            <v>0</v>
          </cell>
          <cell r="AC418">
            <v>2.7748460994842225E-44</v>
          </cell>
          <cell r="AD418">
            <v>1.0386838429405551E-62</v>
          </cell>
        </row>
        <row r="419">
          <cell r="Y419">
            <v>274</v>
          </cell>
          <cell r="Z419">
            <v>2.6184019881913253E-19</v>
          </cell>
          <cell r="AA419">
            <v>0</v>
          </cell>
          <cell r="AB419">
            <v>0</v>
          </cell>
          <cell r="AC419">
            <v>1.0127175545563362E-44</v>
          </cell>
          <cell r="AD419">
            <v>2.6517016583265676E-63</v>
          </cell>
        </row>
        <row r="420">
          <cell r="Y420">
            <v>275</v>
          </cell>
          <cell r="Z420">
            <v>1.8283336540112621E-19</v>
          </cell>
          <cell r="AA420">
            <v>0</v>
          </cell>
          <cell r="AB420">
            <v>0</v>
          </cell>
          <cell r="AC420">
            <v>3.6826092892958454E-45</v>
          </cell>
          <cell r="AD420">
            <v>6.7330384981940898E-64</v>
          </cell>
        </row>
        <row r="421">
          <cell r="Y421">
            <v>276</v>
          </cell>
          <cell r="Z421">
            <v>1.2743865894537191E-19</v>
          </cell>
          <cell r="AA421">
            <v>0</v>
          </cell>
          <cell r="AB421">
            <v>0</v>
          </cell>
          <cell r="AC421">
            <v>1.3342787280057669E-45</v>
          </cell>
          <cell r="AD421">
            <v>1.7003869175639156E-64</v>
          </cell>
        </row>
        <row r="422">
          <cell r="Y422">
            <v>277</v>
          </cell>
          <cell r="Z422">
            <v>8.8669215151907731E-20</v>
          </cell>
          <cell r="AA422">
            <v>0</v>
          </cell>
          <cell r="AB422">
            <v>0</v>
          </cell>
          <cell r="AC422">
            <v>4.8168907148217632E-46</v>
          </cell>
          <cell r="AD422">
            <v>4.2710991915575757E-65</v>
          </cell>
        </row>
        <row r="423">
          <cell r="Y423">
            <v>278</v>
          </cell>
          <cell r="Z423">
            <v>6.1584269385013265E-20</v>
          </cell>
          <cell r="AA423">
            <v>0</v>
          </cell>
          <cell r="AB423">
            <v>0</v>
          </cell>
          <cell r="AC423">
            <v>1.7326945017346072E-46</v>
          </cell>
          <cell r="AD423">
            <v>1.0670672495675539E-65</v>
          </cell>
        </row>
        <row r="424">
          <cell r="Y424">
            <v>279</v>
          </cell>
          <cell r="Z424">
            <v>4.2696404646524582E-20</v>
          </cell>
          <cell r="AA424">
            <v>0</v>
          </cell>
          <cell r="AB424">
            <v>0</v>
          </cell>
          <cell r="AC424">
            <v>6.2103745581883559E-47</v>
          </cell>
          <cell r="AD424">
            <v>2.6516066514289136E-66</v>
          </cell>
        </row>
        <row r="425">
          <cell r="Y425">
            <v>280</v>
          </cell>
          <cell r="Z425">
            <v>2.9548587662848895E-20</v>
          </cell>
          <cell r="AA425">
            <v>0</v>
          </cell>
          <cell r="AB425">
            <v>0</v>
          </cell>
          <cell r="AC425">
            <v>2.2179909136386708E-47</v>
          </cell>
          <cell r="AD425">
            <v>6.5538498947054575E-67</v>
          </cell>
        </row>
        <row r="426">
          <cell r="Y426">
            <v>281</v>
          </cell>
          <cell r="Z426">
            <v>2.0412931889368943E-20</v>
          </cell>
          <cell r="AA426">
            <v>0</v>
          </cell>
          <cell r="AB426">
            <v>0</v>
          </cell>
          <cell r="AC426">
            <v>7.893206098358188E-48</v>
          </cell>
          <cell r="AD426">
            <v>1.6112347847453728E-67</v>
          </cell>
        </row>
        <row r="427">
          <cell r="Y427">
            <v>282</v>
          </cell>
          <cell r="Z427">
            <v>1.4076562407542203E-20</v>
          </cell>
          <cell r="AA427">
            <v>0</v>
          </cell>
          <cell r="AB427">
            <v>0</v>
          </cell>
          <cell r="AC427">
            <v>2.7990092547368408E-48</v>
          </cell>
          <cell r="AD427">
            <v>3.9400428453591328E-68</v>
          </cell>
        </row>
        <row r="428">
          <cell r="Y428">
            <v>283</v>
          </cell>
          <cell r="Z428">
            <v>9.6896865235971375E-21</v>
          </cell>
          <cell r="AA428">
            <v>0</v>
          </cell>
          <cell r="AB428">
            <v>0</v>
          </cell>
          <cell r="AC428">
            <v>9.8904920662081212E-49</v>
          </cell>
          <cell r="AD428">
            <v>9.5835767685681231E-69</v>
          </cell>
        </row>
        <row r="429">
          <cell r="Y429">
            <v>284</v>
          </cell>
          <cell r="Z429">
            <v>6.6580042375912266E-21</v>
          </cell>
          <cell r="AA429">
            <v>0</v>
          </cell>
          <cell r="AB429">
            <v>0</v>
          </cell>
          <cell r="AC429">
            <v>3.482567628946509E-49</v>
          </cell>
          <cell r="AD429">
            <v>2.3186950031223886E-69</v>
          </cell>
        </row>
        <row r="430">
          <cell r="Y430">
            <v>285</v>
          </cell>
          <cell r="Z430">
            <v>4.5666629659315389E-21</v>
          </cell>
          <cell r="AA430">
            <v>0</v>
          </cell>
          <cell r="AB430">
            <v>0</v>
          </cell>
          <cell r="AC430">
            <v>1.2219535540163707E-49</v>
          </cell>
          <cell r="AD430">
            <v>5.5802500412149843E-70</v>
          </cell>
        </row>
        <row r="431">
          <cell r="Y431">
            <v>286</v>
          </cell>
          <cell r="Z431">
            <v>3.1266101828849332E-21</v>
          </cell>
          <cell r="AA431">
            <v>0</v>
          </cell>
          <cell r="AB431">
            <v>0</v>
          </cell>
          <cell r="AC431">
            <v>4.2725648741829451E-50</v>
          </cell>
          <cell r="AD431">
            <v>1.3358644842656879E-70</v>
          </cell>
        </row>
        <row r="432">
          <cell r="Y432">
            <v>287</v>
          </cell>
          <cell r="Z432">
            <v>2.1368189747913212E-21</v>
          </cell>
          <cell r="AA432">
            <v>0</v>
          </cell>
          <cell r="AB432">
            <v>0</v>
          </cell>
          <cell r="AC432">
            <v>1.4886985624330804E-50</v>
          </cell>
          <cell r="AD432">
            <v>3.1810793359515685E-71</v>
          </cell>
        </row>
        <row r="433">
          <cell r="Y433">
            <v>288</v>
          </cell>
          <cell r="Z433">
            <v>1.4577406810976887E-21</v>
          </cell>
          <cell r="AA433">
            <v>0</v>
          </cell>
          <cell r="AB433">
            <v>0</v>
          </cell>
          <cell r="AC433">
            <v>5.1690922306704464E-51</v>
          </cell>
          <cell r="AD433">
            <v>7.5351960289943075E-72</v>
          </cell>
        </row>
        <row r="434">
          <cell r="Y434">
            <v>289</v>
          </cell>
          <cell r="Z434">
            <v>9.9268325987787776E-22</v>
          </cell>
          <cell r="AA434">
            <v>0</v>
          </cell>
          <cell r="AB434">
            <v>0</v>
          </cell>
          <cell r="AC434">
            <v>1.7886132286057239E-51</v>
          </cell>
          <cell r="AD434">
            <v>1.7755264104330259E-72</v>
          </cell>
        </row>
        <row r="435">
          <cell r="Y435">
            <v>290</v>
          </cell>
          <cell r="Z435">
            <v>6.747739982298026E-22</v>
          </cell>
          <cell r="AA435">
            <v>0</v>
          </cell>
          <cell r="AB435">
            <v>0</v>
          </cell>
          <cell r="AC435">
            <v>6.1676318227786466E-52</v>
          </cell>
          <cell r="AD435">
            <v>4.1617575846657124E-73</v>
          </cell>
        </row>
        <row r="436">
          <cell r="Y436">
            <v>291</v>
          </cell>
          <cell r="Z436">
            <v>4.5784927587923194E-22</v>
          </cell>
          <cell r="AA436">
            <v>0</v>
          </cell>
          <cell r="AB436">
            <v>0</v>
          </cell>
          <cell r="AC436">
            <v>2.1194611074839596E-52</v>
          </cell>
          <cell r="AD436">
            <v>9.7039373331572587E-74</v>
          </cell>
        </row>
        <row r="437">
          <cell r="Y437">
            <v>292</v>
          </cell>
          <cell r="Z437">
            <v>3.1010060379284579E-22</v>
          </cell>
          <cell r="AA437">
            <v>0</v>
          </cell>
          <cell r="AB437">
            <v>0</v>
          </cell>
          <cell r="AC437">
            <v>7.2584284502875902E-53</v>
          </cell>
          <cell r="AD437">
            <v>2.2508430450213517E-74</v>
          </cell>
        </row>
        <row r="438">
          <cell r="Y438">
            <v>293</v>
          </cell>
          <cell r="Z438">
            <v>2.0965147227745659E-22</v>
          </cell>
          <cell r="AA438">
            <v>0</v>
          </cell>
          <cell r="AB438">
            <v>0</v>
          </cell>
          <cell r="AC438">
            <v>2.477279334569068E-53</v>
          </cell>
          <cell r="AD438">
            <v>5.1936525973492308E-75</v>
          </cell>
        </row>
        <row r="439">
          <cell r="Y439">
            <v>294</v>
          </cell>
          <cell r="Z439">
            <v>1.4148414792431871E-22</v>
          </cell>
          <cell r="AA439">
            <v>0</v>
          </cell>
          <cell r="AB439">
            <v>0</v>
          </cell>
          <cell r="AC439">
            <v>8.426120185608977E-54</v>
          </cell>
          <cell r="AD439">
            <v>1.1921624347687882E-75</v>
          </cell>
        </row>
        <row r="440">
          <cell r="Y440">
            <v>295</v>
          </cell>
          <cell r="Z440">
            <v>9.5308481827285265E-23</v>
          </cell>
          <cell r="AA440">
            <v>0</v>
          </cell>
          <cell r="AB440">
            <v>0</v>
          </cell>
          <cell r="AC440">
            <v>2.8563119273252879E-54</v>
          </cell>
          <cell r="AD440">
            <v>2.7223075341854034E-76</v>
          </cell>
        </row>
        <row r="441">
          <cell r="Y441">
            <v>296</v>
          </cell>
          <cell r="Z441">
            <v>6.4086796097316464E-23</v>
          </cell>
          <cell r="AA441">
            <v>0</v>
          </cell>
          <cell r="AB441">
            <v>0</v>
          </cell>
          <cell r="AC441">
            <v>9.6497024571796984E-55</v>
          </cell>
          <cell r="AD441">
            <v>6.1841851377304899E-77</v>
          </cell>
        </row>
        <row r="442">
          <cell r="Y442">
            <v>297</v>
          </cell>
          <cell r="Z442">
            <v>4.3014823985744939E-23</v>
          </cell>
          <cell r="AA442">
            <v>0</v>
          </cell>
          <cell r="AB442">
            <v>0</v>
          </cell>
          <cell r="AC442">
            <v>3.2490580663904176E-55</v>
          </cell>
          <cell r="AD442">
            <v>1.397576608452486E-77</v>
          </cell>
        </row>
        <row r="443">
          <cell r="Y443">
            <v>298</v>
          </cell>
          <cell r="Z443">
            <v>2.8819050130208088E-23</v>
          </cell>
          <cell r="AA443">
            <v>0</v>
          </cell>
          <cell r="AB443">
            <v>0</v>
          </cell>
          <cell r="AC443">
            <v>1.0902879417417886E-55</v>
          </cell>
          <cell r="AD443">
            <v>3.1421062849418E-78</v>
          </cell>
        </row>
        <row r="444">
          <cell r="Y444">
            <v>299</v>
          </cell>
          <cell r="Z444">
            <v>1.9273138385644572E-23</v>
          </cell>
          <cell r="AA444">
            <v>0</v>
          </cell>
          <cell r="AB444">
            <v>0</v>
          </cell>
          <cell r="AC444">
            <v>3.6464479656916522E-56</v>
          </cell>
          <cell r="AD444">
            <v>7.0278496258827349E-79</v>
          </cell>
        </row>
        <row r="445">
          <cell r="Y445">
            <v>300</v>
          </cell>
          <cell r="Z445">
            <v>1.2865771246362976E-23</v>
          </cell>
          <cell r="AA445">
            <v>0</v>
          </cell>
          <cell r="AB445">
            <v>0</v>
          </cell>
          <cell r="AC445">
            <v>1.2154826552304546E-56</v>
          </cell>
          <cell r="AD445">
            <v>1.5638121796116905E-79</v>
          </cell>
        </row>
        <row r="446">
          <cell r="Y446">
            <v>301</v>
          </cell>
          <cell r="Z446">
            <v>8.5729277502588985E-24</v>
          </cell>
          <cell r="AA446">
            <v>0</v>
          </cell>
          <cell r="AB446">
            <v>0</v>
          </cell>
          <cell r="AC446">
            <v>4.038148356247722E-57</v>
          </cell>
          <cell r="AD446">
            <v>3.4618754102938454E-80</v>
          </cell>
        </row>
        <row r="447">
          <cell r="Y447">
            <v>302</v>
          </cell>
          <cell r="Z447">
            <v>5.7020602240846148E-24</v>
          </cell>
          <cell r="AA447">
            <v>0</v>
          </cell>
          <cell r="AB447">
            <v>0</v>
          </cell>
          <cell r="AC447">
            <v>1.3371352173004589E-57</v>
          </cell>
          <cell r="AD447">
            <v>7.6244255367916855E-81</v>
          </cell>
        </row>
        <row r="448">
          <cell r="Y448">
            <v>303</v>
          </cell>
          <cell r="Z448">
            <v>3.7856728509980451E-24</v>
          </cell>
          <cell r="AA448">
            <v>0</v>
          </cell>
          <cell r="AB448">
            <v>0</v>
          </cell>
          <cell r="AC448">
            <v>4.4129875158433985E-58</v>
          </cell>
          <cell r="AD448">
            <v>1.670612703052166E-81</v>
          </cell>
        </row>
        <row r="449">
          <cell r="Y449">
            <v>304</v>
          </cell>
          <cell r="Z449">
            <v>2.5087786943416731E-24</v>
          </cell>
          <cell r="AA449">
            <v>0</v>
          </cell>
          <cell r="AB449">
            <v>0</v>
          </cell>
          <cell r="AC449">
            <v>1.4516406302116587E-58</v>
          </cell>
          <cell r="AD449">
            <v>3.6418450849157287E-82</v>
          </cell>
        </row>
        <row r="450">
          <cell r="Y450">
            <v>305</v>
          </cell>
          <cell r="Z450">
            <v>1.6595447398464414E-24</v>
          </cell>
          <cell r="AA450">
            <v>0</v>
          </cell>
          <cell r="AB450">
            <v>0</v>
          </cell>
          <cell r="AC450">
            <v>4.7594774761036564E-59</v>
          </cell>
          <cell r="AD450">
            <v>7.8985658098854401E-83</v>
          </cell>
        </row>
        <row r="451">
          <cell r="Y451">
            <v>306</v>
          </cell>
          <cell r="Z451">
            <v>1.0957772178275293E-24</v>
          </cell>
          <cell r="AA451">
            <v>0</v>
          </cell>
          <cell r="AB451">
            <v>0</v>
          </cell>
          <cell r="AC451">
            <v>1.5553847961123384E-59</v>
          </cell>
          <cell r="AD451">
            <v>1.704355224535217E-83</v>
          </cell>
        </row>
        <row r="452">
          <cell r="Y452">
            <v>307</v>
          </cell>
          <cell r="Z452">
            <v>7.2220685855760803E-25</v>
          </cell>
          <cell r="AA452">
            <v>0</v>
          </cell>
          <cell r="AB452">
            <v>0</v>
          </cell>
          <cell r="AC452">
            <v>5.0663999873366104E-60</v>
          </cell>
          <cell r="AD452">
            <v>3.6589888190506783E-84</v>
          </cell>
        </row>
        <row r="453">
          <cell r="Y453">
            <v>308</v>
          </cell>
          <cell r="Z453">
            <v>4.7512331402043181E-25</v>
          </cell>
          <cell r="AA453">
            <v>0</v>
          </cell>
          <cell r="AB453">
            <v>0</v>
          </cell>
          <cell r="AC453">
            <v>1.644935060823476E-60</v>
          </cell>
          <cell r="AD453">
            <v>7.8154699744685049E-85</v>
          </cell>
        </row>
        <row r="454">
          <cell r="Y454">
            <v>309</v>
          </cell>
          <cell r="Z454">
            <v>3.1200087974783492E-25</v>
          </cell>
          <cell r="AA454">
            <v>0</v>
          </cell>
          <cell r="AB454">
            <v>0</v>
          </cell>
          <cell r="AC454">
            <v>5.3234144363220684E-61</v>
          </cell>
          <cell r="AD454">
            <v>1.6609099873948099E-85</v>
          </cell>
        </row>
        <row r="455">
          <cell r="Y455">
            <v>310</v>
          </cell>
          <cell r="Z455">
            <v>2.0450757236878032E-25</v>
          </cell>
          <cell r="AA455">
            <v>0</v>
          </cell>
          <cell r="AB455">
            <v>0</v>
          </cell>
          <cell r="AC455">
            <v>1.7172304633296957E-61</v>
          </cell>
          <cell r="AD455">
            <v>3.5118663325327187E-86</v>
          </cell>
        </row>
      </sheetData>
      <sheetData sheetId="2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Larry Snyder" refreshedDate="42164.648529513892" createdVersion="4" refreshedVersion="4" minRefreshableVersion="3" recordCount="10101" xr:uid="{00000000-000A-0000-FFFF-FFFF00000000}">
  <cacheSource type="worksheet">
    <worksheetSource ref="A24:O225" sheet="inventory"/>
  </cacheSource>
  <cacheFields count="13">
    <cacheField name="Period" numFmtId="0">
      <sharedItems containsSemiMixedTypes="0" containsString="0" containsNumber="1" containsInteger="1" minValue="-100" maxValue="10000" count="10101">
        <n v="-100"/>
        <n v="-99"/>
        <n v="-98"/>
        <n v="-97"/>
        <n v="-96"/>
        <n v="-95"/>
        <n v="-94"/>
        <n v="-93"/>
        <n v="-92"/>
        <n v="-91"/>
        <n v="-90"/>
        <n v="-89"/>
        <n v="-88"/>
        <n v="-87"/>
        <n v="-86"/>
        <n v="-85"/>
        <n v="-84"/>
        <n v="-83"/>
        <n v="-82"/>
        <n v="-81"/>
        <n v="-80"/>
        <n v="-79"/>
        <n v="-78"/>
        <n v="-77"/>
        <n v="-76"/>
        <n v="-75"/>
        <n v="-74"/>
        <n v="-73"/>
        <n v="-72"/>
        <n v="-71"/>
        <n v="-70"/>
        <n v="-69"/>
        <n v="-68"/>
        <n v="-67"/>
        <n v="-66"/>
        <n v="-65"/>
        <n v="-64"/>
        <n v="-63"/>
        <n v="-62"/>
        <n v="-61"/>
        <n v="-60"/>
        <n v="-59"/>
        <n v="-58"/>
        <n v="-57"/>
        <n v="-56"/>
        <n v="-55"/>
        <n v="-54"/>
        <n v="-53"/>
        <n v="-52"/>
        <n v="-51"/>
        <n v="-50"/>
        <n v="-49"/>
        <n v="-48"/>
        <n v="-47"/>
        <n v="-46"/>
        <n v="-45"/>
        <n v="-44"/>
        <n v="-43"/>
        <n v="-42"/>
        <n v="-41"/>
        <n v="-40"/>
        <n v="-39"/>
        <n v="-38"/>
        <n v="-37"/>
        <n v="-36"/>
        <n v="-35"/>
        <n v="-34"/>
        <n v="-33"/>
        <n v="-32"/>
        <n v="-31"/>
        <n v="-30"/>
        <n v="-29"/>
        <n v="-28"/>
        <n v="-27"/>
        <n v="-26"/>
        <n v="-25"/>
        <n v="-24"/>
        <n v="-23"/>
        <n v="-22"/>
        <n v="-21"/>
        <n v="-20"/>
        <n v="-19"/>
        <n v="-18"/>
        <n v="-17"/>
        <n v="-16"/>
        <n v="-15"/>
        <n v="-14"/>
        <n v="-13"/>
        <n v="-12"/>
        <n v="-11"/>
        <n v="-10"/>
        <n v="-9"/>
        <n v="-8"/>
        <n v="-7"/>
        <n v="-6"/>
        <n v="-5"/>
        <n v="-4"/>
        <n v="-3"/>
        <n v="-2"/>
        <n v="-1"/>
        <n v="0"/>
        <n v="1"/>
        <n v="2"/>
        <n v="3"/>
        <n v="4"/>
        <n v="5"/>
        <n v="6"/>
        <n v="7"/>
        <n v="8"/>
        <n v="9"/>
        <n v="10"/>
        <n v="11"/>
        <n v="12"/>
        <n v="13"/>
        <n v="14"/>
        <n v="15"/>
        <n v="16"/>
        <n v="17"/>
        <n v="18"/>
        <n v="19"/>
        <n v="20"/>
        <n v="21"/>
        <n v="22"/>
        <n v="23"/>
        <n v="24"/>
        <n v="25"/>
        <n v="26"/>
        <n v="27"/>
        <n v="28"/>
        <n v="29"/>
        <n v="30"/>
        <n v="31"/>
        <n v="32"/>
        <n v="33"/>
        <n v="34"/>
        <n v="35"/>
        <n v="36"/>
        <n v="37"/>
        <n v="38"/>
        <n v="39"/>
        <n v="40"/>
        <n v="41"/>
        <n v="42"/>
        <n v="43"/>
        <n v="44"/>
        <n v="45"/>
        <n v="46"/>
        <n v="47"/>
        <n v="48"/>
        <n v="49"/>
        <n v="50"/>
        <n v="51"/>
        <n v="52"/>
        <n v="53"/>
        <n v="54"/>
        <n v="55"/>
        <n v="56"/>
        <n v="57"/>
        <n v="58"/>
        <n v="59"/>
        <n v="60"/>
        <n v="61"/>
        <n v="62"/>
        <n v="63"/>
        <n v="64"/>
        <n v="65"/>
        <n v="66"/>
        <n v="67"/>
        <n v="68"/>
        <n v="69"/>
        <n v="70"/>
        <n v="71"/>
        <n v="72"/>
        <n v="73"/>
        <n v="74"/>
        <n v="75"/>
        <n v="76"/>
        <n v="77"/>
        <n v="78"/>
        <n v="79"/>
        <n v="80"/>
        <n v="81"/>
        <n v="82"/>
        <n v="83"/>
        <n v="84"/>
        <n v="85"/>
        <n v="86"/>
        <n v="87"/>
        <n v="88"/>
        <n v="89"/>
        <n v="90"/>
        <n v="91"/>
        <n v="92"/>
        <n v="93"/>
        <n v="94"/>
        <n v="95"/>
        <n v="96"/>
        <n v="97"/>
        <n v="98"/>
        <n v="99"/>
        <n v="100"/>
        <n v="101"/>
        <n v="102"/>
        <n v="103"/>
        <n v="104"/>
        <n v="105"/>
        <n v="106"/>
        <n v="107"/>
        <n v="108"/>
        <n v="109"/>
        <n v="110"/>
        <n v="111"/>
        <n v="112"/>
        <n v="113"/>
        <n v="114"/>
        <n v="115"/>
        <n v="116"/>
        <n v="117"/>
        <n v="118"/>
        <n v="119"/>
        <n v="120"/>
        <n v="121"/>
        <n v="122"/>
        <n v="123"/>
        <n v="124"/>
        <n v="125"/>
        <n v="126"/>
        <n v="127"/>
        <n v="128"/>
        <n v="129"/>
        <n v="130"/>
        <n v="131"/>
        <n v="132"/>
        <n v="133"/>
        <n v="134"/>
        <n v="135"/>
        <n v="136"/>
        <n v="137"/>
        <n v="138"/>
        <n v="139"/>
        <n v="140"/>
        <n v="141"/>
        <n v="142"/>
        <n v="143"/>
        <n v="144"/>
        <n v="145"/>
        <n v="146"/>
        <n v="147"/>
        <n v="148"/>
        <n v="149"/>
        <n v="150"/>
        <n v="151"/>
        <n v="152"/>
        <n v="153"/>
        <n v="154"/>
        <n v="155"/>
        <n v="156"/>
        <n v="157"/>
        <n v="158"/>
        <n v="159"/>
        <n v="160"/>
        <n v="161"/>
        <n v="162"/>
        <n v="163"/>
        <n v="164"/>
        <n v="165"/>
        <n v="166"/>
        <n v="167"/>
        <n v="168"/>
        <n v="169"/>
        <n v="170"/>
        <n v="171"/>
        <n v="172"/>
        <n v="173"/>
        <n v="174"/>
        <n v="175"/>
        <n v="176"/>
        <n v="177"/>
        <n v="178"/>
        <n v="179"/>
        <n v="180"/>
        <n v="181"/>
        <n v="182"/>
        <n v="183"/>
        <n v="184"/>
        <n v="185"/>
        <n v="186"/>
        <n v="187"/>
        <n v="188"/>
        <n v="189"/>
        <n v="190"/>
        <n v="191"/>
        <n v="192"/>
        <n v="193"/>
        <n v="194"/>
        <n v="195"/>
        <n v="196"/>
        <n v="197"/>
        <n v="198"/>
        <n v="199"/>
        <n v="200"/>
        <n v="201"/>
        <n v="202"/>
        <n v="203"/>
        <n v="204"/>
        <n v="205"/>
        <n v="206"/>
        <n v="207"/>
        <n v="208"/>
        <n v="209"/>
        <n v="210"/>
        <n v="211"/>
        <n v="212"/>
        <n v="213"/>
        <n v="214"/>
        <n v="215"/>
        <n v="216"/>
        <n v="217"/>
        <n v="218"/>
        <n v="219"/>
        <n v="220"/>
        <n v="221"/>
        <n v="222"/>
        <n v="223"/>
        <n v="224"/>
        <n v="225"/>
        <n v="226"/>
        <n v="227"/>
        <n v="228"/>
        <n v="229"/>
        <n v="230"/>
        <n v="231"/>
        <n v="232"/>
        <n v="233"/>
        <n v="234"/>
        <n v="235"/>
        <n v="236"/>
        <n v="237"/>
        <n v="238"/>
        <n v="239"/>
        <n v="240"/>
        <n v="241"/>
        <n v="242"/>
        <n v="243"/>
        <n v="244"/>
        <n v="245"/>
        <n v="246"/>
        <n v="247"/>
        <n v="248"/>
        <n v="249"/>
        <n v="250"/>
        <n v="251"/>
        <n v="252"/>
        <n v="253"/>
        <n v="254"/>
        <n v="255"/>
        <n v="256"/>
        <n v="257"/>
        <n v="258"/>
        <n v="259"/>
        <n v="260"/>
        <n v="261"/>
        <n v="262"/>
        <n v="263"/>
        <n v="264"/>
        <n v="265"/>
        <n v="266"/>
        <n v="267"/>
        <n v="268"/>
        <n v="269"/>
        <n v="270"/>
        <n v="271"/>
        <n v="272"/>
        <n v="273"/>
        <n v="274"/>
        <n v="275"/>
        <n v="276"/>
        <n v="277"/>
        <n v="278"/>
        <n v="279"/>
        <n v="280"/>
        <n v="281"/>
        <n v="282"/>
        <n v="283"/>
        <n v="284"/>
        <n v="285"/>
        <n v="286"/>
        <n v="287"/>
        <n v="288"/>
        <n v="289"/>
        <n v="290"/>
        <n v="291"/>
        <n v="292"/>
        <n v="293"/>
        <n v="294"/>
        <n v="295"/>
        <n v="296"/>
        <n v="297"/>
        <n v="298"/>
        <n v="299"/>
        <n v="300"/>
        <n v="301"/>
        <n v="302"/>
        <n v="303"/>
        <n v="304"/>
        <n v="305"/>
        <n v="306"/>
        <n v="307"/>
        <n v="308"/>
        <n v="309"/>
        <n v="310"/>
        <n v="311"/>
        <n v="312"/>
        <n v="313"/>
        <n v="314"/>
        <n v="315"/>
        <n v="316"/>
        <n v="317"/>
        <n v="318"/>
        <n v="319"/>
        <n v="320"/>
        <n v="321"/>
        <n v="322"/>
        <n v="323"/>
        <n v="324"/>
        <n v="325"/>
        <n v="326"/>
        <n v="327"/>
        <n v="328"/>
        <n v="329"/>
        <n v="330"/>
        <n v="331"/>
        <n v="332"/>
        <n v="333"/>
        <n v="334"/>
        <n v="335"/>
        <n v="336"/>
        <n v="337"/>
        <n v="338"/>
        <n v="339"/>
        <n v="340"/>
        <n v="341"/>
        <n v="342"/>
        <n v="343"/>
        <n v="344"/>
        <n v="345"/>
        <n v="346"/>
        <n v="347"/>
        <n v="348"/>
        <n v="349"/>
        <n v="350"/>
        <n v="351"/>
        <n v="352"/>
        <n v="353"/>
        <n v="354"/>
        <n v="355"/>
        <n v="356"/>
        <n v="357"/>
        <n v="358"/>
        <n v="359"/>
        <n v="360"/>
        <n v="361"/>
        <n v="362"/>
        <n v="363"/>
        <n v="364"/>
        <n v="365"/>
        <n v="366"/>
        <n v="367"/>
        <n v="368"/>
        <n v="369"/>
        <n v="370"/>
        <n v="371"/>
        <n v="372"/>
        <n v="373"/>
        <n v="374"/>
        <n v="375"/>
        <n v="376"/>
        <n v="377"/>
        <n v="378"/>
        <n v="379"/>
        <n v="380"/>
        <n v="381"/>
        <n v="382"/>
        <n v="383"/>
        <n v="384"/>
        <n v="385"/>
        <n v="386"/>
        <n v="387"/>
        <n v="388"/>
        <n v="389"/>
        <n v="390"/>
        <n v="391"/>
        <n v="392"/>
        <n v="393"/>
        <n v="394"/>
        <n v="395"/>
        <n v="396"/>
        <n v="397"/>
        <n v="398"/>
        <n v="399"/>
        <n v="400"/>
        <n v="401"/>
        <n v="402"/>
        <n v="403"/>
        <n v="404"/>
        <n v="405"/>
        <n v="406"/>
        <n v="407"/>
        <n v="408"/>
        <n v="409"/>
        <n v="410"/>
        <n v="411"/>
        <n v="412"/>
        <n v="413"/>
        <n v="414"/>
        <n v="415"/>
        <n v="416"/>
        <n v="417"/>
        <n v="418"/>
        <n v="419"/>
        <n v="420"/>
        <n v="421"/>
        <n v="422"/>
        <n v="423"/>
        <n v="424"/>
        <n v="425"/>
        <n v="426"/>
        <n v="427"/>
        <n v="428"/>
        <n v="429"/>
        <n v="430"/>
        <n v="431"/>
        <n v="432"/>
        <n v="433"/>
        <n v="434"/>
        <n v="435"/>
        <n v="436"/>
        <n v="437"/>
        <n v="438"/>
        <n v="439"/>
        <n v="440"/>
        <n v="441"/>
        <n v="442"/>
        <n v="443"/>
        <n v="444"/>
        <n v="445"/>
        <n v="446"/>
        <n v="447"/>
        <n v="448"/>
        <n v="449"/>
        <n v="450"/>
        <n v="451"/>
        <n v="452"/>
        <n v="453"/>
        <n v="454"/>
        <n v="455"/>
        <n v="456"/>
        <n v="457"/>
        <n v="458"/>
        <n v="459"/>
        <n v="460"/>
        <n v="461"/>
        <n v="462"/>
        <n v="463"/>
        <n v="464"/>
        <n v="465"/>
        <n v="466"/>
        <n v="467"/>
        <n v="468"/>
        <n v="469"/>
        <n v="470"/>
        <n v="471"/>
        <n v="472"/>
        <n v="473"/>
        <n v="474"/>
        <n v="475"/>
        <n v="476"/>
        <n v="477"/>
        <n v="478"/>
        <n v="479"/>
        <n v="480"/>
        <n v="481"/>
        <n v="482"/>
        <n v="483"/>
        <n v="484"/>
        <n v="485"/>
        <n v="486"/>
        <n v="487"/>
        <n v="488"/>
        <n v="489"/>
        <n v="490"/>
        <n v="491"/>
        <n v="492"/>
        <n v="493"/>
        <n v="494"/>
        <n v="495"/>
        <n v="496"/>
        <n v="497"/>
        <n v="498"/>
        <n v="499"/>
        <n v="500"/>
        <n v="501"/>
        <n v="502"/>
        <n v="503"/>
        <n v="504"/>
        <n v="505"/>
        <n v="506"/>
        <n v="507"/>
        <n v="508"/>
        <n v="509"/>
        <n v="510"/>
        <n v="511"/>
        <n v="512"/>
        <n v="513"/>
        <n v="514"/>
        <n v="515"/>
        <n v="516"/>
        <n v="517"/>
        <n v="518"/>
        <n v="519"/>
        <n v="520"/>
        <n v="521"/>
        <n v="522"/>
        <n v="523"/>
        <n v="524"/>
        <n v="525"/>
        <n v="526"/>
        <n v="527"/>
        <n v="528"/>
        <n v="529"/>
        <n v="530"/>
        <n v="531"/>
        <n v="532"/>
        <n v="533"/>
        <n v="534"/>
        <n v="535"/>
        <n v="536"/>
        <n v="537"/>
        <n v="538"/>
        <n v="539"/>
        <n v="540"/>
        <n v="541"/>
        <n v="542"/>
        <n v="543"/>
        <n v="544"/>
        <n v="545"/>
        <n v="546"/>
        <n v="547"/>
        <n v="548"/>
        <n v="549"/>
        <n v="550"/>
        <n v="551"/>
        <n v="552"/>
        <n v="553"/>
        <n v="554"/>
        <n v="555"/>
        <n v="556"/>
        <n v="557"/>
        <n v="558"/>
        <n v="559"/>
        <n v="560"/>
        <n v="561"/>
        <n v="562"/>
        <n v="563"/>
        <n v="564"/>
        <n v="565"/>
        <n v="566"/>
        <n v="567"/>
        <n v="568"/>
        <n v="569"/>
        <n v="570"/>
        <n v="571"/>
        <n v="572"/>
        <n v="573"/>
        <n v="574"/>
        <n v="575"/>
        <n v="576"/>
        <n v="577"/>
        <n v="578"/>
        <n v="579"/>
        <n v="580"/>
        <n v="581"/>
        <n v="582"/>
        <n v="583"/>
        <n v="584"/>
        <n v="585"/>
        <n v="586"/>
        <n v="587"/>
        <n v="588"/>
        <n v="589"/>
        <n v="590"/>
        <n v="591"/>
        <n v="592"/>
        <n v="593"/>
        <n v="594"/>
        <n v="595"/>
        <n v="596"/>
        <n v="597"/>
        <n v="598"/>
        <n v="599"/>
        <n v="600"/>
        <n v="601"/>
        <n v="602"/>
        <n v="603"/>
        <n v="604"/>
        <n v="605"/>
        <n v="606"/>
        <n v="607"/>
        <n v="608"/>
        <n v="609"/>
        <n v="610"/>
        <n v="611"/>
        <n v="612"/>
        <n v="613"/>
        <n v="614"/>
        <n v="615"/>
        <n v="616"/>
        <n v="617"/>
        <n v="618"/>
        <n v="619"/>
        <n v="620"/>
        <n v="621"/>
        <n v="622"/>
        <n v="623"/>
        <n v="624"/>
        <n v="625"/>
        <n v="626"/>
        <n v="627"/>
        <n v="628"/>
        <n v="629"/>
        <n v="630"/>
        <n v="631"/>
        <n v="632"/>
        <n v="633"/>
        <n v="634"/>
        <n v="635"/>
        <n v="636"/>
        <n v="637"/>
        <n v="638"/>
        <n v="639"/>
        <n v="640"/>
        <n v="641"/>
        <n v="642"/>
        <n v="643"/>
        <n v="644"/>
        <n v="645"/>
        <n v="646"/>
        <n v="647"/>
        <n v="648"/>
        <n v="649"/>
        <n v="650"/>
        <n v="651"/>
        <n v="652"/>
        <n v="653"/>
        <n v="654"/>
        <n v="655"/>
        <n v="656"/>
        <n v="657"/>
        <n v="658"/>
        <n v="659"/>
        <n v="660"/>
        <n v="661"/>
        <n v="662"/>
        <n v="663"/>
        <n v="664"/>
        <n v="665"/>
        <n v="666"/>
        <n v="667"/>
        <n v="668"/>
        <n v="669"/>
        <n v="670"/>
        <n v="671"/>
        <n v="672"/>
        <n v="673"/>
        <n v="674"/>
        <n v="675"/>
        <n v="676"/>
        <n v="677"/>
        <n v="678"/>
        <n v="679"/>
        <n v="680"/>
        <n v="681"/>
        <n v="682"/>
        <n v="683"/>
        <n v="684"/>
        <n v="685"/>
        <n v="686"/>
        <n v="687"/>
        <n v="688"/>
        <n v="689"/>
        <n v="690"/>
        <n v="691"/>
        <n v="692"/>
        <n v="693"/>
        <n v="694"/>
        <n v="695"/>
        <n v="696"/>
        <n v="697"/>
        <n v="698"/>
        <n v="699"/>
        <n v="700"/>
        <n v="701"/>
        <n v="702"/>
        <n v="703"/>
        <n v="704"/>
        <n v="705"/>
        <n v="706"/>
        <n v="707"/>
        <n v="708"/>
        <n v="709"/>
        <n v="710"/>
        <n v="711"/>
        <n v="712"/>
        <n v="713"/>
        <n v="714"/>
        <n v="715"/>
        <n v="716"/>
        <n v="717"/>
        <n v="718"/>
        <n v="719"/>
        <n v="720"/>
        <n v="721"/>
        <n v="722"/>
        <n v="723"/>
        <n v="724"/>
        <n v="725"/>
        <n v="726"/>
        <n v="727"/>
        <n v="728"/>
        <n v="729"/>
        <n v="730"/>
        <n v="731"/>
        <n v="732"/>
        <n v="733"/>
        <n v="734"/>
        <n v="735"/>
        <n v="736"/>
        <n v="737"/>
        <n v="738"/>
        <n v="739"/>
        <n v="740"/>
        <n v="741"/>
        <n v="742"/>
        <n v="743"/>
        <n v="744"/>
        <n v="745"/>
        <n v="746"/>
        <n v="747"/>
        <n v="748"/>
        <n v="749"/>
        <n v="750"/>
        <n v="751"/>
        <n v="752"/>
        <n v="753"/>
        <n v="754"/>
        <n v="755"/>
        <n v="756"/>
        <n v="757"/>
        <n v="758"/>
        <n v="759"/>
        <n v="760"/>
        <n v="761"/>
        <n v="762"/>
        <n v="763"/>
        <n v="764"/>
        <n v="765"/>
        <n v="766"/>
        <n v="767"/>
        <n v="768"/>
        <n v="769"/>
        <n v="770"/>
        <n v="771"/>
        <n v="772"/>
        <n v="773"/>
        <n v="774"/>
        <n v="775"/>
        <n v="776"/>
        <n v="777"/>
        <n v="778"/>
        <n v="779"/>
        <n v="780"/>
        <n v="781"/>
        <n v="782"/>
        <n v="783"/>
        <n v="784"/>
        <n v="785"/>
        <n v="786"/>
        <n v="787"/>
        <n v="788"/>
        <n v="789"/>
        <n v="790"/>
        <n v="791"/>
        <n v="792"/>
        <n v="793"/>
        <n v="794"/>
        <n v="795"/>
        <n v="796"/>
        <n v="797"/>
        <n v="798"/>
        <n v="799"/>
        <n v="800"/>
        <n v="801"/>
        <n v="802"/>
        <n v="803"/>
        <n v="804"/>
        <n v="805"/>
        <n v="806"/>
        <n v="807"/>
        <n v="808"/>
        <n v="809"/>
        <n v="810"/>
        <n v="811"/>
        <n v="812"/>
        <n v="813"/>
        <n v="814"/>
        <n v="815"/>
        <n v="816"/>
        <n v="817"/>
        <n v="818"/>
        <n v="819"/>
        <n v="820"/>
        <n v="821"/>
        <n v="822"/>
        <n v="823"/>
        <n v="824"/>
        <n v="825"/>
        <n v="826"/>
        <n v="827"/>
        <n v="828"/>
        <n v="829"/>
        <n v="830"/>
        <n v="831"/>
        <n v="832"/>
        <n v="833"/>
        <n v="834"/>
        <n v="835"/>
        <n v="836"/>
        <n v="837"/>
        <n v="838"/>
        <n v="839"/>
        <n v="840"/>
        <n v="841"/>
        <n v="842"/>
        <n v="843"/>
        <n v="844"/>
        <n v="845"/>
        <n v="846"/>
        <n v="847"/>
        <n v="848"/>
        <n v="849"/>
        <n v="850"/>
        <n v="851"/>
        <n v="852"/>
        <n v="853"/>
        <n v="854"/>
        <n v="855"/>
        <n v="856"/>
        <n v="857"/>
        <n v="858"/>
        <n v="859"/>
        <n v="860"/>
        <n v="861"/>
        <n v="862"/>
        <n v="863"/>
        <n v="864"/>
        <n v="865"/>
        <n v="866"/>
        <n v="867"/>
        <n v="868"/>
        <n v="869"/>
        <n v="870"/>
        <n v="871"/>
        <n v="872"/>
        <n v="873"/>
        <n v="874"/>
        <n v="875"/>
        <n v="876"/>
        <n v="877"/>
        <n v="878"/>
        <n v="879"/>
        <n v="880"/>
        <n v="881"/>
        <n v="882"/>
        <n v="883"/>
        <n v="884"/>
        <n v="885"/>
        <n v="886"/>
        <n v="887"/>
        <n v="888"/>
        <n v="889"/>
        <n v="890"/>
        <n v="891"/>
        <n v="892"/>
        <n v="893"/>
        <n v="894"/>
        <n v="895"/>
        <n v="896"/>
        <n v="897"/>
        <n v="898"/>
        <n v="899"/>
        <n v="900"/>
        <n v="901"/>
        <n v="902"/>
        <n v="903"/>
        <n v="904"/>
        <n v="905"/>
        <n v="906"/>
        <n v="907"/>
        <n v="908"/>
        <n v="909"/>
        <n v="910"/>
        <n v="911"/>
        <n v="912"/>
        <n v="913"/>
        <n v="914"/>
        <n v="915"/>
        <n v="916"/>
        <n v="917"/>
        <n v="918"/>
        <n v="919"/>
        <n v="920"/>
        <n v="921"/>
        <n v="922"/>
        <n v="923"/>
        <n v="924"/>
        <n v="925"/>
        <n v="926"/>
        <n v="927"/>
        <n v="928"/>
        <n v="929"/>
        <n v="930"/>
        <n v="931"/>
        <n v="932"/>
        <n v="933"/>
        <n v="934"/>
        <n v="935"/>
        <n v="936"/>
        <n v="937"/>
        <n v="938"/>
        <n v="939"/>
        <n v="940"/>
        <n v="941"/>
        <n v="942"/>
        <n v="943"/>
        <n v="944"/>
        <n v="945"/>
        <n v="946"/>
        <n v="947"/>
        <n v="948"/>
        <n v="949"/>
        <n v="950"/>
        <n v="951"/>
        <n v="952"/>
        <n v="953"/>
        <n v="954"/>
        <n v="955"/>
        <n v="956"/>
        <n v="957"/>
        <n v="958"/>
        <n v="959"/>
        <n v="960"/>
        <n v="961"/>
        <n v="962"/>
        <n v="963"/>
        <n v="964"/>
        <n v="965"/>
        <n v="966"/>
        <n v="967"/>
        <n v="968"/>
        <n v="969"/>
        <n v="970"/>
        <n v="971"/>
        <n v="972"/>
        <n v="973"/>
        <n v="974"/>
        <n v="975"/>
        <n v="976"/>
        <n v="977"/>
        <n v="978"/>
        <n v="979"/>
        <n v="980"/>
        <n v="981"/>
        <n v="982"/>
        <n v="983"/>
        <n v="984"/>
        <n v="985"/>
        <n v="986"/>
        <n v="987"/>
        <n v="988"/>
        <n v="989"/>
        <n v="990"/>
        <n v="991"/>
        <n v="992"/>
        <n v="993"/>
        <n v="994"/>
        <n v="995"/>
        <n v="996"/>
        <n v="997"/>
        <n v="998"/>
        <n v="999"/>
        <n v="1000"/>
        <n v="1001"/>
        <n v="1002"/>
        <n v="1003"/>
        <n v="1004"/>
        <n v="1005"/>
        <n v="1006"/>
        <n v="1007"/>
        <n v="1008"/>
        <n v="1009"/>
        <n v="1010"/>
        <n v="1011"/>
        <n v="1012"/>
        <n v="1013"/>
        <n v="1014"/>
        <n v="1015"/>
        <n v="1016"/>
        <n v="1017"/>
        <n v="1018"/>
        <n v="1019"/>
        <n v="1020"/>
        <n v="1021"/>
        <n v="1022"/>
        <n v="1023"/>
        <n v="1024"/>
        <n v="1025"/>
        <n v="1026"/>
        <n v="1027"/>
        <n v="1028"/>
        <n v="1029"/>
        <n v="1030"/>
        <n v="1031"/>
        <n v="1032"/>
        <n v="1033"/>
        <n v="1034"/>
        <n v="1035"/>
        <n v="1036"/>
        <n v="1037"/>
        <n v="1038"/>
        <n v="1039"/>
        <n v="1040"/>
        <n v="1041"/>
        <n v="1042"/>
        <n v="1043"/>
        <n v="1044"/>
        <n v="1045"/>
        <n v="1046"/>
        <n v="1047"/>
        <n v="1048"/>
        <n v="1049"/>
        <n v="1050"/>
        <n v="1051"/>
        <n v="1052"/>
        <n v="1053"/>
        <n v="1054"/>
        <n v="1055"/>
        <n v="1056"/>
        <n v="1057"/>
        <n v="1058"/>
        <n v="1059"/>
        <n v="1060"/>
        <n v="1061"/>
        <n v="1062"/>
        <n v="1063"/>
        <n v="1064"/>
        <n v="1065"/>
        <n v="1066"/>
        <n v="1067"/>
        <n v="1068"/>
        <n v="1069"/>
        <n v="1070"/>
        <n v="1071"/>
        <n v="1072"/>
        <n v="1073"/>
        <n v="1074"/>
        <n v="1075"/>
        <n v="1076"/>
        <n v="1077"/>
        <n v="1078"/>
        <n v="1079"/>
        <n v="1080"/>
        <n v="1081"/>
        <n v="1082"/>
        <n v="1083"/>
        <n v="1084"/>
        <n v="1085"/>
        <n v="1086"/>
        <n v="1087"/>
        <n v="1088"/>
        <n v="1089"/>
        <n v="1090"/>
        <n v="1091"/>
        <n v="1092"/>
        <n v="1093"/>
        <n v="1094"/>
        <n v="1095"/>
        <n v="1096"/>
        <n v="1097"/>
        <n v="1098"/>
        <n v="1099"/>
        <n v="1100"/>
        <n v="1101"/>
        <n v="1102"/>
        <n v="1103"/>
        <n v="1104"/>
        <n v="1105"/>
        <n v="1106"/>
        <n v="1107"/>
        <n v="1108"/>
        <n v="1109"/>
        <n v="1110"/>
        <n v="1111"/>
        <n v="1112"/>
        <n v="1113"/>
        <n v="1114"/>
        <n v="1115"/>
        <n v="1116"/>
        <n v="1117"/>
        <n v="1118"/>
        <n v="1119"/>
        <n v="1120"/>
        <n v="1121"/>
        <n v="1122"/>
        <n v="1123"/>
        <n v="1124"/>
        <n v="1125"/>
        <n v="1126"/>
        <n v="1127"/>
        <n v="1128"/>
        <n v="1129"/>
        <n v="1130"/>
        <n v="1131"/>
        <n v="1132"/>
        <n v="1133"/>
        <n v="1134"/>
        <n v="1135"/>
        <n v="1136"/>
        <n v="1137"/>
        <n v="1138"/>
        <n v="1139"/>
        <n v="1140"/>
        <n v="1141"/>
        <n v="1142"/>
        <n v="1143"/>
        <n v="1144"/>
        <n v="1145"/>
        <n v="1146"/>
        <n v="1147"/>
        <n v="1148"/>
        <n v="1149"/>
        <n v="1150"/>
        <n v="1151"/>
        <n v="1152"/>
        <n v="1153"/>
        <n v="1154"/>
        <n v="1155"/>
        <n v="1156"/>
        <n v="1157"/>
        <n v="1158"/>
        <n v="1159"/>
        <n v="1160"/>
        <n v="1161"/>
        <n v="1162"/>
        <n v="1163"/>
        <n v="1164"/>
        <n v="1165"/>
        <n v="1166"/>
        <n v="1167"/>
        <n v="1168"/>
        <n v="1169"/>
        <n v="1170"/>
        <n v="1171"/>
        <n v="1172"/>
        <n v="1173"/>
        <n v="1174"/>
        <n v="1175"/>
        <n v="1176"/>
        <n v="1177"/>
        <n v="1178"/>
        <n v="1179"/>
        <n v="1180"/>
        <n v="1181"/>
        <n v="1182"/>
        <n v="1183"/>
        <n v="1184"/>
        <n v="1185"/>
        <n v="1186"/>
        <n v="1187"/>
        <n v="1188"/>
        <n v="1189"/>
        <n v="1190"/>
        <n v="1191"/>
        <n v="1192"/>
        <n v="1193"/>
        <n v="1194"/>
        <n v="1195"/>
        <n v="1196"/>
        <n v="1197"/>
        <n v="1198"/>
        <n v="1199"/>
        <n v="1200"/>
        <n v="1201"/>
        <n v="1202"/>
        <n v="1203"/>
        <n v="1204"/>
        <n v="1205"/>
        <n v="1206"/>
        <n v="1207"/>
        <n v="1208"/>
        <n v="1209"/>
        <n v="1210"/>
        <n v="1211"/>
        <n v="1212"/>
        <n v="1213"/>
        <n v="1214"/>
        <n v="1215"/>
        <n v="1216"/>
        <n v="1217"/>
        <n v="1218"/>
        <n v="1219"/>
        <n v="1220"/>
        <n v="1221"/>
        <n v="1222"/>
        <n v="1223"/>
        <n v="1224"/>
        <n v="1225"/>
        <n v="1226"/>
        <n v="1227"/>
        <n v="1228"/>
        <n v="1229"/>
        <n v="1230"/>
        <n v="1231"/>
        <n v="1232"/>
        <n v="1233"/>
        <n v="1234"/>
        <n v="1235"/>
        <n v="1236"/>
        <n v="1237"/>
        <n v="1238"/>
        <n v="1239"/>
        <n v="1240"/>
        <n v="1241"/>
        <n v="1242"/>
        <n v="1243"/>
        <n v="1244"/>
        <n v="1245"/>
        <n v="1246"/>
        <n v="1247"/>
        <n v="1248"/>
        <n v="1249"/>
        <n v="1250"/>
        <n v="1251"/>
        <n v="1252"/>
        <n v="1253"/>
        <n v="1254"/>
        <n v="1255"/>
        <n v="1256"/>
        <n v="1257"/>
        <n v="1258"/>
        <n v="1259"/>
        <n v="1260"/>
        <n v="1261"/>
        <n v="1262"/>
        <n v="1263"/>
        <n v="1264"/>
        <n v="1265"/>
        <n v="1266"/>
        <n v="1267"/>
        <n v="1268"/>
        <n v="1269"/>
        <n v="1270"/>
        <n v="1271"/>
        <n v="1272"/>
        <n v="1273"/>
        <n v="1274"/>
        <n v="1275"/>
        <n v="1276"/>
        <n v="1277"/>
        <n v="1278"/>
        <n v="1279"/>
        <n v="1280"/>
        <n v="1281"/>
        <n v="1282"/>
        <n v="1283"/>
        <n v="1284"/>
        <n v="1285"/>
        <n v="1286"/>
        <n v="1287"/>
        <n v="1288"/>
        <n v="1289"/>
        <n v="1290"/>
        <n v="1291"/>
        <n v="1292"/>
        <n v="1293"/>
        <n v="1294"/>
        <n v="1295"/>
        <n v="1296"/>
        <n v="1297"/>
        <n v="1298"/>
        <n v="1299"/>
        <n v="1300"/>
        <n v="1301"/>
        <n v="1302"/>
        <n v="1303"/>
        <n v="1304"/>
        <n v="1305"/>
        <n v="1306"/>
        <n v="1307"/>
        <n v="1308"/>
        <n v="1309"/>
        <n v="1310"/>
        <n v="1311"/>
        <n v="1312"/>
        <n v="1313"/>
        <n v="1314"/>
        <n v="1315"/>
        <n v="1316"/>
        <n v="1317"/>
        <n v="1318"/>
        <n v="1319"/>
        <n v="1320"/>
        <n v="1321"/>
        <n v="1322"/>
        <n v="1323"/>
        <n v="1324"/>
        <n v="1325"/>
        <n v="1326"/>
        <n v="1327"/>
        <n v="1328"/>
        <n v="1329"/>
        <n v="1330"/>
        <n v="1331"/>
        <n v="1332"/>
        <n v="1333"/>
        <n v="1334"/>
        <n v="1335"/>
        <n v="1336"/>
        <n v="1337"/>
        <n v="1338"/>
        <n v="1339"/>
        <n v="1340"/>
        <n v="1341"/>
        <n v="1342"/>
        <n v="1343"/>
        <n v="1344"/>
        <n v="1345"/>
        <n v="1346"/>
        <n v="1347"/>
        <n v="1348"/>
        <n v="1349"/>
        <n v="1350"/>
        <n v="1351"/>
        <n v="1352"/>
        <n v="1353"/>
        <n v="1354"/>
        <n v="1355"/>
        <n v="1356"/>
        <n v="1357"/>
        <n v="1358"/>
        <n v="1359"/>
        <n v="1360"/>
        <n v="1361"/>
        <n v="1362"/>
        <n v="1363"/>
        <n v="1364"/>
        <n v="1365"/>
        <n v="1366"/>
        <n v="1367"/>
        <n v="1368"/>
        <n v="1369"/>
        <n v="1370"/>
        <n v="1371"/>
        <n v="1372"/>
        <n v="1373"/>
        <n v="1374"/>
        <n v="1375"/>
        <n v="1376"/>
        <n v="1377"/>
        <n v="1378"/>
        <n v="1379"/>
        <n v="1380"/>
        <n v="1381"/>
        <n v="1382"/>
        <n v="1383"/>
        <n v="1384"/>
        <n v="1385"/>
        <n v="1386"/>
        <n v="1387"/>
        <n v="1388"/>
        <n v="1389"/>
        <n v="1390"/>
        <n v="1391"/>
        <n v="1392"/>
        <n v="1393"/>
        <n v="1394"/>
        <n v="1395"/>
        <n v="1396"/>
        <n v="1397"/>
        <n v="1398"/>
        <n v="1399"/>
        <n v="1400"/>
        <n v="1401"/>
        <n v="1402"/>
        <n v="1403"/>
        <n v="1404"/>
        <n v="1405"/>
        <n v="1406"/>
        <n v="1407"/>
        <n v="1408"/>
        <n v="1409"/>
        <n v="1410"/>
        <n v="1411"/>
        <n v="1412"/>
        <n v="1413"/>
        <n v="1414"/>
        <n v="1415"/>
        <n v="1416"/>
        <n v="1417"/>
        <n v="1418"/>
        <n v="1419"/>
        <n v="1420"/>
        <n v="1421"/>
        <n v="1422"/>
        <n v="1423"/>
        <n v="1424"/>
        <n v="1425"/>
        <n v="1426"/>
        <n v="1427"/>
        <n v="1428"/>
        <n v="1429"/>
        <n v="1430"/>
        <n v="1431"/>
        <n v="1432"/>
        <n v="1433"/>
        <n v="1434"/>
        <n v="1435"/>
        <n v="1436"/>
        <n v="1437"/>
        <n v="1438"/>
        <n v="1439"/>
        <n v="1440"/>
        <n v="1441"/>
        <n v="1442"/>
        <n v="1443"/>
        <n v="1444"/>
        <n v="1445"/>
        <n v="1446"/>
        <n v="1447"/>
        <n v="1448"/>
        <n v="1449"/>
        <n v="1450"/>
        <n v="1451"/>
        <n v="1452"/>
        <n v="1453"/>
        <n v="1454"/>
        <n v="1455"/>
        <n v="1456"/>
        <n v="1457"/>
        <n v="1458"/>
        <n v="1459"/>
        <n v="1460"/>
        <n v="1461"/>
        <n v="1462"/>
        <n v="1463"/>
        <n v="1464"/>
        <n v="1465"/>
        <n v="1466"/>
        <n v="1467"/>
        <n v="1468"/>
        <n v="1469"/>
        <n v="1470"/>
        <n v="1471"/>
        <n v="1472"/>
        <n v="1473"/>
        <n v="1474"/>
        <n v="1475"/>
        <n v="1476"/>
        <n v="1477"/>
        <n v="1478"/>
        <n v="1479"/>
        <n v="1480"/>
        <n v="1481"/>
        <n v="1482"/>
        <n v="1483"/>
        <n v="1484"/>
        <n v="1485"/>
        <n v="1486"/>
        <n v="1487"/>
        <n v="1488"/>
        <n v="1489"/>
        <n v="1490"/>
        <n v="1491"/>
        <n v="1492"/>
        <n v="1493"/>
        <n v="1494"/>
        <n v="1495"/>
        <n v="1496"/>
        <n v="1497"/>
        <n v="1498"/>
        <n v="1499"/>
        <n v="1500"/>
        <n v="1501"/>
        <n v="1502"/>
        <n v="1503"/>
        <n v="1504"/>
        <n v="1505"/>
        <n v="1506"/>
        <n v="1507"/>
        <n v="1508"/>
        <n v="1509"/>
        <n v="1510"/>
        <n v="1511"/>
        <n v="1512"/>
        <n v="1513"/>
        <n v="1514"/>
        <n v="1515"/>
        <n v="1516"/>
        <n v="1517"/>
        <n v="1518"/>
        <n v="1519"/>
        <n v="1520"/>
        <n v="1521"/>
        <n v="1522"/>
        <n v="1523"/>
        <n v="1524"/>
        <n v="1525"/>
        <n v="1526"/>
        <n v="1527"/>
        <n v="1528"/>
        <n v="1529"/>
        <n v="1530"/>
        <n v="1531"/>
        <n v="1532"/>
        <n v="1533"/>
        <n v="1534"/>
        <n v="1535"/>
        <n v="1536"/>
        <n v="1537"/>
        <n v="1538"/>
        <n v="1539"/>
        <n v="1540"/>
        <n v="1541"/>
        <n v="1542"/>
        <n v="1543"/>
        <n v="1544"/>
        <n v="1545"/>
        <n v="1546"/>
        <n v="1547"/>
        <n v="1548"/>
        <n v="1549"/>
        <n v="1550"/>
        <n v="1551"/>
        <n v="1552"/>
        <n v="1553"/>
        <n v="1554"/>
        <n v="1555"/>
        <n v="1556"/>
        <n v="1557"/>
        <n v="1558"/>
        <n v="1559"/>
        <n v="1560"/>
        <n v="1561"/>
        <n v="1562"/>
        <n v="1563"/>
        <n v="1564"/>
        <n v="1565"/>
        <n v="1566"/>
        <n v="1567"/>
        <n v="1568"/>
        <n v="1569"/>
        <n v="1570"/>
        <n v="1571"/>
        <n v="1572"/>
        <n v="1573"/>
        <n v="1574"/>
        <n v="1575"/>
        <n v="1576"/>
        <n v="1577"/>
        <n v="1578"/>
        <n v="1579"/>
        <n v="1580"/>
        <n v="1581"/>
        <n v="1582"/>
        <n v="1583"/>
        <n v="1584"/>
        <n v="1585"/>
        <n v="1586"/>
        <n v="1587"/>
        <n v="1588"/>
        <n v="1589"/>
        <n v="1590"/>
        <n v="1591"/>
        <n v="1592"/>
        <n v="1593"/>
        <n v="1594"/>
        <n v="1595"/>
        <n v="1596"/>
        <n v="1597"/>
        <n v="1598"/>
        <n v="1599"/>
        <n v="1600"/>
        <n v="1601"/>
        <n v="1602"/>
        <n v="1603"/>
        <n v="1604"/>
        <n v="1605"/>
        <n v="1606"/>
        <n v="1607"/>
        <n v="1608"/>
        <n v="1609"/>
        <n v="1610"/>
        <n v="1611"/>
        <n v="1612"/>
        <n v="1613"/>
        <n v="1614"/>
        <n v="1615"/>
        <n v="1616"/>
        <n v="1617"/>
        <n v="1618"/>
        <n v="1619"/>
        <n v="1620"/>
        <n v="1621"/>
        <n v="1622"/>
        <n v="1623"/>
        <n v="1624"/>
        <n v="1625"/>
        <n v="1626"/>
        <n v="1627"/>
        <n v="1628"/>
        <n v="1629"/>
        <n v="1630"/>
        <n v="1631"/>
        <n v="1632"/>
        <n v="1633"/>
        <n v="1634"/>
        <n v="1635"/>
        <n v="1636"/>
        <n v="1637"/>
        <n v="1638"/>
        <n v="1639"/>
        <n v="1640"/>
        <n v="1641"/>
        <n v="1642"/>
        <n v="1643"/>
        <n v="1644"/>
        <n v="1645"/>
        <n v="1646"/>
        <n v="1647"/>
        <n v="1648"/>
        <n v="1649"/>
        <n v="1650"/>
        <n v="1651"/>
        <n v="1652"/>
        <n v="1653"/>
        <n v="1654"/>
        <n v="1655"/>
        <n v="1656"/>
        <n v="1657"/>
        <n v="1658"/>
        <n v="1659"/>
        <n v="1660"/>
        <n v="1661"/>
        <n v="1662"/>
        <n v="1663"/>
        <n v="1664"/>
        <n v="1665"/>
        <n v="1666"/>
        <n v="1667"/>
        <n v="1668"/>
        <n v="1669"/>
        <n v="1670"/>
        <n v="1671"/>
        <n v="1672"/>
        <n v="1673"/>
        <n v="1674"/>
        <n v="1675"/>
        <n v="1676"/>
        <n v="1677"/>
        <n v="1678"/>
        <n v="1679"/>
        <n v="1680"/>
        <n v="1681"/>
        <n v="1682"/>
        <n v="1683"/>
        <n v="1684"/>
        <n v="1685"/>
        <n v="1686"/>
        <n v="1687"/>
        <n v="1688"/>
        <n v="1689"/>
        <n v="1690"/>
        <n v="1691"/>
        <n v="1692"/>
        <n v="1693"/>
        <n v="1694"/>
        <n v="1695"/>
        <n v="1696"/>
        <n v="1697"/>
        <n v="1698"/>
        <n v="1699"/>
        <n v="1700"/>
        <n v="1701"/>
        <n v="1702"/>
        <n v="1703"/>
        <n v="1704"/>
        <n v="1705"/>
        <n v="1706"/>
        <n v="1707"/>
        <n v="1708"/>
        <n v="1709"/>
        <n v="1710"/>
        <n v="1711"/>
        <n v="1712"/>
        <n v="1713"/>
        <n v="1714"/>
        <n v="1715"/>
        <n v="1716"/>
        <n v="1717"/>
        <n v="1718"/>
        <n v="1719"/>
        <n v="1720"/>
        <n v="1721"/>
        <n v="1722"/>
        <n v="1723"/>
        <n v="1724"/>
        <n v="1725"/>
        <n v="1726"/>
        <n v="1727"/>
        <n v="1728"/>
        <n v="1729"/>
        <n v="1730"/>
        <n v="1731"/>
        <n v="1732"/>
        <n v="1733"/>
        <n v="1734"/>
        <n v="1735"/>
        <n v="1736"/>
        <n v="1737"/>
        <n v="1738"/>
        <n v="1739"/>
        <n v="1740"/>
        <n v="1741"/>
        <n v="1742"/>
        <n v="1743"/>
        <n v="1744"/>
        <n v="1745"/>
        <n v="1746"/>
        <n v="1747"/>
        <n v="1748"/>
        <n v="1749"/>
        <n v="1750"/>
        <n v="1751"/>
        <n v="1752"/>
        <n v="1753"/>
        <n v="1754"/>
        <n v="1755"/>
        <n v="1756"/>
        <n v="1757"/>
        <n v="1758"/>
        <n v="1759"/>
        <n v="1760"/>
        <n v="1761"/>
        <n v="1762"/>
        <n v="1763"/>
        <n v="1764"/>
        <n v="1765"/>
        <n v="1766"/>
        <n v="1767"/>
        <n v="1768"/>
        <n v="1769"/>
        <n v="1770"/>
        <n v="1771"/>
        <n v="1772"/>
        <n v="1773"/>
        <n v="1774"/>
        <n v="1775"/>
        <n v="1776"/>
        <n v="1777"/>
        <n v="1778"/>
        <n v="1779"/>
        <n v="1780"/>
        <n v="1781"/>
        <n v="1782"/>
        <n v="1783"/>
        <n v="1784"/>
        <n v="1785"/>
        <n v="1786"/>
        <n v="1787"/>
        <n v="1788"/>
        <n v="1789"/>
        <n v="1790"/>
        <n v="1791"/>
        <n v="1792"/>
        <n v="1793"/>
        <n v="1794"/>
        <n v="1795"/>
        <n v="1796"/>
        <n v="1797"/>
        <n v="1798"/>
        <n v="1799"/>
        <n v="1800"/>
        <n v="1801"/>
        <n v="1802"/>
        <n v="1803"/>
        <n v="1804"/>
        <n v="1805"/>
        <n v="1806"/>
        <n v="1807"/>
        <n v="1808"/>
        <n v="1809"/>
        <n v="1810"/>
        <n v="1811"/>
        <n v="1812"/>
        <n v="1813"/>
        <n v="1814"/>
        <n v="1815"/>
        <n v="1816"/>
        <n v="1817"/>
        <n v="1818"/>
        <n v="1819"/>
        <n v="1820"/>
        <n v="1821"/>
        <n v="1822"/>
        <n v="1823"/>
        <n v="1824"/>
        <n v="1825"/>
        <n v="1826"/>
        <n v="1827"/>
        <n v="1828"/>
        <n v="1829"/>
        <n v="1830"/>
        <n v="1831"/>
        <n v="1832"/>
        <n v="1833"/>
        <n v="1834"/>
        <n v="1835"/>
        <n v="1836"/>
        <n v="1837"/>
        <n v="1838"/>
        <n v="1839"/>
        <n v="1840"/>
        <n v="1841"/>
        <n v="1842"/>
        <n v="1843"/>
        <n v="1844"/>
        <n v="1845"/>
        <n v="1846"/>
        <n v="1847"/>
        <n v="1848"/>
        <n v="1849"/>
        <n v="1850"/>
        <n v="1851"/>
        <n v="1852"/>
        <n v="1853"/>
        <n v="1854"/>
        <n v="1855"/>
        <n v="1856"/>
        <n v="1857"/>
        <n v="1858"/>
        <n v="1859"/>
        <n v="1860"/>
        <n v="1861"/>
        <n v="1862"/>
        <n v="1863"/>
        <n v="1864"/>
        <n v="1865"/>
        <n v="1866"/>
        <n v="1867"/>
        <n v="1868"/>
        <n v="1869"/>
        <n v="1870"/>
        <n v="1871"/>
        <n v="1872"/>
        <n v="1873"/>
        <n v="1874"/>
        <n v="1875"/>
        <n v="1876"/>
        <n v="1877"/>
        <n v="1878"/>
        <n v="1879"/>
        <n v="1880"/>
        <n v="1881"/>
        <n v="1882"/>
        <n v="1883"/>
        <n v="1884"/>
        <n v="1885"/>
        <n v="1886"/>
        <n v="1887"/>
        <n v="1888"/>
        <n v="1889"/>
        <n v="1890"/>
        <n v="1891"/>
        <n v="1892"/>
        <n v="1893"/>
        <n v="1894"/>
        <n v="1895"/>
        <n v="1896"/>
        <n v="1897"/>
        <n v="1898"/>
        <n v="1899"/>
        <n v="1900"/>
        <n v="1901"/>
        <n v="1902"/>
        <n v="1903"/>
        <n v="1904"/>
        <n v="1905"/>
        <n v="1906"/>
        <n v="1907"/>
        <n v="1908"/>
        <n v="1909"/>
        <n v="1910"/>
        <n v="1911"/>
        <n v="1912"/>
        <n v="1913"/>
        <n v="1914"/>
        <n v="1915"/>
        <n v="1916"/>
        <n v="1917"/>
        <n v="1918"/>
        <n v="1919"/>
        <n v="1920"/>
        <n v="1921"/>
        <n v="1922"/>
        <n v="1923"/>
        <n v="1924"/>
        <n v="1925"/>
        <n v="1926"/>
        <n v="1927"/>
        <n v="1928"/>
        <n v="1929"/>
        <n v="1930"/>
        <n v="1931"/>
        <n v="1932"/>
        <n v="1933"/>
        <n v="1934"/>
        <n v="1935"/>
        <n v="1936"/>
        <n v="1937"/>
        <n v="1938"/>
        <n v="1939"/>
        <n v="1940"/>
        <n v="1941"/>
        <n v="1942"/>
        <n v="1943"/>
        <n v="1944"/>
        <n v="1945"/>
        <n v="1946"/>
        <n v="1947"/>
        <n v="1948"/>
        <n v="1949"/>
        <n v="1950"/>
        <n v="1951"/>
        <n v="1952"/>
        <n v="1953"/>
        <n v="1954"/>
        <n v="1955"/>
        <n v="1956"/>
        <n v="1957"/>
        <n v="1958"/>
        <n v="1959"/>
        <n v="1960"/>
        <n v="1961"/>
        <n v="1962"/>
        <n v="1963"/>
        <n v="1964"/>
        <n v="1965"/>
        <n v="1966"/>
        <n v="1967"/>
        <n v="1968"/>
        <n v="1969"/>
        <n v="1970"/>
        <n v="1971"/>
        <n v="1972"/>
        <n v="1973"/>
        <n v="1974"/>
        <n v="1975"/>
        <n v="1976"/>
        <n v="1977"/>
        <n v="1978"/>
        <n v="1979"/>
        <n v="1980"/>
        <n v="1981"/>
        <n v="1982"/>
        <n v="1983"/>
        <n v="1984"/>
        <n v="1985"/>
        <n v="1986"/>
        <n v="1987"/>
        <n v="1988"/>
        <n v="1989"/>
        <n v="1990"/>
        <n v="1991"/>
        <n v="1992"/>
        <n v="1993"/>
        <n v="1994"/>
        <n v="1995"/>
        <n v="1996"/>
        <n v="1997"/>
        <n v="1998"/>
        <n v="1999"/>
        <n v="2000"/>
        <n v="2001"/>
        <n v="2002"/>
        <n v="2003"/>
        <n v="2004"/>
        <n v="2005"/>
        <n v="2006"/>
        <n v="2007"/>
        <n v="2008"/>
        <n v="2009"/>
        <n v="2010"/>
        <n v="2011"/>
        <n v="2012"/>
        <n v="2013"/>
        <n v="2014"/>
        <n v="2015"/>
        <n v="2016"/>
        <n v="2017"/>
        <n v="2018"/>
        <n v="2019"/>
        <n v="2020"/>
        <n v="2021"/>
        <n v="2022"/>
        <n v="2023"/>
        <n v="2024"/>
        <n v="2025"/>
        <n v="2026"/>
        <n v="2027"/>
        <n v="2028"/>
        <n v="2029"/>
        <n v="2030"/>
        <n v="2031"/>
        <n v="2032"/>
        <n v="2033"/>
        <n v="2034"/>
        <n v="2035"/>
        <n v="2036"/>
        <n v="2037"/>
        <n v="2038"/>
        <n v="2039"/>
        <n v="2040"/>
        <n v="2041"/>
        <n v="2042"/>
        <n v="2043"/>
        <n v="2044"/>
        <n v="2045"/>
        <n v="2046"/>
        <n v="2047"/>
        <n v="2048"/>
        <n v="2049"/>
        <n v="2050"/>
        <n v="2051"/>
        <n v="2052"/>
        <n v="2053"/>
        <n v="2054"/>
        <n v="2055"/>
        <n v="2056"/>
        <n v="2057"/>
        <n v="2058"/>
        <n v="2059"/>
        <n v="2060"/>
        <n v="2061"/>
        <n v="2062"/>
        <n v="2063"/>
        <n v="2064"/>
        <n v="2065"/>
        <n v="2066"/>
        <n v="2067"/>
        <n v="2068"/>
        <n v="2069"/>
        <n v="2070"/>
        <n v="2071"/>
        <n v="2072"/>
        <n v="2073"/>
        <n v="2074"/>
        <n v="2075"/>
        <n v="2076"/>
        <n v="2077"/>
        <n v="2078"/>
        <n v="2079"/>
        <n v="2080"/>
        <n v="2081"/>
        <n v="2082"/>
        <n v="2083"/>
        <n v="2084"/>
        <n v="2085"/>
        <n v="2086"/>
        <n v="2087"/>
        <n v="2088"/>
        <n v="2089"/>
        <n v="2090"/>
        <n v="2091"/>
        <n v="2092"/>
        <n v="2093"/>
        <n v="2094"/>
        <n v="2095"/>
        <n v="2096"/>
        <n v="2097"/>
        <n v="2098"/>
        <n v="2099"/>
        <n v="2100"/>
        <n v="2101"/>
        <n v="2102"/>
        <n v="2103"/>
        <n v="2104"/>
        <n v="2105"/>
        <n v="2106"/>
        <n v="2107"/>
        <n v="2108"/>
        <n v="2109"/>
        <n v="2110"/>
        <n v="2111"/>
        <n v="2112"/>
        <n v="2113"/>
        <n v="2114"/>
        <n v="2115"/>
        <n v="2116"/>
        <n v="2117"/>
        <n v="2118"/>
        <n v="2119"/>
        <n v="2120"/>
        <n v="2121"/>
        <n v="2122"/>
        <n v="2123"/>
        <n v="2124"/>
        <n v="2125"/>
        <n v="2126"/>
        <n v="2127"/>
        <n v="2128"/>
        <n v="2129"/>
        <n v="2130"/>
        <n v="2131"/>
        <n v="2132"/>
        <n v="2133"/>
        <n v="2134"/>
        <n v="2135"/>
        <n v="2136"/>
        <n v="2137"/>
        <n v="2138"/>
        <n v="2139"/>
        <n v="2140"/>
        <n v="2141"/>
        <n v="2142"/>
        <n v="2143"/>
        <n v="2144"/>
        <n v="2145"/>
        <n v="2146"/>
        <n v="2147"/>
        <n v="2148"/>
        <n v="2149"/>
        <n v="2150"/>
        <n v="2151"/>
        <n v="2152"/>
        <n v="2153"/>
        <n v="2154"/>
        <n v="2155"/>
        <n v="2156"/>
        <n v="2157"/>
        <n v="2158"/>
        <n v="2159"/>
        <n v="2160"/>
        <n v="2161"/>
        <n v="2162"/>
        <n v="2163"/>
        <n v="2164"/>
        <n v="2165"/>
        <n v="2166"/>
        <n v="2167"/>
        <n v="2168"/>
        <n v="2169"/>
        <n v="2170"/>
        <n v="2171"/>
        <n v="2172"/>
        <n v="2173"/>
        <n v="2174"/>
        <n v="2175"/>
        <n v="2176"/>
        <n v="2177"/>
        <n v="2178"/>
        <n v="2179"/>
        <n v="2180"/>
        <n v="2181"/>
        <n v="2182"/>
        <n v="2183"/>
        <n v="2184"/>
        <n v="2185"/>
        <n v="2186"/>
        <n v="2187"/>
        <n v="2188"/>
        <n v="2189"/>
        <n v="2190"/>
        <n v="2191"/>
        <n v="2192"/>
        <n v="2193"/>
        <n v="2194"/>
        <n v="2195"/>
        <n v="2196"/>
        <n v="2197"/>
        <n v="2198"/>
        <n v="2199"/>
        <n v="2200"/>
        <n v="2201"/>
        <n v="2202"/>
        <n v="2203"/>
        <n v="2204"/>
        <n v="2205"/>
        <n v="2206"/>
        <n v="2207"/>
        <n v="2208"/>
        <n v="2209"/>
        <n v="2210"/>
        <n v="2211"/>
        <n v="2212"/>
        <n v="2213"/>
        <n v="2214"/>
        <n v="2215"/>
        <n v="2216"/>
        <n v="2217"/>
        <n v="2218"/>
        <n v="2219"/>
        <n v="2220"/>
        <n v="2221"/>
        <n v="2222"/>
        <n v="2223"/>
        <n v="2224"/>
        <n v="2225"/>
        <n v="2226"/>
        <n v="2227"/>
        <n v="2228"/>
        <n v="2229"/>
        <n v="2230"/>
        <n v="2231"/>
        <n v="2232"/>
        <n v="2233"/>
        <n v="2234"/>
        <n v="2235"/>
        <n v="2236"/>
        <n v="2237"/>
        <n v="2238"/>
        <n v="2239"/>
        <n v="2240"/>
        <n v="2241"/>
        <n v="2242"/>
        <n v="2243"/>
        <n v="2244"/>
        <n v="2245"/>
        <n v="2246"/>
        <n v="2247"/>
        <n v="2248"/>
        <n v="2249"/>
        <n v="2250"/>
        <n v="2251"/>
        <n v="2252"/>
        <n v="2253"/>
        <n v="2254"/>
        <n v="2255"/>
        <n v="2256"/>
        <n v="2257"/>
        <n v="2258"/>
        <n v="2259"/>
        <n v="2260"/>
        <n v="2261"/>
        <n v="2262"/>
        <n v="2263"/>
        <n v="2264"/>
        <n v="2265"/>
        <n v="2266"/>
        <n v="2267"/>
        <n v="2268"/>
        <n v="2269"/>
        <n v="2270"/>
        <n v="2271"/>
        <n v="2272"/>
        <n v="2273"/>
        <n v="2274"/>
        <n v="2275"/>
        <n v="2276"/>
        <n v="2277"/>
        <n v="2278"/>
        <n v="2279"/>
        <n v="2280"/>
        <n v="2281"/>
        <n v="2282"/>
        <n v="2283"/>
        <n v="2284"/>
        <n v="2285"/>
        <n v="2286"/>
        <n v="2287"/>
        <n v="2288"/>
        <n v="2289"/>
        <n v="2290"/>
        <n v="2291"/>
        <n v="2292"/>
        <n v="2293"/>
        <n v="2294"/>
        <n v="2295"/>
        <n v="2296"/>
        <n v="2297"/>
        <n v="2298"/>
        <n v="2299"/>
        <n v="2300"/>
        <n v="2301"/>
        <n v="2302"/>
        <n v="2303"/>
        <n v="2304"/>
        <n v="2305"/>
        <n v="2306"/>
        <n v="2307"/>
        <n v="2308"/>
        <n v="2309"/>
        <n v="2310"/>
        <n v="2311"/>
        <n v="2312"/>
        <n v="2313"/>
        <n v="2314"/>
        <n v="2315"/>
        <n v="2316"/>
        <n v="2317"/>
        <n v="2318"/>
        <n v="2319"/>
        <n v="2320"/>
        <n v="2321"/>
        <n v="2322"/>
        <n v="2323"/>
        <n v="2324"/>
        <n v="2325"/>
        <n v="2326"/>
        <n v="2327"/>
        <n v="2328"/>
        <n v="2329"/>
        <n v="2330"/>
        <n v="2331"/>
        <n v="2332"/>
        <n v="2333"/>
        <n v="2334"/>
        <n v="2335"/>
        <n v="2336"/>
        <n v="2337"/>
        <n v="2338"/>
        <n v="2339"/>
        <n v="2340"/>
        <n v="2341"/>
        <n v="2342"/>
        <n v="2343"/>
        <n v="2344"/>
        <n v="2345"/>
        <n v="2346"/>
        <n v="2347"/>
        <n v="2348"/>
        <n v="2349"/>
        <n v="2350"/>
        <n v="2351"/>
        <n v="2352"/>
        <n v="2353"/>
        <n v="2354"/>
        <n v="2355"/>
        <n v="2356"/>
        <n v="2357"/>
        <n v="2358"/>
        <n v="2359"/>
        <n v="2360"/>
        <n v="2361"/>
        <n v="2362"/>
        <n v="2363"/>
        <n v="2364"/>
        <n v="2365"/>
        <n v="2366"/>
        <n v="2367"/>
        <n v="2368"/>
        <n v="2369"/>
        <n v="2370"/>
        <n v="2371"/>
        <n v="2372"/>
        <n v="2373"/>
        <n v="2374"/>
        <n v="2375"/>
        <n v="2376"/>
        <n v="2377"/>
        <n v="2378"/>
        <n v="2379"/>
        <n v="2380"/>
        <n v="2381"/>
        <n v="2382"/>
        <n v="2383"/>
        <n v="2384"/>
        <n v="2385"/>
        <n v="2386"/>
        <n v="2387"/>
        <n v="2388"/>
        <n v="2389"/>
        <n v="2390"/>
        <n v="2391"/>
        <n v="2392"/>
        <n v="2393"/>
        <n v="2394"/>
        <n v="2395"/>
        <n v="2396"/>
        <n v="2397"/>
        <n v="2398"/>
        <n v="2399"/>
        <n v="2400"/>
        <n v="2401"/>
        <n v="2402"/>
        <n v="2403"/>
        <n v="2404"/>
        <n v="2405"/>
        <n v="2406"/>
        <n v="2407"/>
        <n v="2408"/>
        <n v="2409"/>
        <n v="2410"/>
        <n v="2411"/>
        <n v="2412"/>
        <n v="2413"/>
        <n v="2414"/>
        <n v="2415"/>
        <n v="2416"/>
        <n v="2417"/>
        <n v="2418"/>
        <n v="2419"/>
        <n v="2420"/>
        <n v="2421"/>
        <n v="2422"/>
        <n v="2423"/>
        <n v="2424"/>
        <n v="2425"/>
        <n v="2426"/>
        <n v="2427"/>
        <n v="2428"/>
        <n v="2429"/>
        <n v="2430"/>
        <n v="2431"/>
        <n v="2432"/>
        <n v="2433"/>
        <n v="2434"/>
        <n v="2435"/>
        <n v="2436"/>
        <n v="2437"/>
        <n v="2438"/>
        <n v="2439"/>
        <n v="2440"/>
        <n v="2441"/>
        <n v="2442"/>
        <n v="2443"/>
        <n v="2444"/>
        <n v="2445"/>
        <n v="2446"/>
        <n v="2447"/>
        <n v="2448"/>
        <n v="2449"/>
        <n v="2450"/>
        <n v="2451"/>
        <n v="2452"/>
        <n v="2453"/>
        <n v="2454"/>
        <n v="2455"/>
        <n v="2456"/>
        <n v="2457"/>
        <n v="2458"/>
        <n v="2459"/>
        <n v="2460"/>
        <n v="2461"/>
        <n v="2462"/>
        <n v="2463"/>
        <n v="2464"/>
        <n v="2465"/>
        <n v="2466"/>
        <n v="2467"/>
        <n v="2468"/>
        <n v="2469"/>
        <n v="2470"/>
        <n v="2471"/>
        <n v="2472"/>
        <n v="2473"/>
        <n v="2474"/>
        <n v="2475"/>
        <n v="2476"/>
        <n v="2477"/>
        <n v="2478"/>
        <n v="2479"/>
        <n v="2480"/>
        <n v="2481"/>
        <n v="2482"/>
        <n v="2483"/>
        <n v="2484"/>
        <n v="2485"/>
        <n v="2486"/>
        <n v="2487"/>
        <n v="2488"/>
        <n v="2489"/>
        <n v="2490"/>
        <n v="2491"/>
        <n v="2492"/>
        <n v="2493"/>
        <n v="2494"/>
        <n v="2495"/>
        <n v="2496"/>
        <n v="2497"/>
        <n v="2498"/>
        <n v="2499"/>
        <n v="2500"/>
        <n v="2501"/>
        <n v="2502"/>
        <n v="2503"/>
        <n v="2504"/>
        <n v="2505"/>
        <n v="2506"/>
        <n v="2507"/>
        <n v="2508"/>
        <n v="2509"/>
        <n v="2510"/>
        <n v="2511"/>
        <n v="2512"/>
        <n v="2513"/>
        <n v="2514"/>
        <n v="2515"/>
        <n v="2516"/>
        <n v="2517"/>
        <n v="2518"/>
        <n v="2519"/>
        <n v="2520"/>
        <n v="2521"/>
        <n v="2522"/>
        <n v="2523"/>
        <n v="2524"/>
        <n v="2525"/>
        <n v="2526"/>
        <n v="2527"/>
        <n v="2528"/>
        <n v="2529"/>
        <n v="2530"/>
        <n v="2531"/>
        <n v="2532"/>
        <n v="2533"/>
        <n v="2534"/>
        <n v="2535"/>
        <n v="2536"/>
        <n v="2537"/>
        <n v="2538"/>
        <n v="2539"/>
        <n v="2540"/>
        <n v="2541"/>
        <n v="2542"/>
        <n v="2543"/>
        <n v="2544"/>
        <n v="2545"/>
        <n v="2546"/>
        <n v="2547"/>
        <n v="2548"/>
        <n v="2549"/>
        <n v="2550"/>
        <n v="2551"/>
        <n v="2552"/>
        <n v="2553"/>
        <n v="2554"/>
        <n v="2555"/>
        <n v="2556"/>
        <n v="2557"/>
        <n v="2558"/>
        <n v="2559"/>
        <n v="2560"/>
        <n v="2561"/>
        <n v="2562"/>
        <n v="2563"/>
        <n v="2564"/>
        <n v="2565"/>
        <n v="2566"/>
        <n v="2567"/>
        <n v="2568"/>
        <n v="2569"/>
        <n v="2570"/>
        <n v="2571"/>
        <n v="2572"/>
        <n v="2573"/>
        <n v="2574"/>
        <n v="2575"/>
        <n v="2576"/>
        <n v="2577"/>
        <n v="2578"/>
        <n v="2579"/>
        <n v="2580"/>
        <n v="2581"/>
        <n v="2582"/>
        <n v="2583"/>
        <n v="2584"/>
        <n v="2585"/>
        <n v="2586"/>
        <n v="2587"/>
        <n v="2588"/>
        <n v="2589"/>
        <n v="2590"/>
        <n v="2591"/>
        <n v="2592"/>
        <n v="2593"/>
        <n v="2594"/>
        <n v="2595"/>
        <n v="2596"/>
        <n v="2597"/>
        <n v="2598"/>
        <n v="2599"/>
        <n v="2600"/>
        <n v="2601"/>
        <n v="2602"/>
        <n v="2603"/>
        <n v="2604"/>
        <n v="2605"/>
        <n v="2606"/>
        <n v="2607"/>
        <n v="2608"/>
        <n v="2609"/>
        <n v="2610"/>
        <n v="2611"/>
        <n v="2612"/>
        <n v="2613"/>
        <n v="2614"/>
        <n v="2615"/>
        <n v="2616"/>
        <n v="2617"/>
        <n v="2618"/>
        <n v="2619"/>
        <n v="2620"/>
        <n v="2621"/>
        <n v="2622"/>
        <n v="2623"/>
        <n v="2624"/>
        <n v="2625"/>
        <n v="2626"/>
        <n v="2627"/>
        <n v="2628"/>
        <n v="2629"/>
        <n v="2630"/>
        <n v="2631"/>
        <n v="2632"/>
        <n v="2633"/>
        <n v="2634"/>
        <n v="2635"/>
        <n v="2636"/>
        <n v="2637"/>
        <n v="2638"/>
        <n v="2639"/>
        <n v="2640"/>
        <n v="2641"/>
        <n v="2642"/>
        <n v="2643"/>
        <n v="2644"/>
        <n v="2645"/>
        <n v="2646"/>
        <n v="2647"/>
        <n v="2648"/>
        <n v="2649"/>
        <n v="2650"/>
        <n v="2651"/>
        <n v="2652"/>
        <n v="2653"/>
        <n v="2654"/>
        <n v="2655"/>
        <n v="2656"/>
        <n v="2657"/>
        <n v="2658"/>
        <n v="2659"/>
        <n v="2660"/>
        <n v="2661"/>
        <n v="2662"/>
        <n v="2663"/>
        <n v="2664"/>
        <n v="2665"/>
        <n v="2666"/>
        <n v="2667"/>
        <n v="2668"/>
        <n v="2669"/>
        <n v="2670"/>
        <n v="2671"/>
        <n v="2672"/>
        <n v="2673"/>
        <n v="2674"/>
        <n v="2675"/>
        <n v="2676"/>
        <n v="2677"/>
        <n v="2678"/>
        <n v="2679"/>
        <n v="2680"/>
        <n v="2681"/>
        <n v="2682"/>
        <n v="2683"/>
        <n v="2684"/>
        <n v="2685"/>
        <n v="2686"/>
        <n v="2687"/>
        <n v="2688"/>
        <n v="2689"/>
        <n v="2690"/>
        <n v="2691"/>
        <n v="2692"/>
        <n v="2693"/>
        <n v="2694"/>
        <n v="2695"/>
        <n v="2696"/>
        <n v="2697"/>
        <n v="2698"/>
        <n v="2699"/>
        <n v="2700"/>
        <n v="2701"/>
        <n v="2702"/>
        <n v="2703"/>
        <n v="2704"/>
        <n v="2705"/>
        <n v="2706"/>
        <n v="2707"/>
        <n v="2708"/>
        <n v="2709"/>
        <n v="2710"/>
        <n v="2711"/>
        <n v="2712"/>
        <n v="2713"/>
        <n v="2714"/>
        <n v="2715"/>
        <n v="2716"/>
        <n v="2717"/>
        <n v="2718"/>
        <n v="2719"/>
        <n v="2720"/>
        <n v="2721"/>
        <n v="2722"/>
        <n v="2723"/>
        <n v="2724"/>
        <n v="2725"/>
        <n v="2726"/>
        <n v="2727"/>
        <n v="2728"/>
        <n v="2729"/>
        <n v="2730"/>
        <n v="2731"/>
        <n v="2732"/>
        <n v="2733"/>
        <n v="2734"/>
        <n v="2735"/>
        <n v="2736"/>
        <n v="2737"/>
        <n v="2738"/>
        <n v="2739"/>
        <n v="2740"/>
        <n v="2741"/>
        <n v="2742"/>
        <n v="2743"/>
        <n v="2744"/>
        <n v="2745"/>
        <n v="2746"/>
        <n v="2747"/>
        <n v="2748"/>
        <n v="2749"/>
        <n v="2750"/>
        <n v="2751"/>
        <n v="2752"/>
        <n v="2753"/>
        <n v="2754"/>
        <n v="2755"/>
        <n v="2756"/>
        <n v="2757"/>
        <n v="2758"/>
        <n v="2759"/>
        <n v="2760"/>
        <n v="2761"/>
        <n v="2762"/>
        <n v="2763"/>
        <n v="2764"/>
        <n v="2765"/>
        <n v="2766"/>
        <n v="2767"/>
        <n v="2768"/>
        <n v="2769"/>
        <n v="2770"/>
        <n v="2771"/>
        <n v="2772"/>
        <n v="2773"/>
        <n v="2774"/>
        <n v="2775"/>
        <n v="2776"/>
        <n v="2777"/>
        <n v="2778"/>
        <n v="2779"/>
        <n v="2780"/>
        <n v="2781"/>
        <n v="2782"/>
        <n v="2783"/>
        <n v="2784"/>
        <n v="2785"/>
        <n v="2786"/>
        <n v="2787"/>
        <n v="2788"/>
        <n v="2789"/>
        <n v="2790"/>
        <n v="2791"/>
        <n v="2792"/>
        <n v="2793"/>
        <n v="2794"/>
        <n v="2795"/>
        <n v="2796"/>
        <n v="2797"/>
        <n v="2798"/>
        <n v="2799"/>
        <n v="2800"/>
        <n v="2801"/>
        <n v="2802"/>
        <n v="2803"/>
        <n v="2804"/>
        <n v="2805"/>
        <n v="2806"/>
        <n v="2807"/>
        <n v="2808"/>
        <n v="2809"/>
        <n v="2810"/>
        <n v="2811"/>
        <n v="2812"/>
        <n v="2813"/>
        <n v="2814"/>
        <n v="2815"/>
        <n v="2816"/>
        <n v="2817"/>
        <n v="2818"/>
        <n v="2819"/>
        <n v="2820"/>
        <n v="2821"/>
        <n v="2822"/>
        <n v="2823"/>
        <n v="2824"/>
        <n v="2825"/>
        <n v="2826"/>
        <n v="2827"/>
        <n v="2828"/>
        <n v="2829"/>
        <n v="2830"/>
        <n v="2831"/>
        <n v="2832"/>
        <n v="2833"/>
        <n v="2834"/>
        <n v="2835"/>
        <n v="2836"/>
        <n v="2837"/>
        <n v="2838"/>
        <n v="2839"/>
        <n v="2840"/>
        <n v="2841"/>
        <n v="2842"/>
        <n v="2843"/>
        <n v="2844"/>
        <n v="2845"/>
        <n v="2846"/>
        <n v="2847"/>
        <n v="2848"/>
        <n v="2849"/>
        <n v="2850"/>
        <n v="2851"/>
        <n v="2852"/>
        <n v="2853"/>
        <n v="2854"/>
        <n v="2855"/>
        <n v="2856"/>
        <n v="2857"/>
        <n v="2858"/>
        <n v="2859"/>
        <n v="2860"/>
        <n v="2861"/>
        <n v="2862"/>
        <n v="2863"/>
        <n v="2864"/>
        <n v="2865"/>
        <n v="2866"/>
        <n v="2867"/>
        <n v="2868"/>
        <n v="2869"/>
        <n v="2870"/>
        <n v="2871"/>
        <n v="2872"/>
        <n v="2873"/>
        <n v="2874"/>
        <n v="2875"/>
        <n v="2876"/>
        <n v="2877"/>
        <n v="2878"/>
        <n v="2879"/>
        <n v="2880"/>
        <n v="2881"/>
        <n v="2882"/>
        <n v="2883"/>
        <n v="2884"/>
        <n v="2885"/>
        <n v="2886"/>
        <n v="2887"/>
        <n v="2888"/>
        <n v="2889"/>
        <n v="2890"/>
        <n v="2891"/>
        <n v="2892"/>
        <n v="2893"/>
        <n v="2894"/>
        <n v="2895"/>
        <n v="2896"/>
        <n v="2897"/>
        <n v="2898"/>
        <n v="2899"/>
        <n v="2900"/>
        <n v="2901"/>
        <n v="2902"/>
        <n v="2903"/>
        <n v="2904"/>
        <n v="2905"/>
        <n v="2906"/>
        <n v="2907"/>
        <n v="2908"/>
        <n v="2909"/>
        <n v="2910"/>
        <n v="2911"/>
        <n v="2912"/>
        <n v="2913"/>
        <n v="2914"/>
        <n v="2915"/>
        <n v="2916"/>
        <n v="2917"/>
        <n v="2918"/>
        <n v="2919"/>
        <n v="2920"/>
        <n v="2921"/>
        <n v="2922"/>
        <n v="2923"/>
        <n v="2924"/>
        <n v="2925"/>
        <n v="2926"/>
        <n v="2927"/>
        <n v="2928"/>
        <n v="2929"/>
        <n v="2930"/>
        <n v="2931"/>
        <n v="2932"/>
        <n v="2933"/>
        <n v="2934"/>
        <n v="2935"/>
        <n v="2936"/>
        <n v="2937"/>
        <n v="2938"/>
        <n v="2939"/>
        <n v="2940"/>
        <n v="2941"/>
        <n v="2942"/>
        <n v="2943"/>
        <n v="2944"/>
        <n v="2945"/>
        <n v="2946"/>
        <n v="2947"/>
        <n v="2948"/>
        <n v="2949"/>
        <n v="2950"/>
        <n v="2951"/>
        <n v="2952"/>
        <n v="2953"/>
        <n v="2954"/>
        <n v="2955"/>
        <n v="2956"/>
        <n v="2957"/>
        <n v="2958"/>
        <n v="2959"/>
        <n v="2960"/>
        <n v="2961"/>
        <n v="2962"/>
        <n v="2963"/>
        <n v="2964"/>
        <n v="2965"/>
        <n v="2966"/>
        <n v="2967"/>
        <n v="2968"/>
        <n v="2969"/>
        <n v="2970"/>
        <n v="2971"/>
        <n v="2972"/>
        <n v="2973"/>
        <n v="2974"/>
        <n v="2975"/>
        <n v="2976"/>
        <n v="2977"/>
        <n v="2978"/>
        <n v="2979"/>
        <n v="2980"/>
        <n v="2981"/>
        <n v="2982"/>
        <n v="2983"/>
        <n v="2984"/>
        <n v="2985"/>
        <n v="2986"/>
        <n v="2987"/>
        <n v="2988"/>
        <n v="2989"/>
        <n v="2990"/>
        <n v="2991"/>
        <n v="2992"/>
        <n v="2993"/>
        <n v="2994"/>
        <n v="2995"/>
        <n v="2996"/>
        <n v="2997"/>
        <n v="2998"/>
        <n v="2999"/>
        <n v="3000"/>
        <n v="3001"/>
        <n v="3002"/>
        <n v="3003"/>
        <n v="3004"/>
        <n v="3005"/>
        <n v="3006"/>
        <n v="3007"/>
        <n v="3008"/>
        <n v="3009"/>
        <n v="3010"/>
        <n v="3011"/>
        <n v="3012"/>
        <n v="3013"/>
        <n v="3014"/>
        <n v="3015"/>
        <n v="3016"/>
        <n v="3017"/>
        <n v="3018"/>
        <n v="3019"/>
        <n v="3020"/>
        <n v="3021"/>
        <n v="3022"/>
        <n v="3023"/>
        <n v="3024"/>
        <n v="3025"/>
        <n v="3026"/>
        <n v="3027"/>
        <n v="3028"/>
        <n v="3029"/>
        <n v="3030"/>
        <n v="3031"/>
        <n v="3032"/>
        <n v="3033"/>
        <n v="3034"/>
        <n v="3035"/>
        <n v="3036"/>
        <n v="3037"/>
        <n v="3038"/>
        <n v="3039"/>
        <n v="3040"/>
        <n v="3041"/>
        <n v="3042"/>
        <n v="3043"/>
        <n v="3044"/>
        <n v="3045"/>
        <n v="3046"/>
        <n v="3047"/>
        <n v="3048"/>
        <n v="3049"/>
        <n v="3050"/>
        <n v="3051"/>
        <n v="3052"/>
        <n v="3053"/>
        <n v="3054"/>
        <n v="3055"/>
        <n v="3056"/>
        <n v="3057"/>
        <n v="3058"/>
        <n v="3059"/>
        <n v="3060"/>
        <n v="3061"/>
        <n v="3062"/>
        <n v="3063"/>
        <n v="3064"/>
        <n v="3065"/>
        <n v="3066"/>
        <n v="3067"/>
        <n v="3068"/>
        <n v="3069"/>
        <n v="3070"/>
        <n v="3071"/>
        <n v="3072"/>
        <n v="3073"/>
        <n v="3074"/>
        <n v="3075"/>
        <n v="3076"/>
        <n v="3077"/>
        <n v="3078"/>
        <n v="3079"/>
        <n v="3080"/>
        <n v="3081"/>
        <n v="3082"/>
        <n v="3083"/>
        <n v="3084"/>
        <n v="3085"/>
        <n v="3086"/>
        <n v="3087"/>
        <n v="3088"/>
        <n v="3089"/>
        <n v="3090"/>
        <n v="3091"/>
        <n v="3092"/>
        <n v="3093"/>
        <n v="3094"/>
        <n v="3095"/>
        <n v="3096"/>
        <n v="3097"/>
        <n v="3098"/>
        <n v="3099"/>
        <n v="3100"/>
        <n v="3101"/>
        <n v="3102"/>
        <n v="3103"/>
        <n v="3104"/>
        <n v="3105"/>
        <n v="3106"/>
        <n v="3107"/>
        <n v="3108"/>
        <n v="3109"/>
        <n v="3110"/>
        <n v="3111"/>
        <n v="3112"/>
        <n v="3113"/>
        <n v="3114"/>
        <n v="3115"/>
        <n v="3116"/>
        <n v="3117"/>
        <n v="3118"/>
        <n v="3119"/>
        <n v="3120"/>
        <n v="3121"/>
        <n v="3122"/>
        <n v="3123"/>
        <n v="3124"/>
        <n v="3125"/>
        <n v="3126"/>
        <n v="3127"/>
        <n v="3128"/>
        <n v="3129"/>
        <n v="3130"/>
        <n v="3131"/>
        <n v="3132"/>
        <n v="3133"/>
        <n v="3134"/>
        <n v="3135"/>
        <n v="3136"/>
        <n v="3137"/>
        <n v="3138"/>
        <n v="3139"/>
        <n v="3140"/>
        <n v="3141"/>
        <n v="3142"/>
        <n v="3143"/>
        <n v="3144"/>
        <n v="3145"/>
        <n v="3146"/>
        <n v="3147"/>
        <n v="3148"/>
        <n v="3149"/>
        <n v="3150"/>
        <n v="3151"/>
        <n v="3152"/>
        <n v="3153"/>
        <n v="3154"/>
        <n v="3155"/>
        <n v="3156"/>
        <n v="3157"/>
        <n v="3158"/>
        <n v="3159"/>
        <n v="3160"/>
        <n v="3161"/>
        <n v="3162"/>
        <n v="3163"/>
        <n v="3164"/>
        <n v="3165"/>
        <n v="3166"/>
        <n v="3167"/>
        <n v="3168"/>
        <n v="3169"/>
        <n v="3170"/>
        <n v="3171"/>
        <n v="3172"/>
        <n v="3173"/>
        <n v="3174"/>
        <n v="3175"/>
        <n v="3176"/>
        <n v="3177"/>
        <n v="3178"/>
        <n v="3179"/>
        <n v="3180"/>
        <n v="3181"/>
        <n v="3182"/>
        <n v="3183"/>
        <n v="3184"/>
        <n v="3185"/>
        <n v="3186"/>
        <n v="3187"/>
        <n v="3188"/>
        <n v="3189"/>
        <n v="3190"/>
        <n v="3191"/>
        <n v="3192"/>
        <n v="3193"/>
        <n v="3194"/>
        <n v="3195"/>
        <n v="3196"/>
        <n v="3197"/>
        <n v="3198"/>
        <n v="3199"/>
        <n v="3200"/>
        <n v="3201"/>
        <n v="3202"/>
        <n v="3203"/>
        <n v="3204"/>
        <n v="3205"/>
        <n v="3206"/>
        <n v="3207"/>
        <n v="3208"/>
        <n v="3209"/>
        <n v="3210"/>
        <n v="3211"/>
        <n v="3212"/>
        <n v="3213"/>
        <n v="3214"/>
        <n v="3215"/>
        <n v="3216"/>
        <n v="3217"/>
        <n v="3218"/>
        <n v="3219"/>
        <n v="3220"/>
        <n v="3221"/>
        <n v="3222"/>
        <n v="3223"/>
        <n v="3224"/>
        <n v="3225"/>
        <n v="3226"/>
        <n v="3227"/>
        <n v="3228"/>
        <n v="3229"/>
        <n v="3230"/>
        <n v="3231"/>
        <n v="3232"/>
        <n v="3233"/>
        <n v="3234"/>
        <n v="3235"/>
        <n v="3236"/>
        <n v="3237"/>
        <n v="3238"/>
        <n v="3239"/>
        <n v="3240"/>
        <n v="3241"/>
        <n v="3242"/>
        <n v="3243"/>
        <n v="3244"/>
        <n v="3245"/>
        <n v="3246"/>
        <n v="3247"/>
        <n v="3248"/>
        <n v="3249"/>
        <n v="3250"/>
        <n v="3251"/>
        <n v="3252"/>
        <n v="3253"/>
        <n v="3254"/>
        <n v="3255"/>
        <n v="3256"/>
        <n v="3257"/>
        <n v="3258"/>
        <n v="3259"/>
        <n v="3260"/>
        <n v="3261"/>
        <n v="3262"/>
        <n v="3263"/>
        <n v="3264"/>
        <n v="3265"/>
        <n v="3266"/>
        <n v="3267"/>
        <n v="3268"/>
        <n v="3269"/>
        <n v="3270"/>
        <n v="3271"/>
        <n v="3272"/>
        <n v="3273"/>
        <n v="3274"/>
        <n v="3275"/>
        <n v="3276"/>
        <n v="3277"/>
        <n v="3278"/>
        <n v="3279"/>
        <n v="3280"/>
        <n v="3281"/>
        <n v="3282"/>
        <n v="3283"/>
        <n v="3284"/>
        <n v="3285"/>
        <n v="3286"/>
        <n v="3287"/>
        <n v="3288"/>
        <n v="3289"/>
        <n v="3290"/>
        <n v="3291"/>
        <n v="3292"/>
        <n v="3293"/>
        <n v="3294"/>
        <n v="3295"/>
        <n v="3296"/>
        <n v="3297"/>
        <n v="3298"/>
        <n v="3299"/>
        <n v="3300"/>
        <n v="3301"/>
        <n v="3302"/>
        <n v="3303"/>
        <n v="3304"/>
        <n v="3305"/>
        <n v="3306"/>
        <n v="3307"/>
        <n v="3308"/>
        <n v="3309"/>
        <n v="3310"/>
        <n v="3311"/>
        <n v="3312"/>
        <n v="3313"/>
        <n v="3314"/>
        <n v="3315"/>
        <n v="3316"/>
        <n v="3317"/>
        <n v="3318"/>
        <n v="3319"/>
        <n v="3320"/>
        <n v="3321"/>
        <n v="3322"/>
        <n v="3323"/>
        <n v="3324"/>
        <n v="3325"/>
        <n v="3326"/>
        <n v="3327"/>
        <n v="3328"/>
        <n v="3329"/>
        <n v="3330"/>
        <n v="3331"/>
        <n v="3332"/>
        <n v="3333"/>
        <n v="3334"/>
        <n v="3335"/>
        <n v="3336"/>
        <n v="3337"/>
        <n v="3338"/>
        <n v="3339"/>
        <n v="3340"/>
        <n v="3341"/>
        <n v="3342"/>
        <n v="3343"/>
        <n v="3344"/>
        <n v="3345"/>
        <n v="3346"/>
        <n v="3347"/>
        <n v="3348"/>
        <n v="3349"/>
        <n v="3350"/>
        <n v="3351"/>
        <n v="3352"/>
        <n v="3353"/>
        <n v="3354"/>
        <n v="3355"/>
        <n v="3356"/>
        <n v="3357"/>
        <n v="3358"/>
        <n v="3359"/>
        <n v="3360"/>
        <n v="3361"/>
        <n v="3362"/>
        <n v="3363"/>
        <n v="3364"/>
        <n v="3365"/>
        <n v="3366"/>
        <n v="3367"/>
        <n v="3368"/>
        <n v="3369"/>
        <n v="3370"/>
        <n v="3371"/>
        <n v="3372"/>
        <n v="3373"/>
        <n v="3374"/>
        <n v="3375"/>
        <n v="3376"/>
        <n v="3377"/>
        <n v="3378"/>
        <n v="3379"/>
        <n v="3380"/>
        <n v="3381"/>
        <n v="3382"/>
        <n v="3383"/>
        <n v="3384"/>
        <n v="3385"/>
        <n v="3386"/>
        <n v="3387"/>
        <n v="3388"/>
        <n v="3389"/>
        <n v="3390"/>
        <n v="3391"/>
        <n v="3392"/>
        <n v="3393"/>
        <n v="3394"/>
        <n v="3395"/>
        <n v="3396"/>
        <n v="3397"/>
        <n v="3398"/>
        <n v="3399"/>
        <n v="3400"/>
        <n v="3401"/>
        <n v="3402"/>
        <n v="3403"/>
        <n v="3404"/>
        <n v="3405"/>
        <n v="3406"/>
        <n v="3407"/>
        <n v="3408"/>
        <n v="3409"/>
        <n v="3410"/>
        <n v="3411"/>
        <n v="3412"/>
        <n v="3413"/>
        <n v="3414"/>
        <n v="3415"/>
        <n v="3416"/>
        <n v="3417"/>
        <n v="3418"/>
        <n v="3419"/>
        <n v="3420"/>
        <n v="3421"/>
        <n v="3422"/>
        <n v="3423"/>
        <n v="3424"/>
        <n v="3425"/>
        <n v="3426"/>
        <n v="3427"/>
        <n v="3428"/>
        <n v="3429"/>
        <n v="3430"/>
        <n v="3431"/>
        <n v="3432"/>
        <n v="3433"/>
        <n v="3434"/>
        <n v="3435"/>
        <n v="3436"/>
        <n v="3437"/>
        <n v="3438"/>
        <n v="3439"/>
        <n v="3440"/>
        <n v="3441"/>
        <n v="3442"/>
        <n v="3443"/>
        <n v="3444"/>
        <n v="3445"/>
        <n v="3446"/>
        <n v="3447"/>
        <n v="3448"/>
        <n v="3449"/>
        <n v="3450"/>
        <n v="3451"/>
        <n v="3452"/>
        <n v="3453"/>
        <n v="3454"/>
        <n v="3455"/>
        <n v="3456"/>
        <n v="3457"/>
        <n v="3458"/>
        <n v="3459"/>
        <n v="3460"/>
        <n v="3461"/>
        <n v="3462"/>
        <n v="3463"/>
        <n v="3464"/>
        <n v="3465"/>
        <n v="3466"/>
        <n v="3467"/>
        <n v="3468"/>
        <n v="3469"/>
        <n v="3470"/>
        <n v="3471"/>
        <n v="3472"/>
        <n v="3473"/>
        <n v="3474"/>
        <n v="3475"/>
        <n v="3476"/>
        <n v="3477"/>
        <n v="3478"/>
        <n v="3479"/>
        <n v="3480"/>
        <n v="3481"/>
        <n v="3482"/>
        <n v="3483"/>
        <n v="3484"/>
        <n v="3485"/>
        <n v="3486"/>
        <n v="3487"/>
        <n v="3488"/>
        <n v="3489"/>
        <n v="3490"/>
        <n v="3491"/>
        <n v="3492"/>
        <n v="3493"/>
        <n v="3494"/>
        <n v="3495"/>
        <n v="3496"/>
        <n v="3497"/>
        <n v="3498"/>
        <n v="3499"/>
        <n v="3500"/>
        <n v="3501"/>
        <n v="3502"/>
        <n v="3503"/>
        <n v="3504"/>
        <n v="3505"/>
        <n v="3506"/>
        <n v="3507"/>
        <n v="3508"/>
        <n v="3509"/>
        <n v="3510"/>
        <n v="3511"/>
        <n v="3512"/>
        <n v="3513"/>
        <n v="3514"/>
        <n v="3515"/>
        <n v="3516"/>
        <n v="3517"/>
        <n v="3518"/>
        <n v="3519"/>
        <n v="3520"/>
        <n v="3521"/>
        <n v="3522"/>
        <n v="3523"/>
        <n v="3524"/>
        <n v="3525"/>
        <n v="3526"/>
        <n v="3527"/>
        <n v="3528"/>
        <n v="3529"/>
        <n v="3530"/>
        <n v="3531"/>
        <n v="3532"/>
        <n v="3533"/>
        <n v="3534"/>
        <n v="3535"/>
        <n v="3536"/>
        <n v="3537"/>
        <n v="3538"/>
        <n v="3539"/>
        <n v="3540"/>
        <n v="3541"/>
        <n v="3542"/>
        <n v="3543"/>
        <n v="3544"/>
        <n v="3545"/>
        <n v="3546"/>
        <n v="3547"/>
        <n v="3548"/>
        <n v="3549"/>
        <n v="3550"/>
        <n v="3551"/>
        <n v="3552"/>
        <n v="3553"/>
        <n v="3554"/>
        <n v="3555"/>
        <n v="3556"/>
        <n v="3557"/>
        <n v="3558"/>
        <n v="3559"/>
        <n v="3560"/>
        <n v="3561"/>
        <n v="3562"/>
        <n v="3563"/>
        <n v="3564"/>
        <n v="3565"/>
        <n v="3566"/>
        <n v="3567"/>
        <n v="3568"/>
        <n v="3569"/>
        <n v="3570"/>
        <n v="3571"/>
        <n v="3572"/>
        <n v="3573"/>
        <n v="3574"/>
        <n v="3575"/>
        <n v="3576"/>
        <n v="3577"/>
        <n v="3578"/>
        <n v="3579"/>
        <n v="3580"/>
        <n v="3581"/>
        <n v="3582"/>
        <n v="3583"/>
        <n v="3584"/>
        <n v="3585"/>
        <n v="3586"/>
        <n v="3587"/>
        <n v="3588"/>
        <n v="3589"/>
        <n v="3590"/>
        <n v="3591"/>
        <n v="3592"/>
        <n v="3593"/>
        <n v="3594"/>
        <n v="3595"/>
        <n v="3596"/>
        <n v="3597"/>
        <n v="3598"/>
        <n v="3599"/>
        <n v="3600"/>
        <n v="3601"/>
        <n v="3602"/>
        <n v="3603"/>
        <n v="3604"/>
        <n v="3605"/>
        <n v="3606"/>
        <n v="3607"/>
        <n v="3608"/>
        <n v="3609"/>
        <n v="3610"/>
        <n v="3611"/>
        <n v="3612"/>
        <n v="3613"/>
        <n v="3614"/>
        <n v="3615"/>
        <n v="3616"/>
        <n v="3617"/>
        <n v="3618"/>
        <n v="3619"/>
        <n v="3620"/>
        <n v="3621"/>
        <n v="3622"/>
        <n v="3623"/>
        <n v="3624"/>
        <n v="3625"/>
        <n v="3626"/>
        <n v="3627"/>
        <n v="3628"/>
        <n v="3629"/>
        <n v="3630"/>
        <n v="3631"/>
        <n v="3632"/>
        <n v="3633"/>
        <n v="3634"/>
        <n v="3635"/>
        <n v="3636"/>
        <n v="3637"/>
        <n v="3638"/>
        <n v="3639"/>
        <n v="3640"/>
        <n v="3641"/>
        <n v="3642"/>
        <n v="3643"/>
        <n v="3644"/>
        <n v="3645"/>
        <n v="3646"/>
        <n v="3647"/>
        <n v="3648"/>
        <n v="3649"/>
        <n v="3650"/>
        <n v="3651"/>
        <n v="3652"/>
        <n v="3653"/>
        <n v="3654"/>
        <n v="3655"/>
        <n v="3656"/>
        <n v="3657"/>
        <n v="3658"/>
        <n v="3659"/>
        <n v="3660"/>
        <n v="3661"/>
        <n v="3662"/>
        <n v="3663"/>
        <n v="3664"/>
        <n v="3665"/>
        <n v="3666"/>
        <n v="3667"/>
        <n v="3668"/>
        <n v="3669"/>
        <n v="3670"/>
        <n v="3671"/>
        <n v="3672"/>
        <n v="3673"/>
        <n v="3674"/>
        <n v="3675"/>
        <n v="3676"/>
        <n v="3677"/>
        <n v="3678"/>
        <n v="3679"/>
        <n v="3680"/>
        <n v="3681"/>
        <n v="3682"/>
        <n v="3683"/>
        <n v="3684"/>
        <n v="3685"/>
        <n v="3686"/>
        <n v="3687"/>
        <n v="3688"/>
        <n v="3689"/>
        <n v="3690"/>
        <n v="3691"/>
        <n v="3692"/>
        <n v="3693"/>
        <n v="3694"/>
        <n v="3695"/>
        <n v="3696"/>
        <n v="3697"/>
        <n v="3698"/>
        <n v="3699"/>
        <n v="3700"/>
        <n v="3701"/>
        <n v="3702"/>
        <n v="3703"/>
        <n v="3704"/>
        <n v="3705"/>
        <n v="3706"/>
        <n v="3707"/>
        <n v="3708"/>
        <n v="3709"/>
        <n v="3710"/>
        <n v="3711"/>
        <n v="3712"/>
        <n v="3713"/>
        <n v="3714"/>
        <n v="3715"/>
        <n v="3716"/>
        <n v="3717"/>
        <n v="3718"/>
        <n v="3719"/>
        <n v="3720"/>
        <n v="3721"/>
        <n v="3722"/>
        <n v="3723"/>
        <n v="3724"/>
        <n v="3725"/>
        <n v="3726"/>
        <n v="3727"/>
        <n v="3728"/>
        <n v="3729"/>
        <n v="3730"/>
        <n v="3731"/>
        <n v="3732"/>
        <n v="3733"/>
        <n v="3734"/>
        <n v="3735"/>
        <n v="3736"/>
        <n v="3737"/>
        <n v="3738"/>
        <n v="3739"/>
        <n v="3740"/>
        <n v="3741"/>
        <n v="3742"/>
        <n v="3743"/>
        <n v="3744"/>
        <n v="3745"/>
        <n v="3746"/>
        <n v="3747"/>
        <n v="3748"/>
        <n v="3749"/>
        <n v="3750"/>
        <n v="3751"/>
        <n v="3752"/>
        <n v="3753"/>
        <n v="3754"/>
        <n v="3755"/>
        <n v="3756"/>
        <n v="3757"/>
        <n v="3758"/>
        <n v="3759"/>
        <n v="3760"/>
        <n v="3761"/>
        <n v="3762"/>
        <n v="3763"/>
        <n v="3764"/>
        <n v="3765"/>
        <n v="3766"/>
        <n v="3767"/>
        <n v="3768"/>
        <n v="3769"/>
        <n v="3770"/>
        <n v="3771"/>
        <n v="3772"/>
        <n v="3773"/>
        <n v="3774"/>
        <n v="3775"/>
        <n v="3776"/>
        <n v="3777"/>
        <n v="3778"/>
        <n v="3779"/>
        <n v="3780"/>
        <n v="3781"/>
        <n v="3782"/>
        <n v="3783"/>
        <n v="3784"/>
        <n v="3785"/>
        <n v="3786"/>
        <n v="3787"/>
        <n v="3788"/>
        <n v="3789"/>
        <n v="3790"/>
        <n v="3791"/>
        <n v="3792"/>
        <n v="3793"/>
        <n v="3794"/>
        <n v="3795"/>
        <n v="3796"/>
        <n v="3797"/>
        <n v="3798"/>
        <n v="3799"/>
        <n v="3800"/>
        <n v="3801"/>
        <n v="3802"/>
        <n v="3803"/>
        <n v="3804"/>
        <n v="3805"/>
        <n v="3806"/>
        <n v="3807"/>
        <n v="3808"/>
        <n v="3809"/>
        <n v="3810"/>
        <n v="3811"/>
        <n v="3812"/>
        <n v="3813"/>
        <n v="3814"/>
        <n v="3815"/>
        <n v="3816"/>
        <n v="3817"/>
        <n v="3818"/>
        <n v="3819"/>
        <n v="3820"/>
        <n v="3821"/>
        <n v="3822"/>
        <n v="3823"/>
        <n v="3824"/>
        <n v="3825"/>
        <n v="3826"/>
        <n v="3827"/>
        <n v="3828"/>
        <n v="3829"/>
        <n v="3830"/>
        <n v="3831"/>
        <n v="3832"/>
        <n v="3833"/>
        <n v="3834"/>
        <n v="3835"/>
        <n v="3836"/>
        <n v="3837"/>
        <n v="3838"/>
        <n v="3839"/>
        <n v="3840"/>
        <n v="3841"/>
        <n v="3842"/>
        <n v="3843"/>
        <n v="3844"/>
        <n v="3845"/>
        <n v="3846"/>
        <n v="3847"/>
        <n v="3848"/>
        <n v="3849"/>
        <n v="3850"/>
        <n v="3851"/>
        <n v="3852"/>
        <n v="3853"/>
        <n v="3854"/>
        <n v="3855"/>
        <n v="3856"/>
        <n v="3857"/>
        <n v="3858"/>
        <n v="3859"/>
        <n v="3860"/>
        <n v="3861"/>
        <n v="3862"/>
        <n v="3863"/>
        <n v="3864"/>
        <n v="3865"/>
        <n v="3866"/>
        <n v="3867"/>
        <n v="3868"/>
        <n v="3869"/>
        <n v="3870"/>
        <n v="3871"/>
        <n v="3872"/>
        <n v="3873"/>
        <n v="3874"/>
        <n v="3875"/>
        <n v="3876"/>
        <n v="3877"/>
        <n v="3878"/>
        <n v="3879"/>
        <n v="3880"/>
        <n v="3881"/>
        <n v="3882"/>
        <n v="3883"/>
        <n v="3884"/>
        <n v="3885"/>
        <n v="3886"/>
        <n v="3887"/>
        <n v="3888"/>
        <n v="3889"/>
        <n v="3890"/>
        <n v="3891"/>
        <n v="3892"/>
        <n v="3893"/>
        <n v="3894"/>
        <n v="3895"/>
        <n v="3896"/>
        <n v="3897"/>
        <n v="3898"/>
        <n v="3899"/>
        <n v="3900"/>
        <n v="3901"/>
        <n v="3902"/>
        <n v="3903"/>
        <n v="3904"/>
        <n v="3905"/>
        <n v="3906"/>
        <n v="3907"/>
        <n v="3908"/>
        <n v="3909"/>
        <n v="3910"/>
        <n v="3911"/>
        <n v="3912"/>
        <n v="3913"/>
        <n v="3914"/>
        <n v="3915"/>
        <n v="3916"/>
        <n v="3917"/>
        <n v="3918"/>
        <n v="3919"/>
        <n v="3920"/>
        <n v="3921"/>
        <n v="3922"/>
        <n v="3923"/>
        <n v="3924"/>
        <n v="3925"/>
        <n v="3926"/>
        <n v="3927"/>
        <n v="3928"/>
        <n v="3929"/>
        <n v="3930"/>
        <n v="3931"/>
        <n v="3932"/>
        <n v="3933"/>
        <n v="3934"/>
        <n v="3935"/>
        <n v="3936"/>
        <n v="3937"/>
        <n v="3938"/>
        <n v="3939"/>
        <n v="3940"/>
        <n v="3941"/>
        <n v="3942"/>
        <n v="3943"/>
        <n v="3944"/>
        <n v="3945"/>
        <n v="3946"/>
        <n v="3947"/>
        <n v="3948"/>
        <n v="3949"/>
        <n v="3950"/>
        <n v="3951"/>
        <n v="3952"/>
        <n v="3953"/>
        <n v="3954"/>
        <n v="3955"/>
        <n v="3956"/>
        <n v="3957"/>
        <n v="3958"/>
        <n v="3959"/>
        <n v="3960"/>
        <n v="3961"/>
        <n v="3962"/>
        <n v="3963"/>
        <n v="3964"/>
        <n v="3965"/>
        <n v="3966"/>
        <n v="3967"/>
        <n v="3968"/>
        <n v="3969"/>
        <n v="3970"/>
        <n v="3971"/>
        <n v="3972"/>
        <n v="3973"/>
        <n v="3974"/>
        <n v="3975"/>
        <n v="3976"/>
        <n v="3977"/>
        <n v="3978"/>
        <n v="3979"/>
        <n v="3980"/>
        <n v="3981"/>
        <n v="3982"/>
        <n v="3983"/>
        <n v="3984"/>
        <n v="3985"/>
        <n v="3986"/>
        <n v="3987"/>
        <n v="3988"/>
        <n v="3989"/>
        <n v="3990"/>
        <n v="3991"/>
        <n v="3992"/>
        <n v="3993"/>
        <n v="3994"/>
        <n v="3995"/>
        <n v="3996"/>
        <n v="3997"/>
        <n v="3998"/>
        <n v="3999"/>
        <n v="4000"/>
        <n v="4001"/>
        <n v="4002"/>
        <n v="4003"/>
        <n v="4004"/>
        <n v="4005"/>
        <n v="4006"/>
        <n v="4007"/>
        <n v="4008"/>
        <n v="4009"/>
        <n v="4010"/>
        <n v="4011"/>
        <n v="4012"/>
        <n v="4013"/>
        <n v="4014"/>
        <n v="4015"/>
        <n v="4016"/>
        <n v="4017"/>
        <n v="4018"/>
        <n v="4019"/>
        <n v="4020"/>
        <n v="4021"/>
        <n v="4022"/>
        <n v="4023"/>
        <n v="4024"/>
        <n v="4025"/>
        <n v="4026"/>
        <n v="4027"/>
        <n v="4028"/>
        <n v="4029"/>
        <n v="4030"/>
        <n v="4031"/>
        <n v="4032"/>
        <n v="4033"/>
        <n v="4034"/>
        <n v="4035"/>
        <n v="4036"/>
        <n v="4037"/>
        <n v="4038"/>
        <n v="4039"/>
        <n v="4040"/>
        <n v="4041"/>
        <n v="4042"/>
        <n v="4043"/>
        <n v="4044"/>
        <n v="4045"/>
        <n v="4046"/>
        <n v="4047"/>
        <n v="4048"/>
        <n v="4049"/>
        <n v="4050"/>
        <n v="4051"/>
        <n v="4052"/>
        <n v="4053"/>
        <n v="4054"/>
        <n v="4055"/>
        <n v="4056"/>
        <n v="4057"/>
        <n v="4058"/>
        <n v="4059"/>
        <n v="4060"/>
        <n v="4061"/>
        <n v="4062"/>
        <n v="4063"/>
        <n v="4064"/>
        <n v="4065"/>
        <n v="4066"/>
        <n v="4067"/>
        <n v="4068"/>
        <n v="4069"/>
        <n v="4070"/>
        <n v="4071"/>
        <n v="4072"/>
        <n v="4073"/>
        <n v="4074"/>
        <n v="4075"/>
        <n v="4076"/>
        <n v="4077"/>
        <n v="4078"/>
        <n v="4079"/>
        <n v="4080"/>
        <n v="4081"/>
        <n v="4082"/>
        <n v="4083"/>
        <n v="4084"/>
        <n v="4085"/>
        <n v="4086"/>
        <n v="4087"/>
        <n v="4088"/>
        <n v="4089"/>
        <n v="4090"/>
        <n v="4091"/>
        <n v="4092"/>
        <n v="4093"/>
        <n v="4094"/>
        <n v="4095"/>
        <n v="4096"/>
        <n v="4097"/>
        <n v="4098"/>
        <n v="4099"/>
        <n v="4100"/>
        <n v="4101"/>
        <n v="4102"/>
        <n v="4103"/>
        <n v="4104"/>
        <n v="4105"/>
        <n v="4106"/>
        <n v="4107"/>
        <n v="4108"/>
        <n v="4109"/>
        <n v="4110"/>
        <n v="4111"/>
        <n v="4112"/>
        <n v="4113"/>
        <n v="4114"/>
        <n v="4115"/>
        <n v="4116"/>
        <n v="4117"/>
        <n v="4118"/>
        <n v="4119"/>
        <n v="4120"/>
        <n v="4121"/>
        <n v="4122"/>
        <n v="4123"/>
        <n v="4124"/>
        <n v="4125"/>
        <n v="4126"/>
        <n v="4127"/>
        <n v="4128"/>
        <n v="4129"/>
        <n v="4130"/>
        <n v="4131"/>
        <n v="4132"/>
        <n v="4133"/>
        <n v="4134"/>
        <n v="4135"/>
        <n v="4136"/>
        <n v="4137"/>
        <n v="4138"/>
        <n v="4139"/>
        <n v="4140"/>
        <n v="4141"/>
        <n v="4142"/>
        <n v="4143"/>
        <n v="4144"/>
        <n v="4145"/>
        <n v="4146"/>
        <n v="4147"/>
        <n v="4148"/>
        <n v="4149"/>
        <n v="4150"/>
        <n v="4151"/>
        <n v="4152"/>
        <n v="4153"/>
        <n v="4154"/>
        <n v="4155"/>
        <n v="4156"/>
        <n v="4157"/>
        <n v="4158"/>
        <n v="4159"/>
        <n v="4160"/>
        <n v="4161"/>
        <n v="4162"/>
        <n v="4163"/>
        <n v="4164"/>
        <n v="4165"/>
        <n v="4166"/>
        <n v="4167"/>
        <n v="4168"/>
        <n v="4169"/>
        <n v="4170"/>
        <n v="4171"/>
        <n v="4172"/>
        <n v="4173"/>
        <n v="4174"/>
        <n v="4175"/>
        <n v="4176"/>
        <n v="4177"/>
        <n v="4178"/>
        <n v="4179"/>
        <n v="4180"/>
        <n v="4181"/>
        <n v="4182"/>
        <n v="4183"/>
        <n v="4184"/>
        <n v="4185"/>
        <n v="4186"/>
        <n v="4187"/>
        <n v="4188"/>
        <n v="4189"/>
        <n v="4190"/>
        <n v="4191"/>
        <n v="4192"/>
        <n v="4193"/>
        <n v="4194"/>
        <n v="4195"/>
        <n v="4196"/>
        <n v="4197"/>
        <n v="4198"/>
        <n v="4199"/>
        <n v="4200"/>
        <n v="4201"/>
        <n v="4202"/>
        <n v="4203"/>
        <n v="4204"/>
        <n v="4205"/>
        <n v="4206"/>
        <n v="4207"/>
        <n v="4208"/>
        <n v="4209"/>
        <n v="4210"/>
        <n v="4211"/>
        <n v="4212"/>
        <n v="4213"/>
        <n v="4214"/>
        <n v="4215"/>
        <n v="4216"/>
        <n v="4217"/>
        <n v="4218"/>
        <n v="4219"/>
        <n v="4220"/>
        <n v="4221"/>
        <n v="4222"/>
        <n v="4223"/>
        <n v="4224"/>
        <n v="4225"/>
        <n v="4226"/>
        <n v="4227"/>
        <n v="4228"/>
        <n v="4229"/>
        <n v="4230"/>
        <n v="4231"/>
        <n v="4232"/>
        <n v="4233"/>
        <n v="4234"/>
        <n v="4235"/>
        <n v="4236"/>
        <n v="4237"/>
        <n v="4238"/>
        <n v="4239"/>
        <n v="4240"/>
        <n v="4241"/>
        <n v="4242"/>
        <n v="4243"/>
        <n v="4244"/>
        <n v="4245"/>
        <n v="4246"/>
        <n v="4247"/>
        <n v="4248"/>
        <n v="4249"/>
        <n v="4250"/>
        <n v="4251"/>
        <n v="4252"/>
        <n v="4253"/>
        <n v="4254"/>
        <n v="4255"/>
        <n v="4256"/>
        <n v="4257"/>
        <n v="4258"/>
        <n v="4259"/>
        <n v="4260"/>
        <n v="4261"/>
        <n v="4262"/>
        <n v="4263"/>
        <n v="4264"/>
        <n v="4265"/>
        <n v="4266"/>
        <n v="4267"/>
        <n v="4268"/>
        <n v="4269"/>
        <n v="4270"/>
        <n v="4271"/>
        <n v="4272"/>
        <n v="4273"/>
        <n v="4274"/>
        <n v="4275"/>
        <n v="4276"/>
        <n v="4277"/>
        <n v="4278"/>
        <n v="4279"/>
        <n v="4280"/>
        <n v="4281"/>
        <n v="4282"/>
        <n v="4283"/>
        <n v="4284"/>
        <n v="4285"/>
        <n v="4286"/>
        <n v="4287"/>
        <n v="4288"/>
        <n v="4289"/>
        <n v="4290"/>
        <n v="4291"/>
        <n v="4292"/>
        <n v="4293"/>
        <n v="4294"/>
        <n v="4295"/>
        <n v="4296"/>
        <n v="4297"/>
        <n v="4298"/>
        <n v="4299"/>
        <n v="4300"/>
        <n v="4301"/>
        <n v="4302"/>
        <n v="4303"/>
        <n v="4304"/>
        <n v="4305"/>
        <n v="4306"/>
        <n v="4307"/>
        <n v="4308"/>
        <n v="4309"/>
        <n v="4310"/>
        <n v="4311"/>
        <n v="4312"/>
        <n v="4313"/>
        <n v="4314"/>
        <n v="4315"/>
        <n v="4316"/>
        <n v="4317"/>
        <n v="4318"/>
        <n v="4319"/>
        <n v="4320"/>
        <n v="4321"/>
        <n v="4322"/>
        <n v="4323"/>
        <n v="4324"/>
        <n v="4325"/>
        <n v="4326"/>
        <n v="4327"/>
        <n v="4328"/>
        <n v="4329"/>
        <n v="4330"/>
        <n v="4331"/>
        <n v="4332"/>
        <n v="4333"/>
        <n v="4334"/>
        <n v="4335"/>
        <n v="4336"/>
        <n v="4337"/>
        <n v="4338"/>
        <n v="4339"/>
        <n v="4340"/>
        <n v="4341"/>
        <n v="4342"/>
        <n v="4343"/>
        <n v="4344"/>
        <n v="4345"/>
        <n v="4346"/>
        <n v="4347"/>
        <n v="4348"/>
        <n v="4349"/>
        <n v="4350"/>
        <n v="4351"/>
        <n v="4352"/>
        <n v="4353"/>
        <n v="4354"/>
        <n v="4355"/>
        <n v="4356"/>
        <n v="4357"/>
        <n v="4358"/>
        <n v="4359"/>
        <n v="4360"/>
        <n v="4361"/>
        <n v="4362"/>
        <n v="4363"/>
        <n v="4364"/>
        <n v="4365"/>
        <n v="4366"/>
        <n v="4367"/>
        <n v="4368"/>
        <n v="4369"/>
        <n v="4370"/>
        <n v="4371"/>
        <n v="4372"/>
        <n v="4373"/>
        <n v="4374"/>
        <n v="4375"/>
        <n v="4376"/>
        <n v="4377"/>
        <n v="4378"/>
        <n v="4379"/>
        <n v="4380"/>
        <n v="4381"/>
        <n v="4382"/>
        <n v="4383"/>
        <n v="4384"/>
        <n v="4385"/>
        <n v="4386"/>
        <n v="4387"/>
        <n v="4388"/>
        <n v="4389"/>
        <n v="4390"/>
        <n v="4391"/>
        <n v="4392"/>
        <n v="4393"/>
        <n v="4394"/>
        <n v="4395"/>
        <n v="4396"/>
        <n v="4397"/>
        <n v="4398"/>
        <n v="4399"/>
        <n v="4400"/>
        <n v="4401"/>
        <n v="4402"/>
        <n v="4403"/>
        <n v="4404"/>
        <n v="4405"/>
        <n v="4406"/>
        <n v="4407"/>
        <n v="4408"/>
        <n v="4409"/>
        <n v="4410"/>
        <n v="4411"/>
        <n v="4412"/>
        <n v="4413"/>
        <n v="4414"/>
        <n v="4415"/>
        <n v="4416"/>
        <n v="4417"/>
        <n v="4418"/>
        <n v="4419"/>
        <n v="4420"/>
        <n v="4421"/>
        <n v="4422"/>
        <n v="4423"/>
        <n v="4424"/>
        <n v="4425"/>
        <n v="4426"/>
        <n v="4427"/>
        <n v="4428"/>
        <n v="4429"/>
        <n v="4430"/>
        <n v="4431"/>
        <n v="4432"/>
        <n v="4433"/>
        <n v="4434"/>
        <n v="4435"/>
        <n v="4436"/>
        <n v="4437"/>
        <n v="4438"/>
        <n v="4439"/>
        <n v="4440"/>
        <n v="4441"/>
        <n v="4442"/>
        <n v="4443"/>
        <n v="4444"/>
        <n v="4445"/>
        <n v="4446"/>
        <n v="4447"/>
        <n v="4448"/>
        <n v="4449"/>
        <n v="4450"/>
        <n v="4451"/>
        <n v="4452"/>
        <n v="4453"/>
        <n v="4454"/>
        <n v="4455"/>
        <n v="4456"/>
        <n v="4457"/>
        <n v="4458"/>
        <n v="4459"/>
        <n v="4460"/>
        <n v="4461"/>
        <n v="4462"/>
        <n v="4463"/>
        <n v="4464"/>
        <n v="4465"/>
        <n v="4466"/>
        <n v="4467"/>
        <n v="4468"/>
        <n v="4469"/>
        <n v="4470"/>
        <n v="4471"/>
        <n v="4472"/>
        <n v="4473"/>
        <n v="4474"/>
        <n v="4475"/>
        <n v="4476"/>
        <n v="4477"/>
        <n v="4478"/>
        <n v="4479"/>
        <n v="4480"/>
        <n v="4481"/>
        <n v="4482"/>
        <n v="4483"/>
        <n v="4484"/>
        <n v="4485"/>
        <n v="4486"/>
        <n v="4487"/>
        <n v="4488"/>
        <n v="4489"/>
        <n v="4490"/>
        <n v="4491"/>
        <n v="4492"/>
        <n v="4493"/>
        <n v="4494"/>
        <n v="4495"/>
        <n v="4496"/>
        <n v="4497"/>
        <n v="4498"/>
        <n v="4499"/>
        <n v="4500"/>
        <n v="4501"/>
        <n v="4502"/>
        <n v="4503"/>
        <n v="4504"/>
        <n v="4505"/>
        <n v="4506"/>
        <n v="4507"/>
        <n v="4508"/>
        <n v="4509"/>
        <n v="4510"/>
        <n v="4511"/>
        <n v="4512"/>
        <n v="4513"/>
        <n v="4514"/>
        <n v="4515"/>
        <n v="4516"/>
        <n v="4517"/>
        <n v="4518"/>
        <n v="4519"/>
        <n v="4520"/>
        <n v="4521"/>
        <n v="4522"/>
        <n v="4523"/>
        <n v="4524"/>
        <n v="4525"/>
        <n v="4526"/>
        <n v="4527"/>
        <n v="4528"/>
        <n v="4529"/>
        <n v="4530"/>
        <n v="4531"/>
        <n v="4532"/>
        <n v="4533"/>
        <n v="4534"/>
        <n v="4535"/>
        <n v="4536"/>
        <n v="4537"/>
        <n v="4538"/>
        <n v="4539"/>
        <n v="4540"/>
        <n v="4541"/>
        <n v="4542"/>
        <n v="4543"/>
        <n v="4544"/>
        <n v="4545"/>
        <n v="4546"/>
        <n v="4547"/>
        <n v="4548"/>
        <n v="4549"/>
        <n v="4550"/>
        <n v="4551"/>
        <n v="4552"/>
        <n v="4553"/>
        <n v="4554"/>
        <n v="4555"/>
        <n v="4556"/>
        <n v="4557"/>
        <n v="4558"/>
        <n v="4559"/>
        <n v="4560"/>
        <n v="4561"/>
        <n v="4562"/>
        <n v="4563"/>
        <n v="4564"/>
        <n v="4565"/>
        <n v="4566"/>
        <n v="4567"/>
        <n v="4568"/>
        <n v="4569"/>
        <n v="4570"/>
        <n v="4571"/>
        <n v="4572"/>
        <n v="4573"/>
        <n v="4574"/>
        <n v="4575"/>
        <n v="4576"/>
        <n v="4577"/>
        <n v="4578"/>
        <n v="4579"/>
        <n v="4580"/>
        <n v="4581"/>
        <n v="4582"/>
        <n v="4583"/>
        <n v="4584"/>
        <n v="4585"/>
        <n v="4586"/>
        <n v="4587"/>
        <n v="4588"/>
        <n v="4589"/>
        <n v="4590"/>
        <n v="4591"/>
        <n v="4592"/>
        <n v="4593"/>
        <n v="4594"/>
        <n v="4595"/>
        <n v="4596"/>
        <n v="4597"/>
        <n v="4598"/>
        <n v="4599"/>
        <n v="4600"/>
        <n v="4601"/>
        <n v="4602"/>
        <n v="4603"/>
        <n v="4604"/>
        <n v="4605"/>
        <n v="4606"/>
        <n v="4607"/>
        <n v="4608"/>
        <n v="4609"/>
        <n v="4610"/>
        <n v="4611"/>
        <n v="4612"/>
        <n v="4613"/>
        <n v="4614"/>
        <n v="4615"/>
        <n v="4616"/>
        <n v="4617"/>
        <n v="4618"/>
        <n v="4619"/>
        <n v="4620"/>
        <n v="4621"/>
        <n v="4622"/>
        <n v="4623"/>
        <n v="4624"/>
        <n v="4625"/>
        <n v="4626"/>
        <n v="4627"/>
        <n v="4628"/>
        <n v="4629"/>
        <n v="4630"/>
        <n v="4631"/>
        <n v="4632"/>
        <n v="4633"/>
        <n v="4634"/>
        <n v="4635"/>
        <n v="4636"/>
        <n v="4637"/>
        <n v="4638"/>
        <n v="4639"/>
        <n v="4640"/>
        <n v="4641"/>
        <n v="4642"/>
        <n v="4643"/>
        <n v="4644"/>
        <n v="4645"/>
        <n v="4646"/>
        <n v="4647"/>
        <n v="4648"/>
        <n v="4649"/>
        <n v="4650"/>
        <n v="4651"/>
        <n v="4652"/>
        <n v="4653"/>
        <n v="4654"/>
        <n v="4655"/>
        <n v="4656"/>
        <n v="4657"/>
        <n v="4658"/>
        <n v="4659"/>
        <n v="4660"/>
        <n v="4661"/>
        <n v="4662"/>
        <n v="4663"/>
        <n v="4664"/>
        <n v="4665"/>
        <n v="4666"/>
        <n v="4667"/>
        <n v="4668"/>
        <n v="4669"/>
        <n v="4670"/>
        <n v="4671"/>
        <n v="4672"/>
        <n v="4673"/>
        <n v="4674"/>
        <n v="4675"/>
        <n v="4676"/>
        <n v="4677"/>
        <n v="4678"/>
        <n v="4679"/>
        <n v="4680"/>
        <n v="4681"/>
        <n v="4682"/>
        <n v="4683"/>
        <n v="4684"/>
        <n v="4685"/>
        <n v="4686"/>
        <n v="4687"/>
        <n v="4688"/>
        <n v="4689"/>
        <n v="4690"/>
        <n v="4691"/>
        <n v="4692"/>
        <n v="4693"/>
        <n v="4694"/>
        <n v="4695"/>
        <n v="4696"/>
        <n v="4697"/>
        <n v="4698"/>
        <n v="4699"/>
        <n v="4700"/>
        <n v="4701"/>
        <n v="4702"/>
        <n v="4703"/>
        <n v="4704"/>
        <n v="4705"/>
        <n v="4706"/>
        <n v="4707"/>
        <n v="4708"/>
        <n v="4709"/>
        <n v="4710"/>
        <n v="4711"/>
        <n v="4712"/>
        <n v="4713"/>
        <n v="4714"/>
        <n v="4715"/>
        <n v="4716"/>
        <n v="4717"/>
        <n v="4718"/>
        <n v="4719"/>
        <n v="4720"/>
        <n v="4721"/>
        <n v="4722"/>
        <n v="4723"/>
        <n v="4724"/>
        <n v="4725"/>
        <n v="4726"/>
        <n v="4727"/>
        <n v="4728"/>
        <n v="4729"/>
        <n v="4730"/>
        <n v="4731"/>
        <n v="4732"/>
        <n v="4733"/>
        <n v="4734"/>
        <n v="4735"/>
        <n v="4736"/>
        <n v="4737"/>
        <n v="4738"/>
        <n v="4739"/>
        <n v="4740"/>
        <n v="4741"/>
        <n v="4742"/>
        <n v="4743"/>
        <n v="4744"/>
        <n v="4745"/>
        <n v="4746"/>
        <n v="4747"/>
        <n v="4748"/>
        <n v="4749"/>
        <n v="4750"/>
        <n v="4751"/>
        <n v="4752"/>
        <n v="4753"/>
        <n v="4754"/>
        <n v="4755"/>
        <n v="4756"/>
        <n v="4757"/>
        <n v="4758"/>
        <n v="4759"/>
        <n v="4760"/>
        <n v="4761"/>
        <n v="4762"/>
        <n v="4763"/>
        <n v="4764"/>
        <n v="4765"/>
        <n v="4766"/>
        <n v="4767"/>
        <n v="4768"/>
        <n v="4769"/>
        <n v="4770"/>
        <n v="4771"/>
        <n v="4772"/>
        <n v="4773"/>
        <n v="4774"/>
        <n v="4775"/>
        <n v="4776"/>
        <n v="4777"/>
        <n v="4778"/>
        <n v="4779"/>
        <n v="4780"/>
        <n v="4781"/>
        <n v="4782"/>
        <n v="4783"/>
        <n v="4784"/>
        <n v="4785"/>
        <n v="4786"/>
        <n v="4787"/>
        <n v="4788"/>
        <n v="4789"/>
        <n v="4790"/>
        <n v="4791"/>
        <n v="4792"/>
        <n v="4793"/>
        <n v="4794"/>
        <n v="4795"/>
        <n v="4796"/>
        <n v="4797"/>
        <n v="4798"/>
        <n v="4799"/>
        <n v="4800"/>
        <n v="4801"/>
        <n v="4802"/>
        <n v="4803"/>
        <n v="4804"/>
        <n v="4805"/>
        <n v="4806"/>
        <n v="4807"/>
        <n v="4808"/>
        <n v="4809"/>
        <n v="4810"/>
        <n v="4811"/>
        <n v="4812"/>
        <n v="4813"/>
        <n v="4814"/>
        <n v="4815"/>
        <n v="4816"/>
        <n v="4817"/>
        <n v="4818"/>
        <n v="4819"/>
        <n v="4820"/>
        <n v="4821"/>
        <n v="4822"/>
        <n v="4823"/>
        <n v="4824"/>
        <n v="4825"/>
        <n v="4826"/>
        <n v="4827"/>
        <n v="4828"/>
        <n v="4829"/>
        <n v="4830"/>
        <n v="4831"/>
        <n v="4832"/>
        <n v="4833"/>
        <n v="4834"/>
        <n v="4835"/>
        <n v="4836"/>
        <n v="4837"/>
        <n v="4838"/>
        <n v="4839"/>
        <n v="4840"/>
        <n v="4841"/>
        <n v="4842"/>
        <n v="4843"/>
        <n v="4844"/>
        <n v="4845"/>
        <n v="4846"/>
        <n v="4847"/>
        <n v="4848"/>
        <n v="4849"/>
        <n v="4850"/>
        <n v="4851"/>
        <n v="4852"/>
        <n v="4853"/>
        <n v="4854"/>
        <n v="4855"/>
        <n v="4856"/>
        <n v="4857"/>
        <n v="4858"/>
        <n v="4859"/>
        <n v="4860"/>
        <n v="4861"/>
        <n v="4862"/>
        <n v="4863"/>
        <n v="4864"/>
        <n v="4865"/>
        <n v="4866"/>
        <n v="4867"/>
        <n v="4868"/>
        <n v="4869"/>
        <n v="4870"/>
        <n v="4871"/>
        <n v="4872"/>
        <n v="4873"/>
        <n v="4874"/>
        <n v="4875"/>
        <n v="4876"/>
        <n v="4877"/>
        <n v="4878"/>
        <n v="4879"/>
        <n v="4880"/>
        <n v="4881"/>
        <n v="4882"/>
        <n v="4883"/>
        <n v="4884"/>
        <n v="4885"/>
        <n v="4886"/>
        <n v="4887"/>
        <n v="4888"/>
        <n v="4889"/>
        <n v="4890"/>
        <n v="4891"/>
        <n v="4892"/>
        <n v="4893"/>
        <n v="4894"/>
        <n v="4895"/>
        <n v="4896"/>
        <n v="4897"/>
        <n v="4898"/>
        <n v="4899"/>
        <n v="4900"/>
        <n v="4901"/>
        <n v="4902"/>
        <n v="4903"/>
        <n v="4904"/>
        <n v="4905"/>
        <n v="4906"/>
        <n v="4907"/>
        <n v="4908"/>
        <n v="4909"/>
        <n v="4910"/>
        <n v="4911"/>
        <n v="4912"/>
        <n v="4913"/>
        <n v="4914"/>
        <n v="4915"/>
        <n v="4916"/>
        <n v="4917"/>
        <n v="4918"/>
        <n v="4919"/>
        <n v="4920"/>
        <n v="4921"/>
        <n v="4922"/>
        <n v="4923"/>
        <n v="4924"/>
        <n v="4925"/>
        <n v="4926"/>
        <n v="4927"/>
        <n v="4928"/>
        <n v="4929"/>
        <n v="4930"/>
        <n v="4931"/>
        <n v="4932"/>
        <n v="4933"/>
        <n v="4934"/>
        <n v="4935"/>
        <n v="4936"/>
        <n v="4937"/>
        <n v="4938"/>
        <n v="4939"/>
        <n v="4940"/>
        <n v="4941"/>
        <n v="4942"/>
        <n v="4943"/>
        <n v="4944"/>
        <n v="4945"/>
        <n v="4946"/>
        <n v="4947"/>
        <n v="4948"/>
        <n v="4949"/>
        <n v="4950"/>
        <n v="4951"/>
        <n v="4952"/>
        <n v="4953"/>
        <n v="4954"/>
        <n v="4955"/>
        <n v="4956"/>
        <n v="4957"/>
        <n v="4958"/>
        <n v="4959"/>
        <n v="4960"/>
        <n v="4961"/>
        <n v="4962"/>
        <n v="4963"/>
        <n v="4964"/>
        <n v="4965"/>
        <n v="4966"/>
        <n v="4967"/>
        <n v="4968"/>
        <n v="4969"/>
        <n v="4970"/>
        <n v="4971"/>
        <n v="4972"/>
        <n v="4973"/>
        <n v="4974"/>
        <n v="4975"/>
        <n v="4976"/>
        <n v="4977"/>
        <n v="4978"/>
        <n v="4979"/>
        <n v="4980"/>
        <n v="4981"/>
        <n v="4982"/>
        <n v="4983"/>
        <n v="4984"/>
        <n v="4985"/>
        <n v="4986"/>
        <n v="4987"/>
        <n v="4988"/>
        <n v="4989"/>
        <n v="4990"/>
        <n v="4991"/>
        <n v="4992"/>
        <n v="4993"/>
        <n v="4994"/>
        <n v="4995"/>
        <n v="4996"/>
        <n v="4997"/>
        <n v="4998"/>
        <n v="4999"/>
        <n v="5000"/>
        <n v="5001"/>
        <n v="5002"/>
        <n v="5003"/>
        <n v="5004"/>
        <n v="5005"/>
        <n v="5006"/>
        <n v="5007"/>
        <n v="5008"/>
        <n v="5009"/>
        <n v="5010"/>
        <n v="5011"/>
        <n v="5012"/>
        <n v="5013"/>
        <n v="5014"/>
        <n v="5015"/>
        <n v="5016"/>
        <n v="5017"/>
        <n v="5018"/>
        <n v="5019"/>
        <n v="5020"/>
        <n v="5021"/>
        <n v="5022"/>
        <n v="5023"/>
        <n v="5024"/>
        <n v="5025"/>
        <n v="5026"/>
        <n v="5027"/>
        <n v="5028"/>
        <n v="5029"/>
        <n v="5030"/>
        <n v="5031"/>
        <n v="5032"/>
        <n v="5033"/>
        <n v="5034"/>
        <n v="5035"/>
        <n v="5036"/>
        <n v="5037"/>
        <n v="5038"/>
        <n v="5039"/>
        <n v="5040"/>
        <n v="5041"/>
        <n v="5042"/>
        <n v="5043"/>
        <n v="5044"/>
        <n v="5045"/>
        <n v="5046"/>
        <n v="5047"/>
        <n v="5048"/>
        <n v="5049"/>
        <n v="5050"/>
        <n v="5051"/>
        <n v="5052"/>
        <n v="5053"/>
        <n v="5054"/>
        <n v="5055"/>
        <n v="5056"/>
        <n v="5057"/>
        <n v="5058"/>
        <n v="5059"/>
        <n v="5060"/>
        <n v="5061"/>
        <n v="5062"/>
        <n v="5063"/>
        <n v="5064"/>
        <n v="5065"/>
        <n v="5066"/>
        <n v="5067"/>
        <n v="5068"/>
        <n v="5069"/>
        <n v="5070"/>
        <n v="5071"/>
        <n v="5072"/>
        <n v="5073"/>
        <n v="5074"/>
        <n v="5075"/>
        <n v="5076"/>
        <n v="5077"/>
        <n v="5078"/>
        <n v="5079"/>
        <n v="5080"/>
        <n v="5081"/>
        <n v="5082"/>
        <n v="5083"/>
        <n v="5084"/>
        <n v="5085"/>
        <n v="5086"/>
        <n v="5087"/>
        <n v="5088"/>
        <n v="5089"/>
        <n v="5090"/>
        <n v="5091"/>
        <n v="5092"/>
        <n v="5093"/>
        <n v="5094"/>
        <n v="5095"/>
        <n v="5096"/>
        <n v="5097"/>
        <n v="5098"/>
        <n v="5099"/>
        <n v="5100"/>
        <n v="5101"/>
        <n v="5102"/>
        <n v="5103"/>
        <n v="5104"/>
        <n v="5105"/>
        <n v="5106"/>
        <n v="5107"/>
        <n v="5108"/>
        <n v="5109"/>
        <n v="5110"/>
        <n v="5111"/>
        <n v="5112"/>
        <n v="5113"/>
        <n v="5114"/>
        <n v="5115"/>
        <n v="5116"/>
        <n v="5117"/>
        <n v="5118"/>
        <n v="5119"/>
        <n v="5120"/>
        <n v="5121"/>
        <n v="5122"/>
        <n v="5123"/>
        <n v="5124"/>
        <n v="5125"/>
        <n v="5126"/>
        <n v="5127"/>
        <n v="5128"/>
        <n v="5129"/>
        <n v="5130"/>
        <n v="5131"/>
        <n v="5132"/>
        <n v="5133"/>
        <n v="5134"/>
        <n v="5135"/>
        <n v="5136"/>
        <n v="5137"/>
        <n v="5138"/>
        <n v="5139"/>
        <n v="5140"/>
        <n v="5141"/>
        <n v="5142"/>
        <n v="5143"/>
        <n v="5144"/>
        <n v="5145"/>
        <n v="5146"/>
        <n v="5147"/>
        <n v="5148"/>
        <n v="5149"/>
        <n v="5150"/>
        <n v="5151"/>
        <n v="5152"/>
        <n v="5153"/>
        <n v="5154"/>
        <n v="5155"/>
        <n v="5156"/>
        <n v="5157"/>
        <n v="5158"/>
        <n v="5159"/>
        <n v="5160"/>
        <n v="5161"/>
        <n v="5162"/>
        <n v="5163"/>
        <n v="5164"/>
        <n v="5165"/>
        <n v="5166"/>
        <n v="5167"/>
        <n v="5168"/>
        <n v="5169"/>
        <n v="5170"/>
        <n v="5171"/>
        <n v="5172"/>
        <n v="5173"/>
        <n v="5174"/>
        <n v="5175"/>
        <n v="5176"/>
        <n v="5177"/>
        <n v="5178"/>
        <n v="5179"/>
        <n v="5180"/>
        <n v="5181"/>
        <n v="5182"/>
        <n v="5183"/>
        <n v="5184"/>
        <n v="5185"/>
        <n v="5186"/>
        <n v="5187"/>
        <n v="5188"/>
        <n v="5189"/>
        <n v="5190"/>
        <n v="5191"/>
        <n v="5192"/>
        <n v="5193"/>
        <n v="5194"/>
        <n v="5195"/>
        <n v="5196"/>
        <n v="5197"/>
        <n v="5198"/>
        <n v="5199"/>
        <n v="5200"/>
        <n v="5201"/>
        <n v="5202"/>
        <n v="5203"/>
        <n v="5204"/>
        <n v="5205"/>
        <n v="5206"/>
        <n v="5207"/>
        <n v="5208"/>
        <n v="5209"/>
        <n v="5210"/>
        <n v="5211"/>
        <n v="5212"/>
        <n v="5213"/>
        <n v="5214"/>
        <n v="5215"/>
        <n v="5216"/>
        <n v="5217"/>
        <n v="5218"/>
        <n v="5219"/>
        <n v="5220"/>
        <n v="5221"/>
        <n v="5222"/>
        <n v="5223"/>
        <n v="5224"/>
        <n v="5225"/>
        <n v="5226"/>
        <n v="5227"/>
        <n v="5228"/>
        <n v="5229"/>
        <n v="5230"/>
        <n v="5231"/>
        <n v="5232"/>
        <n v="5233"/>
        <n v="5234"/>
        <n v="5235"/>
        <n v="5236"/>
        <n v="5237"/>
        <n v="5238"/>
        <n v="5239"/>
        <n v="5240"/>
        <n v="5241"/>
        <n v="5242"/>
        <n v="5243"/>
        <n v="5244"/>
        <n v="5245"/>
        <n v="5246"/>
        <n v="5247"/>
        <n v="5248"/>
        <n v="5249"/>
        <n v="5250"/>
        <n v="5251"/>
        <n v="5252"/>
        <n v="5253"/>
        <n v="5254"/>
        <n v="5255"/>
        <n v="5256"/>
        <n v="5257"/>
        <n v="5258"/>
        <n v="5259"/>
        <n v="5260"/>
        <n v="5261"/>
        <n v="5262"/>
        <n v="5263"/>
        <n v="5264"/>
        <n v="5265"/>
        <n v="5266"/>
        <n v="5267"/>
        <n v="5268"/>
        <n v="5269"/>
        <n v="5270"/>
        <n v="5271"/>
        <n v="5272"/>
        <n v="5273"/>
        <n v="5274"/>
        <n v="5275"/>
        <n v="5276"/>
        <n v="5277"/>
        <n v="5278"/>
        <n v="5279"/>
        <n v="5280"/>
        <n v="5281"/>
        <n v="5282"/>
        <n v="5283"/>
        <n v="5284"/>
        <n v="5285"/>
        <n v="5286"/>
        <n v="5287"/>
        <n v="5288"/>
        <n v="5289"/>
        <n v="5290"/>
        <n v="5291"/>
        <n v="5292"/>
        <n v="5293"/>
        <n v="5294"/>
        <n v="5295"/>
        <n v="5296"/>
        <n v="5297"/>
        <n v="5298"/>
        <n v="5299"/>
        <n v="5300"/>
        <n v="5301"/>
        <n v="5302"/>
        <n v="5303"/>
        <n v="5304"/>
        <n v="5305"/>
        <n v="5306"/>
        <n v="5307"/>
        <n v="5308"/>
        <n v="5309"/>
        <n v="5310"/>
        <n v="5311"/>
        <n v="5312"/>
        <n v="5313"/>
        <n v="5314"/>
        <n v="5315"/>
        <n v="5316"/>
        <n v="5317"/>
        <n v="5318"/>
        <n v="5319"/>
        <n v="5320"/>
        <n v="5321"/>
        <n v="5322"/>
        <n v="5323"/>
        <n v="5324"/>
        <n v="5325"/>
        <n v="5326"/>
        <n v="5327"/>
        <n v="5328"/>
        <n v="5329"/>
        <n v="5330"/>
        <n v="5331"/>
        <n v="5332"/>
        <n v="5333"/>
        <n v="5334"/>
        <n v="5335"/>
        <n v="5336"/>
        <n v="5337"/>
        <n v="5338"/>
        <n v="5339"/>
        <n v="5340"/>
        <n v="5341"/>
        <n v="5342"/>
        <n v="5343"/>
        <n v="5344"/>
        <n v="5345"/>
        <n v="5346"/>
        <n v="5347"/>
        <n v="5348"/>
        <n v="5349"/>
        <n v="5350"/>
        <n v="5351"/>
        <n v="5352"/>
        <n v="5353"/>
        <n v="5354"/>
        <n v="5355"/>
        <n v="5356"/>
        <n v="5357"/>
        <n v="5358"/>
        <n v="5359"/>
        <n v="5360"/>
        <n v="5361"/>
        <n v="5362"/>
        <n v="5363"/>
        <n v="5364"/>
        <n v="5365"/>
        <n v="5366"/>
        <n v="5367"/>
        <n v="5368"/>
        <n v="5369"/>
        <n v="5370"/>
        <n v="5371"/>
        <n v="5372"/>
        <n v="5373"/>
        <n v="5374"/>
        <n v="5375"/>
        <n v="5376"/>
        <n v="5377"/>
        <n v="5378"/>
        <n v="5379"/>
        <n v="5380"/>
        <n v="5381"/>
        <n v="5382"/>
        <n v="5383"/>
        <n v="5384"/>
        <n v="5385"/>
        <n v="5386"/>
        <n v="5387"/>
        <n v="5388"/>
        <n v="5389"/>
        <n v="5390"/>
        <n v="5391"/>
        <n v="5392"/>
        <n v="5393"/>
        <n v="5394"/>
        <n v="5395"/>
        <n v="5396"/>
        <n v="5397"/>
        <n v="5398"/>
        <n v="5399"/>
        <n v="5400"/>
        <n v="5401"/>
        <n v="5402"/>
        <n v="5403"/>
        <n v="5404"/>
        <n v="5405"/>
        <n v="5406"/>
        <n v="5407"/>
        <n v="5408"/>
        <n v="5409"/>
        <n v="5410"/>
        <n v="5411"/>
        <n v="5412"/>
        <n v="5413"/>
        <n v="5414"/>
        <n v="5415"/>
        <n v="5416"/>
        <n v="5417"/>
        <n v="5418"/>
        <n v="5419"/>
        <n v="5420"/>
        <n v="5421"/>
        <n v="5422"/>
        <n v="5423"/>
        <n v="5424"/>
        <n v="5425"/>
        <n v="5426"/>
        <n v="5427"/>
        <n v="5428"/>
        <n v="5429"/>
        <n v="5430"/>
        <n v="5431"/>
        <n v="5432"/>
        <n v="5433"/>
        <n v="5434"/>
        <n v="5435"/>
        <n v="5436"/>
        <n v="5437"/>
        <n v="5438"/>
        <n v="5439"/>
        <n v="5440"/>
        <n v="5441"/>
        <n v="5442"/>
        <n v="5443"/>
        <n v="5444"/>
        <n v="5445"/>
        <n v="5446"/>
        <n v="5447"/>
        <n v="5448"/>
        <n v="5449"/>
        <n v="5450"/>
        <n v="5451"/>
        <n v="5452"/>
        <n v="5453"/>
        <n v="5454"/>
        <n v="5455"/>
        <n v="5456"/>
        <n v="5457"/>
        <n v="5458"/>
        <n v="5459"/>
        <n v="5460"/>
        <n v="5461"/>
        <n v="5462"/>
        <n v="5463"/>
        <n v="5464"/>
        <n v="5465"/>
        <n v="5466"/>
        <n v="5467"/>
        <n v="5468"/>
        <n v="5469"/>
        <n v="5470"/>
        <n v="5471"/>
        <n v="5472"/>
        <n v="5473"/>
        <n v="5474"/>
        <n v="5475"/>
        <n v="5476"/>
        <n v="5477"/>
        <n v="5478"/>
        <n v="5479"/>
        <n v="5480"/>
        <n v="5481"/>
        <n v="5482"/>
        <n v="5483"/>
        <n v="5484"/>
        <n v="5485"/>
        <n v="5486"/>
        <n v="5487"/>
        <n v="5488"/>
        <n v="5489"/>
        <n v="5490"/>
        <n v="5491"/>
        <n v="5492"/>
        <n v="5493"/>
        <n v="5494"/>
        <n v="5495"/>
        <n v="5496"/>
        <n v="5497"/>
        <n v="5498"/>
        <n v="5499"/>
        <n v="5500"/>
        <n v="5501"/>
        <n v="5502"/>
        <n v="5503"/>
        <n v="5504"/>
        <n v="5505"/>
        <n v="5506"/>
        <n v="5507"/>
        <n v="5508"/>
        <n v="5509"/>
        <n v="5510"/>
        <n v="5511"/>
        <n v="5512"/>
        <n v="5513"/>
        <n v="5514"/>
        <n v="5515"/>
        <n v="5516"/>
        <n v="5517"/>
        <n v="5518"/>
        <n v="5519"/>
        <n v="5520"/>
        <n v="5521"/>
        <n v="5522"/>
        <n v="5523"/>
        <n v="5524"/>
        <n v="5525"/>
        <n v="5526"/>
        <n v="5527"/>
        <n v="5528"/>
        <n v="5529"/>
        <n v="5530"/>
        <n v="5531"/>
        <n v="5532"/>
        <n v="5533"/>
        <n v="5534"/>
        <n v="5535"/>
        <n v="5536"/>
        <n v="5537"/>
        <n v="5538"/>
        <n v="5539"/>
        <n v="5540"/>
        <n v="5541"/>
        <n v="5542"/>
        <n v="5543"/>
        <n v="5544"/>
        <n v="5545"/>
        <n v="5546"/>
        <n v="5547"/>
        <n v="5548"/>
        <n v="5549"/>
        <n v="5550"/>
        <n v="5551"/>
        <n v="5552"/>
        <n v="5553"/>
        <n v="5554"/>
        <n v="5555"/>
        <n v="5556"/>
        <n v="5557"/>
        <n v="5558"/>
        <n v="5559"/>
        <n v="5560"/>
        <n v="5561"/>
        <n v="5562"/>
        <n v="5563"/>
        <n v="5564"/>
        <n v="5565"/>
        <n v="5566"/>
        <n v="5567"/>
        <n v="5568"/>
        <n v="5569"/>
        <n v="5570"/>
        <n v="5571"/>
        <n v="5572"/>
        <n v="5573"/>
        <n v="5574"/>
        <n v="5575"/>
        <n v="5576"/>
        <n v="5577"/>
        <n v="5578"/>
        <n v="5579"/>
        <n v="5580"/>
        <n v="5581"/>
        <n v="5582"/>
        <n v="5583"/>
        <n v="5584"/>
        <n v="5585"/>
        <n v="5586"/>
        <n v="5587"/>
        <n v="5588"/>
        <n v="5589"/>
        <n v="5590"/>
        <n v="5591"/>
        <n v="5592"/>
        <n v="5593"/>
        <n v="5594"/>
        <n v="5595"/>
        <n v="5596"/>
        <n v="5597"/>
        <n v="5598"/>
        <n v="5599"/>
        <n v="5600"/>
        <n v="5601"/>
        <n v="5602"/>
        <n v="5603"/>
        <n v="5604"/>
        <n v="5605"/>
        <n v="5606"/>
        <n v="5607"/>
        <n v="5608"/>
        <n v="5609"/>
        <n v="5610"/>
        <n v="5611"/>
        <n v="5612"/>
        <n v="5613"/>
        <n v="5614"/>
        <n v="5615"/>
        <n v="5616"/>
        <n v="5617"/>
        <n v="5618"/>
        <n v="5619"/>
        <n v="5620"/>
        <n v="5621"/>
        <n v="5622"/>
        <n v="5623"/>
        <n v="5624"/>
        <n v="5625"/>
        <n v="5626"/>
        <n v="5627"/>
        <n v="5628"/>
        <n v="5629"/>
        <n v="5630"/>
        <n v="5631"/>
        <n v="5632"/>
        <n v="5633"/>
        <n v="5634"/>
        <n v="5635"/>
        <n v="5636"/>
        <n v="5637"/>
        <n v="5638"/>
        <n v="5639"/>
        <n v="5640"/>
        <n v="5641"/>
        <n v="5642"/>
        <n v="5643"/>
        <n v="5644"/>
        <n v="5645"/>
        <n v="5646"/>
        <n v="5647"/>
        <n v="5648"/>
        <n v="5649"/>
        <n v="5650"/>
        <n v="5651"/>
        <n v="5652"/>
        <n v="5653"/>
        <n v="5654"/>
        <n v="5655"/>
        <n v="5656"/>
        <n v="5657"/>
        <n v="5658"/>
        <n v="5659"/>
        <n v="5660"/>
        <n v="5661"/>
        <n v="5662"/>
        <n v="5663"/>
        <n v="5664"/>
        <n v="5665"/>
        <n v="5666"/>
        <n v="5667"/>
        <n v="5668"/>
        <n v="5669"/>
        <n v="5670"/>
        <n v="5671"/>
        <n v="5672"/>
        <n v="5673"/>
        <n v="5674"/>
        <n v="5675"/>
        <n v="5676"/>
        <n v="5677"/>
        <n v="5678"/>
        <n v="5679"/>
        <n v="5680"/>
        <n v="5681"/>
        <n v="5682"/>
        <n v="5683"/>
        <n v="5684"/>
        <n v="5685"/>
        <n v="5686"/>
        <n v="5687"/>
        <n v="5688"/>
        <n v="5689"/>
        <n v="5690"/>
        <n v="5691"/>
        <n v="5692"/>
        <n v="5693"/>
        <n v="5694"/>
        <n v="5695"/>
        <n v="5696"/>
        <n v="5697"/>
        <n v="5698"/>
        <n v="5699"/>
        <n v="5700"/>
        <n v="5701"/>
        <n v="5702"/>
        <n v="5703"/>
        <n v="5704"/>
        <n v="5705"/>
        <n v="5706"/>
        <n v="5707"/>
        <n v="5708"/>
        <n v="5709"/>
        <n v="5710"/>
        <n v="5711"/>
        <n v="5712"/>
        <n v="5713"/>
        <n v="5714"/>
        <n v="5715"/>
        <n v="5716"/>
        <n v="5717"/>
        <n v="5718"/>
        <n v="5719"/>
        <n v="5720"/>
        <n v="5721"/>
        <n v="5722"/>
        <n v="5723"/>
        <n v="5724"/>
        <n v="5725"/>
        <n v="5726"/>
        <n v="5727"/>
        <n v="5728"/>
        <n v="5729"/>
        <n v="5730"/>
        <n v="5731"/>
        <n v="5732"/>
        <n v="5733"/>
        <n v="5734"/>
        <n v="5735"/>
        <n v="5736"/>
        <n v="5737"/>
        <n v="5738"/>
        <n v="5739"/>
        <n v="5740"/>
        <n v="5741"/>
        <n v="5742"/>
        <n v="5743"/>
        <n v="5744"/>
        <n v="5745"/>
        <n v="5746"/>
        <n v="5747"/>
        <n v="5748"/>
        <n v="5749"/>
        <n v="5750"/>
        <n v="5751"/>
        <n v="5752"/>
        <n v="5753"/>
        <n v="5754"/>
        <n v="5755"/>
        <n v="5756"/>
        <n v="5757"/>
        <n v="5758"/>
        <n v="5759"/>
        <n v="5760"/>
        <n v="5761"/>
        <n v="5762"/>
        <n v="5763"/>
        <n v="5764"/>
        <n v="5765"/>
        <n v="5766"/>
        <n v="5767"/>
        <n v="5768"/>
        <n v="5769"/>
        <n v="5770"/>
        <n v="5771"/>
        <n v="5772"/>
        <n v="5773"/>
        <n v="5774"/>
        <n v="5775"/>
        <n v="5776"/>
        <n v="5777"/>
        <n v="5778"/>
        <n v="5779"/>
        <n v="5780"/>
        <n v="5781"/>
        <n v="5782"/>
        <n v="5783"/>
        <n v="5784"/>
        <n v="5785"/>
        <n v="5786"/>
        <n v="5787"/>
        <n v="5788"/>
        <n v="5789"/>
        <n v="5790"/>
        <n v="5791"/>
        <n v="5792"/>
        <n v="5793"/>
        <n v="5794"/>
        <n v="5795"/>
        <n v="5796"/>
        <n v="5797"/>
        <n v="5798"/>
        <n v="5799"/>
        <n v="5800"/>
        <n v="5801"/>
        <n v="5802"/>
        <n v="5803"/>
        <n v="5804"/>
        <n v="5805"/>
        <n v="5806"/>
        <n v="5807"/>
        <n v="5808"/>
        <n v="5809"/>
        <n v="5810"/>
        <n v="5811"/>
        <n v="5812"/>
        <n v="5813"/>
        <n v="5814"/>
        <n v="5815"/>
        <n v="5816"/>
        <n v="5817"/>
        <n v="5818"/>
        <n v="5819"/>
        <n v="5820"/>
        <n v="5821"/>
        <n v="5822"/>
        <n v="5823"/>
        <n v="5824"/>
        <n v="5825"/>
        <n v="5826"/>
        <n v="5827"/>
        <n v="5828"/>
        <n v="5829"/>
        <n v="5830"/>
        <n v="5831"/>
        <n v="5832"/>
        <n v="5833"/>
        <n v="5834"/>
        <n v="5835"/>
        <n v="5836"/>
        <n v="5837"/>
        <n v="5838"/>
        <n v="5839"/>
        <n v="5840"/>
        <n v="5841"/>
        <n v="5842"/>
        <n v="5843"/>
        <n v="5844"/>
        <n v="5845"/>
        <n v="5846"/>
        <n v="5847"/>
        <n v="5848"/>
        <n v="5849"/>
        <n v="5850"/>
        <n v="5851"/>
        <n v="5852"/>
        <n v="5853"/>
        <n v="5854"/>
        <n v="5855"/>
        <n v="5856"/>
        <n v="5857"/>
        <n v="5858"/>
        <n v="5859"/>
        <n v="5860"/>
        <n v="5861"/>
        <n v="5862"/>
        <n v="5863"/>
        <n v="5864"/>
        <n v="5865"/>
        <n v="5866"/>
        <n v="5867"/>
        <n v="5868"/>
        <n v="5869"/>
        <n v="5870"/>
        <n v="5871"/>
        <n v="5872"/>
        <n v="5873"/>
        <n v="5874"/>
        <n v="5875"/>
        <n v="5876"/>
        <n v="5877"/>
        <n v="5878"/>
        <n v="5879"/>
        <n v="5880"/>
        <n v="5881"/>
        <n v="5882"/>
        <n v="5883"/>
        <n v="5884"/>
        <n v="5885"/>
        <n v="5886"/>
        <n v="5887"/>
        <n v="5888"/>
        <n v="5889"/>
        <n v="5890"/>
        <n v="5891"/>
        <n v="5892"/>
        <n v="5893"/>
        <n v="5894"/>
        <n v="5895"/>
        <n v="5896"/>
        <n v="5897"/>
        <n v="5898"/>
        <n v="5899"/>
        <n v="5900"/>
        <n v="5901"/>
        <n v="5902"/>
        <n v="5903"/>
        <n v="5904"/>
        <n v="5905"/>
        <n v="5906"/>
        <n v="5907"/>
        <n v="5908"/>
        <n v="5909"/>
        <n v="5910"/>
        <n v="5911"/>
        <n v="5912"/>
        <n v="5913"/>
        <n v="5914"/>
        <n v="5915"/>
        <n v="5916"/>
        <n v="5917"/>
        <n v="5918"/>
        <n v="5919"/>
        <n v="5920"/>
        <n v="5921"/>
        <n v="5922"/>
        <n v="5923"/>
        <n v="5924"/>
        <n v="5925"/>
        <n v="5926"/>
        <n v="5927"/>
        <n v="5928"/>
        <n v="5929"/>
        <n v="5930"/>
        <n v="5931"/>
        <n v="5932"/>
        <n v="5933"/>
        <n v="5934"/>
        <n v="5935"/>
        <n v="5936"/>
        <n v="5937"/>
        <n v="5938"/>
        <n v="5939"/>
        <n v="5940"/>
        <n v="5941"/>
        <n v="5942"/>
        <n v="5943"/>
        <n v="5944"/>
        <n v="5945"/>
        <n v="5946"/>
        <n v="5947"/>
        <n v="5948"/>
        <n v="5949"/>
        <n v="5950"/>
        <n v="5951"/>
        <n v="5952"/>
        <n v="5953"/>
        <n v="5954"/>
        <n v="5955"/>
        <n v="5956"/>
        <n v="5957"/>
        <n v="5958"/>
        <n v="5959"/>
        <n v="5960"/>
        <n v="5961"/>
        <n v="5962"/>
        <n v="5963"/>
        <n v="5964"/>
        <n v="5965"/>
        <n v="5966"/>
        <n v="5967"/>
        <n v="5968"/>
        <n v="5969"/>
        <n v="5970"/>
        <n v="5971"/>
        <n v="5972"/>
        <n v="5973"/>
        <n v="5974"/>
        <n v="5975"/>
        <n v="5976"/>
        <n v="5977"/>
        <n v="5978"/>
        <n v="5979"/>
        <n v="5980"/>
        <n v="5981"/>
        <n v="5982"/>
        <n v="5983"/>
        <n v="5984"/>
        <n v="5985"/>
        <n v="5986"/>
        <n v="5987"/>
        <n v="5988"/>
        <n v="5989"/>
        <n v="5990"/>
        <n v="5991"/>
        <n v="5992"/>
        <n v="5993"/>
        <n v="5994"/>
        <n v="5995"/>
        <n v="5996"/>
        <n v="5997"/>
        <n v="5998"/>
        <n v="5999"/>
        <n v="6000"/>
        <n v="6001"/>
        <n v="6002"/>
        <n v="6003"/>
        <n v="6004"/>
        <n v="6005"/>
        <n v="6006"/>
        <n v="6007"/>
        <n v="6008"/>
        <n v="6009"/>
        <n v="6010"/>
        <n v="6011"/>
        <n v="6012"/>
        <n v="6013"/>
        <n v="6014"/>
        <n v="6015"/>
        <n v="6016"/>
        <n v="6017"/>
        <n v="6018"/>
        <n v="6019"/>
        <n v="6020"/>
        <n v="6021"/>
        <n v="6022"/>
        <n v="6023"/>
        <n v="6024"/>
        <n v="6025"/>
        <n v="6026"/>
        <n v="6027"/>
        <n v="6028"/>
        <n v="6029"/>
        <n v="6030"/>
        <n v="6031"/>
        <n v="6032"/>
        <n v="6033"/>
        <n v="6034"/>
        <n v="6035"/>
        <n v="6036"/>
        <n v="6037"/>
        <n v="6038"/>
        <n v="6039"/>
        <n v="6040"/>
        <n v="6041"/>
        <n v="6042"/>
        <n v="6043"/>
        <n v="6044"/>
        <n v="6045"/>
        <n v="6046"/>
        <n v="6047"/>
        <n v="6048"/>
        <n v="6049"/>
        <n v="6050"/>
        <n v="6051"/>
        <n v="6052"/>
        <n v="6053"/>
        <n v="6054"/>
        <n v="6055"/>
        <n v="6056"/>
        <n v="6057"/>
        <n v="6058"/>
        <n v="6059"/>
        <n v="6060"/>
        <n v="6061"/>
        <n v="6062"/>
        <n v="6063"/>
        <n v="6064"/>
        <n v="6065"/>
        <n v="6066"/>
        <n v="6067"/>
        <n v="6068"/>
        <n v="6069"/>
        <n v="6070"/>
        <n v="6071"/>
        <n v="6072"/>
        <n v="6073"/>
        <n v="6074"/>
        <n v="6075"/>
        <n v="6076"/>
        <n v="6077"/>
        <n v="6078"/>
        <n v="6079"/>
        <n v="6080"/>
        <n v="6081"/>
        <n v="6082"/>
        <n v="6083"/>
        <n v="6084"/>
        <n v="6085"/>
        <n v="6086"/>
        <n v="6087"/>
        <n v="6088"/>
        <n v="6089"/>
        <n v="6090"/>
        <n v="6091"/>
        <n v="6092"/>
        <n v="6093"/>
        <n v="6094"/>
        <n v="6095"/>
        <n v="6096"/>
        <n v="6097"/>
        <n v="6098"/>
        <n v="6099"/>
        <n v="6100"/>
        <n v="6101"/>
        <n v="6102"/>
        <n v="6103"/>
        <n v="6104"/>
        <n v="6105"/>
        <n v="6106"/>
        <n v="6107"/>
        <n v="6108"/>
        <n v="6109"/>
        <n v="6110"/>
        <n v="6111"/>
        <n v="6112"/>
        <n v="6113"/>
        <n v="6114"/>
        <n v="6115"/>
        <n v="6116"/>
        <n v="6117"/>
        <n v="6118"/>
        <n v="6119"/>
        <n v="6120"/>
        <n v="6121"/>
        <n v="6122"/>
        <n v="6123"/>
        <n v="6124"/>
        <n v="6125"/>
        <n v="6126"/>
        <n v="6127"/>
        <n v="6128"/>
        <n v="6129"/>
        <n v="6130"/>
        <n v="6131"/>
        <n v="6132"/>
        <n v="6133"/>
        <n v="6134"/>
        <n v="6135"/>
        <n v="6136"/>
        <n v="6137"/>
        <n v="6138"/>
        <n v="6139"/>
        <n v="6140"/>
        <n v="6141"/>
        <n v="6142"/>
        <n v="6143"/>
        <n v="6144"/>
        <n v="6145"/>
        <n v="6146"/>
        <n v="6147"/>
        <n v="6148"/>
        <n v="6149"/>
        <n v="6150"/>
        <n v="6151"/>
        <n v="6152"/>
        <n v="6153"/>
        <n v="6154"/>
        <n v="6155"/>
        <n v="6156"/>
        <n v="6157"/>
        <n v="6158"/>
        <n v="6159"/>
        <n v="6160"/>
        <n v="6161"/>
        <n v="6162"/>
        <n v="6163"/>
        <n v="6164"/>
        <n v="6165"/>
        <n v="6166"/>
        <n v="6167"/>
        <n v="6168"/>
        <n v="6169"/>
        <n v="6170"/>
        <n v="6171"/>
        <n v="6172"/>
        <n v="6173"/>
        <n v="6174"/>
        <n v="6175"/>
        <n v="6176"/>
        <n v="6177"/>
        <n v="6178"/>
        <n v="6179"/>
        <n v="6180"/>
        <n v="6181"/>
        <n v="6182"/>
        <n v="6183"/>
        <n v="6184"/>
        <n v="6185"/>
        <n v="6186"/>
        <n v="6187"/>
        <n v="6188"/>
        <n v="6189"/>
        <n v="6190"/>
        <n v="6191"/>
        <n v="6192"/>
        <n v="6193"/>
        <n v="6194"/>
        <n v="6195"/>
        <n v="6196"/>
        <n v="6197"/>
        <n v="6198"/>
        <n v="6199"/>
        <n v="6200"/>
        <n v="6201"/>
        <n v="6202"/>
        <n v="6203"/>
        <n v="6204"/>
        <n v="6205"/>
        <n v="6206"/>
        <n v="6207"/>
        <n v="6208"/>
        <n v="6209"/>
        <n v="6210"/>
        <n v="6211"/>
        <n v="6212"/>
        <n v="6213"/>
        <n v="6214"/>
        <n v="6215"/>
        <n v="6216"/>
        <n v="6217"/>
        <n v="6218"/>
        <n v="6219"/>
        <n v="6220"/>
        <n v="6221"/>
        <n v="6222"/>
        <n v="6223"/>
        <n v="6224"/>
        <n v="6225"/>
        <n v="6226"/>
        <n v="6227"/>
        <n v="6228"/>
        <n v="6229"/>
        <n v="6230"/>
        <n v="6231"/>
        <n v="6232"/>
        <n v="6233"/>
        <n v="6234"/>
        <n v="6235"/>
        <n v="6236"/>
        <n v="6237"/>
        <n v="6238"/>
        <n v="6239"/>
        <n v="6240"/>
        <n v="6241"/>
        <n v="6242"/>
        <n v="6243"/>
        <n v="6244"/>
        <n v="6245"/>
        <n v="6246"/>
        <n v="6247"/>
        <n v="6248"/>
        <n v="6249"/>
        <n v="6250"/>
        <n v="6251"/>
        <n v="6252"/>
        <n v="6253"/>
        <n v="6254"/>
        <n v="6255"/>
        <n v="6256"/>
        <n v="6257"/>
        <n v="6258"/>
        <n v="6259"/>
        <n v="6260"/>
        <n v="6261"/>
        <n v="6262"/>
        <n v="6263"/>
        <n v="6264"/>
        <n v="6265"/>
        <n v="6266"/>
        <n v="6267"/>
        <n v="6268"/>
        <n v="6269"/>
        <n v="6270"/>
        <n v="6271"/>
        <n v="6272"/>
        <n v="6273"/>
        <n v="6274"/>
        <n v="6275"/>
        <n v="6276"/>
        <n v="6277"/>
        <n v="6278"/>
        <n v="6279"/>
        <n v="6280"/>
        <n v="6281"/>
        <n v="6282"/>
        <n v="6283"/>
        <n v="6284"/>
        <n v="6285"/>
        <n v="6286"/>
        <n v="6287"/>
        <n v="6288"/>
        <n v="6289"/>
        <n v="6290"/>
        <n v="6291"/>
        <n v="6292"/>
        <n v="6293"/>
        <n v="6294"/>
        <n v="6295"/>
        <n v="6296"/>
        <n v="6297"/>
        <n v="6298"/>
        <n v="6299"/>
        <n v="6300"/>
        <n v="6301"/>
        <n v="6302"/>
        <n v="6303"/>
        <n v="6304"/>
        <n v="6305"/>
        <n v="6306"/>
        <n v="6307"/>
        <n v="6308"/>
        <n v="6309"/>
        <n v="6310"/>
        <n v="6311"/>
        <n v="6312"/>
        <n v="6313"/>
        <n v="6314"/>
        <n v="6315"/>
        <n v="6316"/>
        <n v="6317"/>
        <n v="6318"/>
        <n v="6319"/>
        <n v="6320"/>
        <n v="6321"/>
        <n v="6322"/>
        <n v="6323"/>
        <n v="6324"/>
        <n v="6325"/>
        <n v="6326"/>
        <n v="6327"/>
        <n v="6328"/>
        <n v="6329"/>
        <n v="6330"/>
        <n v="6331"/>
        <n v="6332"/>
        <n v="6333"/>
        <n v="6334"/>
        <n v="6335"/>
        <n v="6336"/>
        <n v="6337"/>
        <n v="6338"/>
        <n v="6339"/>
        <n v="6340"/>
        <n v="6341"/>
        <n v="6342"/>
        <n v="6343"/>
        <n v="6344"/>
        <n v="6345"/>
        <n v="6346"/>
        <n v="6347"/>
        <n v="6348"/>
        <n v="6349"/>
        <n v="6350"/>
        <n v="6351"/>
        <n v="6352"/>
        <n v="6353"/>
        <n v="6354"/>
        <n v="6355"/>
        <n v="6356"/>
        <n v="6357"/>
        <n v="6358"/>
        <n v="6359"/>
        <n v="6360"/>
        <n v="6361"/>
        <n v="6362"/>
        <n v="6363"/>
        <n v="6364"/>
        <n v="6365"/>
        <n v="6366"/>
        <n v="6367"/>
        <n v="6368"/>
        <n v="6369"/>
        <n v="6370"/>
        <n v="6371"/>
        <n v="6372"/>
        <n v="6373"/>
        <n v="6374"/>
        <n v="6375"/>
        <n v="6376"/>
        <n v="6377"/>
        <n v="6378"/>
        <n v="6379"/>
        <n v="6380"/>
        <n v="6381"/>
        <n v="6382"/>
        <n v="6383"/>
        <n v="6384"/>
        <n v="6385"/>
        <n v="6386"/>
        <n v="6387"/>
        <n v="6388"/>
        <n v="6389"/>
        <n v="6390"/>
        <n v="6391"/>
        <n v="6392"/>
        <n v="6393"/>
        <n v="6394"/>
        <n v="6395"/>
        <n v="6396"/>
        <n v="6397"/>
        <n v="6398"/>
        <n v="6399"/>
        <n v="6400"/>
        <n v="6401"/>
        <n v="6402"/>
        <n v="6403"/>
        <n v="6404"/>
        <n v="6405"/>
        <n v="6406"/>
        <n v="6407"/>
        <n v="6408"/>
        <n v="6409"/>
        <n v="6410"/>
        <n v="6411"/>
        <n v="6412"/>
        <n v="6413"/>
        <n v="6414"/>
        <n v="6415"/>
        <n v="6416"/>
        <n v="6417"/>
        <n v="6418"/>
        <n v="6419"/>
        <n v="6420"/>
        <n v="6421"/>
        <n v="6422"/>
        <n v="6423"/>
        <n v="6424"/>
        <n v="6425"/>
        <n v="6426"/>
        <n v="6427"/>
        <n v="6428"/>
        <n v="6429"/>
        <n v="6430"/>
        <n v="6431"/>
        <n v="6432"/>
        <n v="6433"/>
        <n v="6434"/>
        <n v="6435"/>
        <n v="6436"/>
        <n v="6437"/>
        <n v="6438"/>
        <n v="6439"/>
        <n v="6440"/>
        <n v="6441"/>
        <n v="6442"/>
        <n v="6443"/>
        <n v="6444"/>
        <n v="6445"/>
        <n v="6446"/>
        <n v="6447"/>
        <n v="6448"/>
        <n v="6449"/>
        <n v="6450"/>
        <n v="6451"/>
        <n v="6452"/>
        <n v="6453"/>
        <n v="6454"/>
        <n v="6455"/>
        <n v="6456"/>
        <n v="6457"/>
        <n v="6458"/>
        <n v="6459"/>
        <n v="6460"/>
        <n v="6461"/>
        <n v="6462"/>
        <n v="6463"/>
        <n v="6464"/>
        <n v="6465"/>
        <n v="6466"/>
        <n v="6467"/>
        <n v="6468"/>
        <n v="6469"/>
        <n v="6470"/>
        <n v="6471"/>
        <n v="6472"/>
        <n v="6473"/>
        <n v="6474"/>
        <n v="6475"/>
        <n v="6476"/>
        <n v="6477"/>
        <n v="6478"/>
        <n v="6479"/>
        <n v="6480"/>
        <n v="6481"/>
        <n v="6482"/>
        <n v="6483"/>
        <n v="6484"/>
        <n v="6485"/>
        <n v="6486"/>
        <n v="6487"/>
        <n v="6488"/>
        <n v="6489"/>
        <n v="6490"/>
        <n v="6491"/>
        <n v="6492"/>
        <n v="6493"/>
        <n v="6494"/>
        <n v="6495"/>
        <n v="6496"/>
        <n v="6497"/>
        <n v="6498"/>
        <n v="6499"/>
        <n v="6500"/>
        <n v="6501"/>
        <n v="6502"/>
        <n v="6503"/>
        <n v="6504"/>
        <n v="6505"/>
        <n v="6506"/>
        <n v="6507"/>
        <n v="6508"/>
        <n v="6509"/>
        <n v="6510"/>
        <n v="6511"/>
        <n v="6512"/>
        <n v="6513"/>
        <n v="6514"/>
        <n v="6515"/>
        <n v="6516"/>
        <n v="6517"/>
        <n v="6518"/>
        <n v="6519"/>
        <n v="6520"/>
        <n v="6521"/>
        <n v="6522"/>
        <n v="6523"/>
        <n v="6524"/>
        <n v="6525"/>
        <n v="6526"/>
        <n v="6527"/>
        <n v="6528"/>
        <n v="6529"/>
        <n v="6530"/>
        <n v="6531"/>
        <n v="6532"/>
        <n v="6533"/>
        <n v="6534"/>
        <n v="6535"/>
        <n v="6536"/>
        <n v="6537"/>
        <n v="6538"/>
        <n v="6539"/>
        <n v="6540"/>
        <n v="6541"/>
        <n v="6542"/>
        <n v="6543"/>
        <n v="6544"/>
        <n v="6545"/>
        <n v="6546"/>
        <n v="6547"/>
        <n v="6548"/>
        <n v="6549"/>
        <n v="6550"/>
        <n v="6551"/>
        <n v="6552"/>
        <n v="6553"/>
        <n v="6554"/>
        <n v="6555"/>
        <n v="6556"/>
        <n v="6557"/>
        <n v="6558"/>
        <n v="6559"/>
        <n v="6560"/>
        <n v="6561"/>
        <n v="6562"/>
        <n v="6563"/>
        <n v="6564"/>
        <n v="6565"/>
        <n v="6566"/>
        <n v="6567"/>
        <n v="6568"/>
        <n v="6569"/>
        <n v="6570"/>
        <n v="6571"/>
        <n v="6572"/>
        <n v="6573"/>
        <n v="6574"/>
        <n v="6575"/>
        <n v="6576"/>
        <n v="6577"/>
        <n v="6578"/>
        <n v="6579"/>
        <n v="6580"/>
        <n v="6581"/>
        <n v="6582"/>
        <n v="6583"/>
        <n v="6584"/>
        <n v="6585"/>
        <n v="6586"/>
        <n v="6587"/>
        <n v="6588"/>
        <n v="6589"/>
        <n v="6590"/>
        <n v="6591"/>
        <n v="6592"/>
        <n v="6593"/>
        <n v="6594"/>
        <n v="6595"/>
        <n v="6596"/>
        <n v="6597"/>
        <n v="6598"/>
        <n v="6599"/>
        <n v="6600"/>
        <n v="6601"/>
        <n v="6602"/>
        <n v="6603"/>
        <n v="6604"/>
        <n v="6605"/>
        <n v="6606"/>
        <n v="6607"/>
        <n v="6608"/>
        <n v="6609"/>
        <n v="6610"/>
        <n v="6611"/>
        <n v="6612"/>
        <n v="6613"/>
        <n v="6614"/>
        <n v="6615"/>
        <n v="6616"/>
        <n v="6617"/>
        <n v="6618"/>
        <n v="6619"/>
        <n v="6620"/>
        <n v="6621"/>
        <n v="6622"/>
        <n v="6623"/>
        <n v="6624"/>
        <n v="6625"/>
        <n v="6626"/>
        <n v="6627"/>
        <n v="6628"/>
        <n v="6629"/>
        <n v="6630"/>
        <n v="6631"/>
        <n v="6632"/>
        <n v="6633"/>
        <n v="6634"/>
        <n v="6635"/>
        <n v="6636"/>
        <n v="6637"/>
        <n v="6638"/>
        <n v="6639"/>
        <n v="6640"/>
        <n v="6641"/>
        <n v="6642"/>
        <n v="6643"/>
        <n v="6644"/>
        <n v="6645"/>
        <n v="6646"/>
        <n v="6647"/>
        <n v="6648"/>
        <n v="6649"/>
        <n v="6650"/>
        <n v="6651"/>
        <n v="6652"/>
        <n v="6653"/>
        <n v="6654"/>
        <n v="6655"/>
        <n v="6656"/>
        <n v="6657"/>
        <n v="6658"/>
        <n v="6659"/>
        <n v="6660"/>
        <n v="6661"/>
        <n v="6662"/>
        <n v="6663"/>
        <n v="6664"/>
        <n v="6665"/>
        <n v="6666"/>
        <n v="6667"/>
        <n v="6668"/>
        <n v="6669"/>
        <n v="6670"/>
        <n v="6671"/>
        <n v="6672"/>
        <n v="6673"/>
        <n v="6674"/>
        <n v="6675"/>
        <n v="6676"/>
        <n v="6677"/>
        <n v="6678"/>
        <n v="6679"/>
        <n v="6680"/>
        <n v="6681"/>
        <n v="6682"/>
        <n v="6683"/>
        <n v="6684"/>
        <n v="6685"/>
        <n v="6686"/>
        <n v="6687"/>
        <n v="6688"/>
        <n v="6689"/>
        <n v="6690"/>
        <n v="6691"/>
        <n v="6692"/>
        <n v="6693"/>
        <n v="6694"/>
        <n v="6695"/>
        <n v="6696"/>
        <n v="6697"/>
        <n v="6698"/>
        <n v="6699"/>
        <n v="6700"/>
        <n v="6701"/>
        <n v="6702"/>
        <n v="6703"/>
        <n v="6704"/>
        <n v="6705"/>
        <n v="6706"/>
        <n v="6707"/>
        <n v="6708"/>
        <n v="6709"/>
        <n v="6710"/>
        <n v="6711"/>
        <n v="6712"/>
        <n v="6713"/>
        <n v="6714"/>
        <n v="6715"/>
        <n v="6716"/>
        <n v="6717"/>
        <n v="6718"/>
        <n v="6719"/>
        <n v="6720"/>
        <n v="6721"/>
        <n v="6722"/>
        <n v="6723"/>
        <n v="6724"/>
        <n v="6725"/>
        <n v="6726"/>
        <n v="6727"/>
        <n v="6728"/>
        <n v="6729"/>
        <n v="6730"/>
        <n v="6731"/>
        <n v="6732"/>
        <n v="6733"/>
        <n v="6734"/>
        <n v="6735"/>
        <n v="6736"/>
        <n v="6737"/>
        <n v="6738"/>
        <n v="6739"/>
        <n v="6740"/>
        <n v="6741"/>
        <n v="6742"/>
        <n v="6743"/>
        <n v="6744"/>
        <n v="6745"/>
        <n v="6746"/>
        <n v="6747"/>
        <n v="6748"/>
        <n v="6749"/>
        <n v="6750"/>
        <n v="6751"/>
        <n v="6752"/>
        <n v="6753"/>
        <n v="6754"/>
        <n v="6755"/>
        <n v="6756"/>
        <n v="6757"/>
        <n v="6758"/>
        <n v="6759"/>
        <n v="6760"/>
        <n v="6761"/>
        <n v="6762"/>
        <n v="6763"/>
        <n v="6764"/>
        <n v="6765"/>
        <n v="6766"/>
        <n v="6767"/>
        <n v="6768"/>
        <n v="6769"/>
        <n v="6770"/>
        <n v="6771"/>
        <n v="6772"/>
        <n v="6773"/>
        <n v="6774"/>
        <n v="6775"/>
        <n v="6776"/>
        <n v="6777"/>
        <n v="6778"/>
        <n v="6779"/>
        <n v="6780"/>
        <n v="6781"/>
        <n v="6782"/>
        <n v="6783"/>
        <n v="6784"/>
        <n v="6785"/>
        <n v="6786"/>
        <n v="6787"/>
        <n v="6788"/>
        <n v="6789"/>
        <n v="6790"/>
        <n v="6791"/>
        <n v="6792"/>
        <n v="6793"/>
        <n v="6794"/>
        <n v="6795"/>
        <n v="6796"/>
        <n v="6797"/>
        <n v="6798"/>
        <n v="6799"/>
        <n v="6800"/>
        <n v="6801"/>
        <n v="6802"/>
        <n v="6803"/>
        <n v="6804"/>
        <n v="6805"/>
        <n v="6806"/>
        <n v="6807"/>
        <n v="6808"/>
        <n v="6809"/>
        <n v="6810"/>
        <n v="6811"/>
        <n v="6812"/>
        <n v="6813"/>
        <n v="6814"/>
        <n v="6815"/>
        <n v="6816"/>
        <n v="6817"/>
        <n v="6818"/>
        <n v="6819"/>
        <n v="6820"/>
        <n v="6821"/>
        <n v="6822"/>
        <n v="6823"/>
        <n v="6824"/>
        <n v="6825"/>
        <n v="6826"/>
        <n v="6827"/>
        <n v="6828"/>
        <n v="6829"/>
        <n v="6830"/>
        <n v="6831"/>
        <n v="6832"/>
        <n v="6833"/>
        <n v="6834"/>
        <n v="6835"/>
        <n v="6836"/>
        <n v="6837"/>
        <n v="6838"/>
        <n v="6839"/>
        <n v="6840"/>
        <n v="6841"/>
        <n v="6842"/>
        <n v="6843"/>
        <n v="6844"/>
        <n v="6845"/>
        <n v="6846"/>
        <n v="6847"/>
        <n v="6848"/>
        <n v="6849"/>
        <n v="6850"/>
        <n v="6851"/>
        <n v="6852"/>
        <n v="6853"/>
        <n v="6854"/>
        <n v="6855"/>
        <n v="6856"/>
        <n v="6857"/>
        <n v="6858"/>
        <n v="6859"/>
        <n v="6860"/>
        <n v="6861"/>
        <n v="6862"/>
        <n v="6863"/>
        <n v="6864"/>
        <n v="6865"/>
        <n v="6866"/>
        <n v="6867"/>
        <n v="6868"/>
        <n v="6869"/>
        <n v="6870"/>
        <n v="6871"/>
        <n v="6872"/>
        <n v="6873"/>
        <n v="6874"/>
        <n v="6875"/>
        <n v="6876"/>
        <n v="6877"/>
        <n v="6878"/>
        <n v="6879"/>
        <n v="6880"/>
        <n v="6881"/>
        <n v="6882"/>
        <n v="6883"/>
        <n v="6884"/>
        <n v="6885"/>
        <n v="6886"/>
        <n v="6887"/>
        <n v="6888"/>
        <n v="6889"/>
        <n v="6890"/>
        <n v="6891"/>
        <n v="6892"/>
        <n v="6893"/>
        <n v="6894"/>
        <n v="6895"/>
        <n v="6896"/>
        <n v="6897"/>
        <n v="6898"/>
        <n v="6899"/>
        <n v="6900"/>
        <n v="6901"/>
        <n v="6902"/>
        <n v="6903"/>
        <n v="6904"/>
        <n v="6905"/>
        <n v="6906"/>
        <n v="6907"/>
        <n v="6908"/>
        <n v="6909"/>
        <n v="6910"/>
        <n v="6911"/>
        <n v="6912"/>
        <n v="6913"/>
        <n v="6914"/>
        <n v="6915"/>
        <n v="6916"/>
        <n v="6917"/>
        <n v="6918"/>
        <n v="6919"/>
        <n v="6920"/>
        <n v="6921"/>
        <n v="6922"/>
        <n v="6923"/>
        <n v="6924"/>
        <n v="6925"/>
        <n v="6926"/>
        <n v="6927"/>
        <n v="6928"/>
        <n v="6929"/>
        <n v="6930"/>
        <n v="6931"/>
        <n v="6932"/>
        <n v="6933"/>
        <n v="6934"/>
        <n v="6935"/>
        <n v="6936"/>
        <n v="6937"/>
        <n v="6938"/>
        <n v="6939"/>
        <n v="6940"/>
        <n v="6941"/>
        <n v="6942"/>
        <n v="6943"/>
        <n v="6944"/>
        <n v="6945"/>
        <n v="6946"/>
        <n v="6947"/>
        <n v="6948"/>
        <n v="6949"/>
        <n v="6950"/>
        <n v="6951"/>
        <n v="6952"/>
        <n v="6953"/>
        <n v="6954"/>
        <n v="6955"/>
        <n v="6956"/>
        <n v="6957"/>
        <n v="6958"/>
        <n v="6959"/>
        <n v="6960"/>
        <n v="6961"/>
        <n v="6962"/>
        <n v="6963"/>
        <n v="6964"/>
        <n v="6965"/>
        <n v="6966"/>
        <n v="6967"/>
        <n v="6968"/>
        <n v="6969"/>
        <n v="6970"/>
        <n v="6971"/>
        <n v="6972"/>
        <n v="6973"/>
        <n v="6974"/>
        <n v="6975"/>
        <n v="6976"/>
        <n v="6977"/>
        <n v="6978"/>
        <n v="6979"/>
        <n v="6980"/>
        <n v="6981"/>
        <n v="6982"/>
        <n v="6983"/>
        <n v="6984"/>
        <n v="6985"/>
        <n v="6986"/>
        <n v="6987"/>
        <n v="6988"/>
        <n v="6989"/>
        <n v="6990"/>
        <n v="6991"/>
        <n v="6992"/>
        <n v="6993"/>
        <n v="6994"/>
        <n v="6995"/>
        <n v="6996"/>
        <n v="6997"/>
        <n v="6998"/>
        <n v="6999"/>
        <n v="7000"/>
        <n v="7001"/>
        <n v="7002"/>
        <n v="7003"/>
        <n v="7004"/>
        <n v="7005"/>
        <n v="7006"/>
        <n v="7007"/>
        <n v="7008"/>
        <n v="7009"/>
        <n v="7010"/>
        <n v="7011"/>
        <n v="7012"/>
        <n v="7013"/>
        <n v="7014"/>
        <n v="7015"/>
        <n v="7016"/>
        <n v="7017"/>
        <n v="7018"/>
        <n v="7019"/>
        <n v="7020"/>
        <n v="7021"/>
        <n v="7022"/>
        <n v="7023"/>
        <n v="7024"/>
        <n v="7025"/>
        <n v="7026"/>
        <n v="7027"/>
        <n v="7028"/>
        <n v="7029"/>
        <n v="7030"/>
        <n v="7031"/>
        <n v="7032"/>
        <n v="7033"/>
        <n v="7034"/>
        <n v="7035"/>
        <n v="7036"/>
        <n v="7037"/>
        <n v="7038"/>
        <n v="7039"/>
        <n v="7040"/>
        <n v="7041"/>
        <n v="7042"/>
        <n v="7043"/>
        <n v="7044"/>
        <n v="7045"/>
        <n v="7046"/>
        <n v="7047"/>
        <n v="7048"/>
        <n v="7049"/>
        <n v="7050"/>
        <n v="7051"/>
        <n v="7052"/>
        <n v="7053"/>
        <n v="7054"/>
        <n v="7055"/>
        <n v="7056"/>
        <n v="7057"/>
        <n v="7058"/>
        <n v="7059"/>
        <n v="7060"/>
        <n v="7061"/>
        <n v="7062"/>
        <n v="7063"/>
        <n v="7064"/>
        <n v="7065"/>
        <n v="7066"/>
        <n v="7067"/>
        <n v="7068"/>
        <n v="7069"/>
        <n v="7070"/>
        <n v="7071"/>
        <n v="7072"/>
        <n v="7073"/>
        <n v="7074"/>
        <n v="7075"/>
        <n v="7076"/>
        <n v="7077"/>
        <n v="7078"/>
        <n v="7079"/>
        <n v="7080"/>
        <n v="7081"/>
        <n v="7082"/>
        <n v="7083"/>
        <n v="7084"/>
        <n v="7085"/>
        <n v="7086"/>
        <n v="7087"/>
        <n v="7088"/>
        <n v="7089"/>
        <n v="7090"/>
        <n v="7091"/>
        <n v="7092"/>
        <n v="7093"/>
        <n v="7094"/>
        <n v="7095"/>
        <n v="7096"/>
        <n v="7097"/>
        <n v="7098"/>
        <n v="7099"/>
        <n v="7100"/>
        <n v="7101"/>
        <n v="7102"/>
        <n v="7103"/>
        <n v="7104"/>
        <n v="7105"/>
        <n v="7106"/>
        <n v="7107"/>
        <n v="7108"/>
        <n v="7109"/>
        <n v="7110"/>
        <n v="7111"/>
        <n v="7112"/>
        <n v="7113"/>
        <n v="7114"/>
        <n v="7115"/>
        <n v="7116"/>
        <n v="7117"/>
        <n v="7118"/>
        <n v="7119"/>
        <n v="7120"/>
        <n v="7121"/>
        <n v="7122"/>
        <n v="7123"/>
        <n v="7124"/>
        <n v="7125"/>
        <n v="7126"/>
        <n v="7127"/>
        <n v="7128"/>
        <n v="7129"/>
        <n v="7130"/>
        <n v="7131"/>
        <n v="7132"/>
        <n v="7133"/>
        <n v="7134"/>
        <n v="7135"/>
        <n v="7136"/>
        <n v="7137"/>
        <n v="7138"/>
        <n v="7139"/>
        <n v="7140"/>
        <n v="7141"/>
        <n v="7142"/>
        <n v="7143"/>
        <n v="7144"/>
        <n v="7145"/>
        <n v="7146"/>
        <n v="7147"/>
        <n v="7148"/>
        <n v="7149"/>
        <n v="7150"/>
        <n v="7151"/>
        <n v="7152"/>
        <n v="7153"/>
        <n v="7154"/>
        <n v="7155"/>
        <n v="7156"/>
        <n v="7157"/>
        <n v="7158"/>
        <n v="7159"/>
        <n v="7160"/>
        <n v="7161"/>
        <n v="7162"/>
        <n v="7163"/>
        <n v="7164"/>
        <n v="7165"/>
        <n v="7166"/>
        <n v="7167"/>
        <n v="7168"/>
        <n v="7169"/>
        <n v="7170"/>
        <n v="7171"/>
        <n v="7172"/>
        <n v="7173"/>
        <n v="7174"/>
        <n v="7175"/>
        <n v="7176"/>
        <n v="7177"/>
        <n v="7178"/>
        <n v="7179"/>
        <n v="7180"/>
        <n v="7181"/>
        <n v="7182"/>
        <n v="7183"/>
        <n v="7184"/>
        <n v="7185"/>
        <n v="7186"/>
        <n v="7187"/>
        <n v="7188"/>
        <n v="7189"/>
        <n v="7190"/>
        <n v="7191"/>
        <n v="7192"/>
        <n v="7193"/>
        <n v="7194"/>
        <n v="7195"/>
        <n v="7196"/>
        <n v="7197"/>
        <n v="7198"/>
        <n v="7199"/>
        <n v="7200"/>
        <n v="7201"/>
        <n v="7202"/>
        <n v="7203"/>
        <n v="7204"/>
        <n v="7205"/>
        <n v="7206"/>
        <n v="7207"/>
        <n v="7208"/>
        <n v="7209"/>
        <n v="7210"/>
        <n v="7211"/>
        <n v="7212"/>
        <n v="7213"/>
        <n v="7214"/>
        <n v="7215"/>
        <n v="7216"/>
        <n v="7217"/>
        <n v="7218"/>
        <n v="7219"/>
        <n v="7220"/>
        <n v="7221"/>
        <n v="7222"/>
        <n v="7223"/>
        <n v="7224"/>
        <n v="7225"/>
        <n v="7226"/>
        <n v="7227"/>
        <n v="7228"/>
        <n v="7229"/>
        <n v="7230"/>
        <n v="7231"/>
        <n v="7232"/>
        <n v="7233"/>
        <n v="7234"/>
        <n v="7235"/>
        <n v="7236"/>
        <n v="7237"/>
        <n v="7238"/>
        <n v="7239"/>
        <n v="7240"/>
        <n v="7241"/>
        <n v="7242"/>
        <n v="7243"/>
        <n v="7244"/>
        <n v="7245"/>
        <n v="7246"/>
        <n v="7247"/>
        <n v="7248"/>
        <n v="7249"/>
        <n v="7250"/>
        <n v="7251"/>
        <n v="7252"/>
        <n v="7253"/>
        <n v="7254"/>
        <n v="7255"/>
        <n v="7256"/>
        <n v="7257"/>
        <n v="7258"/>
        <n v="7259"/>
        <n v="7260"/>
        <n v="7261"/>
        <n v="7262"/>
        <n v="7263"/>
        <n v="7264"/>
        <n v="7265"/>
        <n v="7266"/>
        <n v="7267"/>
        <n v="7268"/>
        <n v="7269"/>
        <n v="7270"/>
        <n v="7271"/>
        <n v="7272"/>
        <n v="7273"/>
        <n v="7274"/>
        <n v="7275"/>
        <n v="7276"/>
        <n v="7277"/>
        <n v="7278"/>
        <n v="7279"/>
        <n v="7280"/>
        <n v="7281"/>
        <n v="7282"/>
        <n v="7283"/>
        <n v="7284"/>
        <n v="7285"/>
        <n v="7286"/>
        <n v="7287"/>
        <n v="7288"/>
        <n v="7289"/>
        <n v="7290"/>
        <n v="7291"/>
        <n v="7292"/>
        <n v="7293"/>
        <n v="7294"/>
        <n v="7295"/>
        <n v="7296"/>
        <n v="7297"/>
        <n v="7298"/>
        <n v="7299"/>
        <n v="7300"/>
        <n v="7301"/>
        <n v="7302"/>
        <n v="7303"/>
        <n v="7304"/>
        <n v="7305"/>
        <n v="7306"/>
        <n v="7307"/>
        <n v="7308"/>
        <n v="7309"/>
        <n v="7310"/>
        <n v="7311"/>
        <n v="7312"/>
        <n v="7313"/>
        <n v="7314"/>
        <n v="7315"/>
        <n v="7316"/>
        <n v="7317"/>
        <n v="7318"/>
        <n v="7319"/>
        <n v="7320"/>
        <n v="7321"/>
        <n v="7322"/>
        <n v="7323"/>
        <n v="7324"/>
        <n v="7325"/>
        <n v="7326"/>
        <n v="7327"/>
        <n v="7328"/>
        <n v="7329"/>
        <n v="7330"/>
        <n v="7331"/>
        <n v="7332"/>
        <n v="7333"/>
        <n v="7334"/>
        <n v="7335"/>
        <n v="7336"/>
        <n v="7337"/>
        <n v="7338"/>
        <n v="7339"/>
        <n v="7340"/>
        <n v="7341"/>
        <n v="7342"/>
        <n v="7343"/>
        <n v="7344"/>
        <n v="7345"/>
        <n v="7346"/>
        <n v="7347"/>
        <n v="7348"/>
        <n v="7349"/>
        <n v="7350"/>
        <n v="7351"/>
        <n v="7352"/>
        <n v="7353"/>
        <n v="7354"/>
        <n v="7355"/>
        <n v="7356"/>
        <n v="7357"/>
        <n v="7358"/>
        <n v="7359"/>
        <n v="7360"/>
        <n v="7361"/>
        <n v="7362"/>
        <n v="7363"/>
        <n v="7364"/>
        <n v="7365"/>
        <n v="7366"/>
        <n v="7367"/>
        <n v="7368"/>
        <n v="7369"/>
        <n v="7370"/>
        <n v="7371"/>
        <n v="7372"/>
        <n v="7373"/>
        <n v="7374"/>
        <n v="7375"/>
        <n v="7376"/>
        <n v="7377"/>
        <n v="7378"/>
        <n v="7379"/>
        <n v="7380"/>
        <n v="7381"/>
        <n v="7382"/>
        <n v="7383"/>
        <n v="7384"/>
        <n v="7385"/>
        <n v="7386"/>
        <n v="7387"/>
        <n v="7388"/>
        <n v="7389"/>
        <n v="7390"/>
        <n v="7391"/>
        <n v="7392"/>
        <n v="7393"/>
        <n v="7394"/>
        <n v="7395"/>
        <n v="7396"/>
        <n v="7397"/>
        <n v="7398"/>
        <n v="7399"/>
        <n v="7400"/>
        <n v="7401"/>
        <n v="7402"/>
        <n v="7403"/>
        <n v="7404"/>
        <n v="7405"/>
        <n v="7406"/>
        <n v="7407"/>
        <n v="7408"/>
        <n v="7409"/>
        <n v="7410"/>
        <n v="7411"/>
        <n v="7412"/>
        <n v="7413"/>
        <n v="7414"/>
        <n v="7415"/>
        <n v="7416"/>
        <n v="7417"/>
        <n v="7418"/>
        <n v="7419"/>
        <n v="7420"/>
        <n v="7421"/>
        <n v="7422"/>
        <n v="7423"/>
        <n v="7424"/>
        <n v="7425"/>
        <n v="7426"/>
        <n v="7427"/>
        <n v="7428"/>
        <n v="7429"/>
        <n v="7430"/>
        <n v="7431"/>
        <n v="7432"/>
        <n v="7433"/>
        <n v="7434"/>
        <n v="7435"/>
        <n v="7436"/>
        <n v="7437"/>
        <n v="7438"/>
        <n v="7439"/>
        <n v="7440"/>
        <n v="7441"/>
        <n v="7442"/>
        <n v="7443"/>
        <n v="7444"/>
        <n v="7445"/>
        <n v="7446"/>
        <n v="7447"/>
        <n v="7448"/>
        <n v="7449"/>
        <n v="7450"/>
        <n v="7451"/>
        <n v="7452"/>
        <n v="7453"/>
        <n v="7454"/>
        <n v="7455"/>
        <n v="7456"/>
        <n v="7457"/>
        <n v="7458"/>
        <n v="7459"/>
        <n v="7460"/>
        <n v="7461"/>
        <n v="7462"/>
        <n v="7463"/>
        <n v="7464"/>
        <n v="7465"/>
        <n v="7466"/>
        <n v="7467"/>
        <n v="7468"/>
        <n v="7469"/>
        <n v="7470"/>
        <n v="7471"/>
        <n v="7472"/>
        <n v="7473"/>
        <n v="7474"/>
        <n v="7475"/>
        <n v="7476"/>
        <n v="7477"/>
        <n v="7478"/>
        <n v="7479"/>
        <n v="7480"/>
        <n v="7481"/>
        <n v="7482"/>
        <n v="7483"/>
        <n v="7484"/>
        <n v="7485"/>
        <n v="7486"/>
        <n v="7487"/>
        <n v="7488"/>
        <n v="7489"/>
        <n v="7490"/>
        <n v="7491"/>
        <n v="7492"/>
        <n v="7493"/>
        <n v="7494"/>
        <n v="7495"/>
        <n v="7496"/>
        <n v="7497"/>
        <n v="7498"/>
        <n v="7499"/>
        <n v="7500"/>
        <n v="7501"/>
        <n v="7502"/>
        <n v="7503"/>
        <n v="7504"/>
        <n v="7505"/>
        <n v="7506"/>
        <n v="7507"/>
        <n v="7508"/>
        <n v="7509"/>
        <n v="7510"/>
        <n v="7511"/>
        <n v="7512"/>
        <n v="7513"/>
        <n v="7514"/>
        <n v="7515"/>
        <n v="7516"/>
        <n v="7517"/>
        <n v="7518"/>
        <n v="7519"/>
        <n v="7520"/>
        <n v="7521"/>
        <n v="7522"/>
        <n v="7523"/>
        <n v="7524"/>
        <n v="7525"/>
        <n v="7526"/>
        <n v="7527"/>
        <n v="7528"/>
        <n v="7529"/>
        <n v="7530"/>
        <n v="7531"/>
        <n v="7532"/>
        <n v="7533"/>
        <n v="7534"/>
        <n v="7535"/>
        <n v="7536"/>
        <n v="7537"/>
        <n v="7538"/>
        <n v="7539"/>
        <n v="7540"/>
        <n v="7541"/>
        <n v="7542"/>
        <n v="7543"/>
        <n v="7544"/>
        <n v="7545"/>
        <n v="7546"/>
        <n v="7547"/>
        <n v="7548"/>
        <n v="7549"/>
        <n v="7550"/>
        <n v="7551"/>
        <n v="7552"/>
        <n v="7553"/>
        <n v="7554"/>
        <n v="7555"/>
        <n v="7556"/>
        <n v="7557"/>
        <n v="7558"/>
        <n v="7559"/>
        <n v="7560"/>
        <n v="7561"/>
        <n v="7562"/>
        <n v="7563"/>
        <n v="7564"/>
        <n v="7565"/>
        <n v="7566"/>
        <n v="7567"/>
        <n v="7568"/>
        <n v="7569"/>
        <n v="7570"/>
        <n v="7571"/>
        <n v="7572"/>
        <n v="7573"/>
        <n v="7574"/>
        <n v="7575"/>
        <n v="7576"/>
        <n v="7577"/>
        <n v="7578"/>
        <n v="7579"/>
        <n v="7580"/>
        <n v="7581"/>
        <n v="7582"/>
        <n v="7583"/>
        <n v="7584"/>
        <n v="7585"/>
        <n v="7586"/>
        <n v="7587"/>
        <n v="7588"/>
        <n v="7589"/>
        <n v="7590"/>
        <n v="7591"/>
        <n v="7592"/>
        <n v="7593"/>
        <n v="7594"/>
        <n v="7595"/>
        <n v="7596"/>
        <n v="7597"/>
        <n v="7598"/>
        <n v="7599"/>
        <n v="7600"/>
        <n v="7601"/>
        <n v="7602"/>
        <n v="7603"/>
        <n v="7604"/>
        <n v="7605"/>
        <n v="7606"/>
        <n v="7607"/>
        <n v="7608"/>
        <n v="7609"/>
        <n v="7610"/>
        <n v="7611"/>
        <n v="7612"/>
        <n v="7613"/>
        <n v="7614"/>
        <n v="7615"/>
        <n v="7616"/>
        <n v="7617"/>
        <n v="7618"/>
        <n v="7619"/>
        <n v="7620"/>
        <n v="7621"/>
        <n v="7622"/>
        <n v="7623"/>
        <n v="7624"/>
        <n v="7625"/>
        <n v="7626"/>
        <n v="7627"/>
        <n v="7628"/>
        <n v="7629"/>
        <n v="7630"/>
        <n v="7631"/>
        <n v="7632"/>
        <n v="7633"/>
        <n v="7634"/>
        <n v="7635"/>
        <n v="7636"/>
        <n v="7637"/>
        <n v="7638"/>
        <n v="7639"/>
        <n v="7640"/>
        <n v="7641"/>
        <n v="7642"/>
        <n v="7643"/>
        <n v="7644"/>
        <n v="7645"/>
        <n v="7646"/>
        <n v="7647"/>
        <n v="7648"/>
        <n v="7649"/>
        <n v="7650"/>
        <n v="7651"/>
        <n v="7652"/>
        <n v="7653"/>
        <n v="7654"/>
        <n v="7655"/>
        <n v="7656"/>
        <n v="7657"/>
        <n v="7658"/>
        <n v="7659"/>
        <n v="7660"/>
        <n v="7661"/>
        <n v="7662"/>
        <n v="7663"/>
        <n v="7664"/>
        <n v="7665"/>
        <n v="7666"/>
        <n v="7667"/>
        <n v="7668"/>
        <n v="7669"/>
        <n v="7670"/>
        <n v="7671"/>
        <n v="7672"/>
        <n v="7673"/>
        <n v="7674"/>
        <n v="7675"/>
        <n v="7676"/>
        <n v="7677"/>
        <n v="7678"/>
        <n v="7679"/>
        <n v="7680"/>
        <n v="7681"/>
        <n v="7682"/>
        <n v="7683"/>
        <n v="7684"/>
        <n v="7685"/>
        <n v="7686"/>
        <n v="7687"/>
        <n v="7688"/>
        <n v="7689"/>
        <n v="7690"/>
        <n v="7691"/>
        <n v="7692"/>
        <n v="7693"/>
        <n v="7694"/>
        <n v="7695"/>
        <n v="7696"/>
        <n v="7697"/>
        <n v="7698"/>
        <n v="7699"/>
        <n v="7700"/>
        <n v="7701"/>
        <n v="7702"/>
        <n v="7703"/>
        <n v="7704"/>
        <n v="7705"/>
        <n v="7706"/>
        <n v="7707"/>
        <n v="7708"/>
        <n v="7709"/>
        <n v="7710"/>
        <n v="7711"/>
        <n v="7712"/>
        <n v="7713"/>
        <n v="7714"/>
        <n v="7715"/>
        <n v="7716"/>
        <n v="7717"/>
        <n v="7718"/>
        <n v="7719"/>
        <n v="7720"/>
        <n v="7721"/>
        <n v="7722"/>
        <n v="7723"/>
        <n v="7724"/>
        <n v="7725"/>
        <n v="7726"/>
        <n v="7727"/>
        <n v="7728"/>
        <n v="7729"/>
        <n v="7730"/>
        <n v="7731"/>
        <n v="7732"/>
        <n v="7733"/>
        <n v="7734"/>
        <n v="7735"/>
        <n v="7736"/>
        <n v="7737"/>
        <n v="7738"/>
        <n v="7739"/>
        <n v="7740"/>
        <n v="7741"/>
        <n v="7742"/>
        <n v="7743"/>
        <n v="7744"/>
        <n v="7745"/>
        <n v="7746"/>
        <n v="7747"/>
        <n v="7748"/>
        <n v="7749"/>
        <n v="7750"/>
        <n v="7751"/>
        <n v="7752"/>
        <n v="7753"/>
        <n v="7754"/>
        <n v="7755"/>
        <n v="7756"/>
        <n v="7757"/>
        <n v="7758"/>
        <n v="7759"/>
        <n v="7760"/>
        <n v="7761"/>
        <n v="7762"/>
        <n v="7763"/>
        <n v="7764"/>
        <n v="7765"/>
        <n v="7766"/>
        <n v="7767"/>
        <n v="7768"/>
        <n v="7769"/>
        <n v="7770"/>
        <n v="7771"/>
        <n v="7772"/>
        <n v="7773"/>
        <n v="7774"/>
        <n v="7775"/>
        <n v="7776"/>
        <n v="7777"/>
        <n v="7778"/>
        <n v="7779"/>
        <n v="7780"/>
        <n v="7781"/>
        <n v="7782"/>
        <n v="7783"/>
        <n v="7784"/>
        <n v="7785"/>
        <n v="7786"/>
        <n v="7787"/>
        <n v="7788"/>
        <n v="7789"/>
        <n v="7790"/>
        <n v="7791"/>
        <n v="7792"/>
        <n v="7793"/>
        <n v="7794"/>
        <n v="7795"/>
        <n v="7796"/>
        <n v="7797"/>
        <n v="7798"/>
        <n v="7799"/>
        <n v="7800"/>
        <n v="7801"/>
        <n v="7802"/>
        <n v="7803"/>
        <n v="7804"/>
        <n v="7805"/>
        <n v="7806"/>
        <n v="7807"/>
        <n v="7808"/>
        <n v="7809"/>
        <n v="7810"/>
        <n v="7811"/>
        <n v="7812"/>
        <n v="7813"/>
        <n v="7814"/>
        <n v="7815"/>
        <n v="7816"/>
        <n v="7817"/>
        <n v="7818"/>
        <n v="7819"/>
        <n v="7820"/>
        <n v="7821"/>
        <n v="7822"/>
        <n v="7823"/>
        <n v="7824"/>
        <n v="7825"/>
        <n v="7826"/>
        <n v="7827"/>
        <n v="7828"/>
        <n v="7829"/>
        <n v="7830"/>
        <n v="7831"/>
        <n v="7832"/>
        <n v="7833"/>
        <n v="7834"/>
        <n v="7835"/>
        <n v="7836"/>
        <n v="7837"/>
        <n v="7838"/>
        <n v="7839"/>
        <n v="7840"/>
        <n v="7841"/>
        <n v="7842"/>
        <n v="7843"/>
        <n v="7844"/>
        <n v="7845"/>
        <n v="7846"/>
        <n v="7847"/>
        <n v="7848"/>
        <n v="7849"/>
        <n v="7850"/>
        <n v="7851"/>
        <n v="7852"/>
        <n v="7853"/>
        <n v="7854"/>
        <n v="7855"/>
        <n v="7856"/>
        <n v="7857"/>
        <n v="7858"/>
        <n v="7859"/>
        <n v="7860"/>
        <n v="7861"/>
        <n v="7862"/>
        <n v="7863"/>
        <n v="7864"/>
        <n v="7865"/>
        <n v="7866"/>
        <n v="7867"/>
        <n v="7868"/>
        <n v="7869"/>
        <n v="7870"/>
        <n v="7871"/>
        <n v="7872"/>
        <n v="7873"/>
        <n v="7874"/>
        <n v="7875"/>
        <n v="7876"/>
        <n v="7877"/>
        <n v="7878"/>
        <n v="7879"/>
        <n v="7880"/>
        <n v="7881"/>
        <n v="7882"/>
        <n v="7883"/>
        <n v="7884"/>
        <n v="7885"/>
        <n v="7886"/>
        <n v="7887"/>
        <n v="7888"/>
        <n v="7889"/>
        <n v="7890"/>
        <n v="7891"/>
        <n v="7892"/>
        <n v="7893"/>
        <n v="7894"/>
        <n v="7895"/>
        <n v="7896"/>
        <n v="7897"/>
        <n v="7898"/>
        <n v="7899"/>
        <n v="7900"/>
        <n v="7901"/>
        <n v="7902"/>
        <n v="7903"/>
        <n v="7904"/>
        <n v="7905"/>
        <n v="7906"/>
        <n v="7907"/>
        <n v="7908"/>
        <n v="7909"/>
        <n v="7910"/>
        <n v="7911"/>
        <n v="7912"/>
        <n v="7913"/>
        <n v="7914"/>
        <n v="7915"/>
        <n v="7916"/>
        <n v="7917"/>
        <n v="7918"/>
        <n v="7919"/>
        <n v="7920"/>
        <n v="7921"/>
        <n v="7922"/>
        <n v="7923"/>
        <n v="7924"/>
        <n v="7925"/>
        <n v="7926"/>
        <n v="7927"/>
        <n v="7928"/>
        <n v="7929"/>
        <n v="7930"/>
        <n v="7931"/>
        <n v="7932"/>
        <n v="7933"/>
        <n v="7934"/>
        <n v="7935"/>
        <n v="7936"/>
        <n v="7937"/>
        <n v="7938"/>
        <n v="7939"/>
        <n v="7940"/>
        <n v="7941"/>
        <n v="7942"/>
        <n v="7943"/>
        <n v="7944"/>
        <n v="7945"/>
        <n v="7946"/>
        <n v="7947"/>
        <n v="7948"/>
        <n v="7949"/>
        <n v="7950"/>
        <n v="7951"/>
        <n v="7952"/>
        <n v="7953"/>
        <n v="7954"/>
        <n v="7955"/>
        <n v="7956"/>
        <n v="7957"/>
        <n v="7958"/>
        <n v="7959"/>
        <n v="7960"/>
        <n v="7961"/>
        <n v="7962"/>
        <n v="7963"/>
        <n v="7964"/>
        <n v="7965"/>
        <n v="7966"/>
        <n v="7967"/>
        <n v="7968"/>
        <n v="7969"/>
        <n v="7970"/>
        <n v="7971"/>
        <n v="7972"/>
        <n v="7973"/>
        <n v="7974"/>
        <n v="7975"/>
        <n v="7976"/>
        <n v="7977"/>
        <n v="7978"/>
        <n v="7979"/>
        <n v="7980"/>
        <n v="7981"/>
        <n v="7982"/>
        <n v="7983"/>
        <n v="7984"/>
        <n v="7985"/>
        <n v="7986"/>
        <n v="7987"/>
        <n v="7988"/>
        <n v="7989"/>
        <n v="7990"/>
        <n v="7991"/>
        <n v="7992"/>
        <n v="7993"/>
        <n v="7994"/>
        <n v="7995"/>
        <n v="7996"/>
        <n v="7997"/>
        <n v="7998"/>
        <n v="7999"/>
        <n v="8000"/>
        <n v="8001"/>
        <n v="8002"/>
        <n v="8003"/>
        <n v="8004"/>
        <n v="8005"/>
        <n v="8006"/>
        <n v="8007"/>
        <n v="8008"/>
        <n v="8009"/>
        <n v="8010"/>
        <n v="8011"/>
        <n v="8012"/>
        <n v="8013"/>
        <n v="8014"/>
        <n v="8015"/>
        <n v="8016"/>
        <n v="8017"/>
        <n v="8018"/>
        <n v="8019"/>
        <n v="8020"/>
        <n v="8021"/>
        <n v="8022"/>
        <n v="8023"/>
        <n v="8024"/>
        <n v="8025"/>
        <n v="8026"/>
        <n v="8027"/>
        <n v="8028"/>
        <n v="8029"/>
        <n v="8030"/>
        <n v="8031"/>
        <n v="8032"/>
        <n v="8033"/>
        <n v="8034"/>
        <n v="8035"/>
        <n v="8036"/>
        <n v="8037"/>
        <n v="8038"/>
        <n v="8039"/>
        <n v="8040"/>
        <n v="8041"/>
        <n v="8042"/>
        <n v="8043"/>
        <n v="8044"/>
        <n v="8045"/>
        <n v="8046"/>
        <n v="8047"/>
        <n v="8048"/>
        <n v="8049"/>
        <n v="8050"/>
        <n v="8051"/>
        <n v="8052"/>
        <n v="8053"/>
        <n v="8054"/>
        <n v="8055"/>
        <n v="8056"/>
        <n v="8057"/>
        <n v="8058"/>
        <n v="8059"/>
        <n v="8060"/>
        <n v="8061"/>
        <n v="8062"/>
        <n v="8063"/>
        <n v="8064"/>
        <n v="8065"/>
        <n v="8066"/>
        <n v="8067"/>
        <n v="8068"/>
        <n v="8069"/>
        <n v="8070"/>
        <n v="8071"/>
        <n v="8072"/>
        <n v="8073"/>
        <n v="8074"/>
        <n v="8075"/>
        <n v="8076"/>
        <n v="8077"/>
        <n v="8078"/>
        <n v="8079"/>
        <n v="8080"/>
        <n v="8081"/>
        <n v="8082"/>
        <n v="8083"/>
        <n v="8084"/>
        <n v="8085"/>
        <n v="8086"/>
        <n v="8087"/>
        <n v="8088"/>
        <n v="8089"/>
        <n v="8090"/>
        <n v="8091"/>
        <n v="8092"/>
        <n v="8093"/>
        <n v="8094"/>
        <n v="8095"/>
        <n v="8096"/>
        <n v="8097"/>
        <n v="8098"/>
        <n v="8099"/>
        <n v="8100"/>
        <n v="8101"/>
        <n v="8102"/>
        <n v="8103"/>
        <n v="8104"/>
        <n v="8105"/>
        <n v="8106"/>
        <n v="8107"/>
        <n v="8108"/>
        <n v="8109"/>
        <n v="8110"/>
        <n v="8111"/>
        <n v="8112"/>
        <n v="8113"/>
        <n v="8114"/>
        <n v="8115"/>
        <n v="8116"/>
        <n v="8117"/>
        <n v="8118"/>
        <n v="8119"/>
        <n v="8120"/>
        <n v="8121"/>
        <n v="8122"/>
        <n v="8123"/>
        <n v="8124"/>
        <n v="8125"/>
        <n v="8126"/>
        <n v="8127"/>
        <n v="8128"/>
        <n v="8129"/>
        <n v="8130"/>
        <n v="8131"/>
        <n v="8132"/>
        <n v="8133"/>
        <n v="8134"/>
        <n v="8135"/>
        <n v="8136"/>
        <n v="8137"/>
        <n v="8138"/>
        <n v="8139"/>
        <n v="8140"/>
        <n v="8141"/>
        <n v="8142"/>
        <n v="8143"/>
        <n v="8144"/>
        <n v="8145"/>
        <n v="8146"/>
        <n v="8147"/>
        <n v="8148"/>
        <n v="8149"/>
        <n v="8150"/>
        <n v="8151"/>
        <n v="8152"/>
        <n v="8153"/>
        <n v="8154"/>
        <n v="8155"/>
        <n v="8156"/>
        <n v="8157"/>
        <n v="8158"/>
        <n v="8159"/>
        <n v="8160"/>
        <n v="8161"/>
        <n v="8162"/>
        <n v="8163"/>
        <n v="8164"/>
        <n v="8165"/>
        <n v="8166"/>
        <n v="8167"/>
        <n v="8168"/>
        <n v="8169"/>
        <n v="8170"/>
        <n v="8171"/>
        <n v="8172"/>
        <n v="8173"/>
        <n v="8174"/>
        <n v="8175"/>
        <n v="8176"/>
        <n v="8177"/>
        <n v="8178"/>
        <n v="8179"/>
        <n v="8180"/>
        <n v="8181"/>
        <n v="8182"/>
        <n v="8183"/>
        <n v="8184"/>
        <n v="8185"/>
        <n v="8186"/>
        <n v="8187"/>
        <n v="8188"/>
        <n v="8189"/>
        <n v="8190"/>
        <n v="8191"/>
        <n v="8192"/>
        <n v="8193"/>
        <n v="8194"/>
        <n v="8195"/>
        <n v="8196"/>
        <n v="8197"/>
        <n v="8198"/>
        <n v="8199"/>
        <n v="8200"/>
        <n v="8201"/>
        <n v="8202"/>
        <n v="8203"/>
        <n v="8204"/>
        <n v="8205"/>
        <n v="8206"/>
        <n v="8207"/>
        <n v="8208"/>
        <n v="8209"/>
        <n v="8210"/>
        <n v="8211"/>
        <n v="8212"/>
        <n v="8213"/>
        <n v="8214"/>
        <n v="8215"/>
        <n v="8216"/>
        <n v="8217"/>
        <n v="8218"/>
        <n v="8219"/>
        <n v="8220"/>
        <n v="8221"/>
        <n v="8222"/>
        <n v="8223"/>
        <n v="8224"/>
        <n v="8225"/>
        <n v="8226"/>
        <n v="8227"/>
        <n v="8228"/>
        <n v="8229"/>
        <n v="8230"/>
        <n v="8231"/>
        <n v="8232"/>
        <n v="8233"/>
        <n v="8234"/>
        <n v="8235"/>
        <n v="8236"/>
        <n v="8237"/>
        <n v="8238"/>
        <n v="8239"/>
        <n v="8240"/>
        <n v="8241"/>
        <n v="8242"/>
        <n v="8243"/>
        <n v="8244"/>
        <n v="8245"/>
        <n v="8246"/>
        <n v="8247"/>
        <n v="8248"/>
        <n v="8249"/>
        <n v="8250"/>
        <n v="8251"/>
        <n v="8252"/>
        <n v="8253"/>
        <n v="8254"/>
        <n v="8255"/>
        <n v="8256"/>
        <n v="8257"/>
        <n v="8258"/>
        <n v="8259"/>
        <n v="8260"/>
        <n v="8261"/>
        <n v="8262"/>
        <n v="8263"/>
        <n v="8264"/>
        <n v="8265"/>
        <n v="8266"/>
        <n v="8267"/>
        <n v="8268"/>
        <n v="8269"/>
        <n v="8270"/>
        <n v="8271"/>
        <n v="8272"/>
        <n v="8273"/>
        <n v="8274"/>
        <n v="8275"/>
        <n v="8276"/>
        <n v="8277"/>
        <n v="8278"/>
        <n v="8279"/>
        <n v="8280"/>
        <n v="8281"/>
        <n v="8282"/>
        <n v="8283"/>
        <n v="8284"/>
        <n v="8285"/>
        <n v="8286"/>
        <n v="8287"/>
        <n v="8288"/>
        <n v="8289"/>
        <n v="8290"/>
        <n v="8291"/>
        <n v="8292"/>
        <n v="8293"/>
        <n v="8294"/>
        <n v="8295"/>
        <n v="8296"/>
        <n v="8297"/>
        <n v="8298"/>
        <n v="8299"/>
        <n v="8300"/>
        <n v="8301"/>
        <n v="8302"/>
        <n v="8303"/>
        <n v="8304"/>
        <n v="8305"/>
        <n v="8306"/>
        <n v="8307"/>
        <n v="8308"/>
        <n v="8309"/>
        <n v="8310"/>
        <n v="8311"/>
        <n v="8312"/>
        <n v="8313"/>
        <n v="8314"/>
        <n v="8315"/>
        <n v="8316"/>
        <n v="8317"/>
        <n v="8318"/>
        <n v="8319"/>
        <n v="8320"/>
        <n v="8321"/>
        <n v="8322"/>
        <n v="8323"/>
        <n v="8324"/>
        <n v="8325"/>
        <n v="8326"/>
        <n v="8327"/>
        <n v="8328"/>
        <n v="8329"/>
        <n v="8330"/>
        <n v="8331"/>
        <n v="8332"/>
        <n v="8333"/>
        <n v="8334"/>
        <n v="8335"/>
        <n v="8336"/>
        <n v="8337"/>
        <n v="8338"/>
        <n v="8339"/>
        <n v="8340"/>
        <n v="8341"/>
        <n v="8342"/>
        <n v="8343"/>
        <n v="8344"/>
        <n v="8345"/>
        <n v="8346"/>
        <n v="8347"/>
        <n v="8348"/>
        <n v="8349"/>
        <n v="8350"/>
        <n v="8351"/>
        <n v="8352"/>
        <n v="8353"/>
        <n v="8354"/>
        <n v="8355"/>
        <n v="8356"/>
        <n v="8357"/>
        <n v="8358"/>
        <n v="8359"/>
        <n v="8360"/>
        <n v="8361"/>
        <n v="8362"/>
        <n v="8363"/>
        <n v="8364"/>
        <n v="8365"/>
        <n v="8366"/>
        <n v="8367"/>
        <n v="8368"/>
        <n v="8369"/>
        <n v="8370"/>
        <n v="8371"/>
        <n v="8372"/>
        <n v="8373"/>
        <n v="8374"/>
        <n v="8375"/>
        <n v="8376"/>
        <n v="8377"/>
        <n v="8378"/>
        <n v="8379"/>
        <n v="8380"/>
        <n v="8381"/>
        <n v="8382"/>
        <n v="8383"/>
        <n v="8384"/>
        <n v="8385"/>
        <n v="8386"/>
        <n v="8387"/>
        <n v="8388"/>
        <n v="8389"/>
        <n v="8390"/>
        <n v="8391"/>
        <n v="8392"/>
        <n v="8393"/>
        <n v="8394"/>
        <n v="8395"/>
        <n v="8396"/>
        <n v="8397"/>
        <n v="8398"/>
        <n v="8399"/>
        <n v="8400"/>
        <n v="8401"/>
        <n v="8402"/>
        <n v="8403"/>
        <n v="8404"/>
        <n v="8405"/>
        <n v="8406"/>
        <n v="8407"/>
        <n v="8408"/>
        <n v="8409"/>
        <n v="8410"/>
        <n v="8411"/>
        <n v="8412"/>
        <n v="8413"/>
        <n v="8414"/>
        <n v="8415"/>
        <n v="8416"/>
        <n v="8417"/>
        <n v="8418"/>
        <n v="8419"/>
        <n v="8420"/>
        <n v="8421"/>
        <n v="8422"/>
        <n v="8423"/>
        <n v="8424"/>
        <n v="8425"/>
        <n v="8426"/>
        <n v="8427"/>
        <n v="8428"/>
        <n v="8429"/>
        <n v="8430"/>
        <n v="8431"/>
        <n v="8432"/>
        <n v="8433"/>
        <n v="8434"/>
        <n v="8435"/>
        <n v="8436"/>
        <n v="8437"/>
        <n v="8438"/>
        <n v="8439"/>
        <n v="8440"/>
        <n v="8441"/>
        <n v="8442"/>
        <n v="8443"/>
        <n v="8444"/>
        <n v="8445"/>
        <n v="8446"/>
        <n v="8447"/>
        <n v="8448"/>
        <n v="8449"/>
        <n v="8450"/>
        <n v="8451"/>
        <n v="8452"/>
        <n v="8453"/>
        <n v="8454"/>
        <n v="8455"/>
        <n v="8456"/>
        <n v="8457"/>
        <n v="8458"/>
        <n v="8459"/>
        <n v="8460"/>
        <n v="8461"/>
        <n v="8462"/>
        <n v="8463"/>
        <n v="8464"/>
        <n v="8465"/>
        <n v="8466"/>
        <n v="8467"/>
        <n v="8468"/>
        <n v="8469"/>
        <n v="8470"/>
        <n v="8471"/>
        <n v="8472"/>
        <n v="8473"/>
        <n v="8474"/>
        <n v="8475"/>
        <n v="8476"/>
        <n v="8477"/>
        <n v="8478"/>
        <n v="8479"/>
        <n v="8480"/>
        <n v="8481"/>
        <n v="8482"/>
        <n v="8483"/>
        <n v="8484"/>
        <n v="8485"/>
        <n v="8486"/>
        <n v="8487"/>
        <n v="8488"/>
        <n v="8489"/>
        <n v="8490"/>
        <n v="8491"/>
        <n v="8492"/>
        <n v="8493"/>
        <n v="8494"/>
        <n v="8495"/>
        <n v="8496"/>
        <n v="8497"/>
        <n v="8498"/>
        <n v="8499"/>
        <n v="8500"/>
        <n v="8501"/>
        <n v="8502"/>
        <n v="8503"/>
        <n v="8504"/>
        <n v="8505"/>
        <n v="8506"/>
        <n v="8507"/>
        <n v="8508"/>
        <n v="8509"/>
        <n v="8510"/>
        <n v="8511"/>
        <n v="8512"/>
        <n v="8513"/>
        <n v="8514"/>
        <n v="8515"/>
        <n v="8516"/>
        <n v="8517"/>
        <n v="8518"/>
        <n v="8519"/>
        <n v="8520"/>
        <n v="8521"/>
        <n v="8522"/>
        <n v="8523"/>
        <n v="8524"/>
        <n v="8525"/>
        <n v="8526"/>
        <n v="8527"/>
        <n v="8528"/>
        <n v="8529"/>
        <n v="8530"/>
        <n v="8531"/>
        <n v="8532"/>
        <n v="8533"/>
        <n v="8534"/>
        <n v="8535"/>
        <n v="8536"/>
        <n v="8537"/>
        <n v="8538"/>
        <n v="8539"/>
        <n v="8540"/>
        <n v="8541"/>
        <n v="8542"/>
        <n v="8543"/>
        <n v="8544"/>
        <n v="8545"/>
        <n v="8546"/>
        <n v="8547"/>
        <n v="8548"/>
        <n v="8549"/>
        <n v="8550"/>
        <n v="8551"/>
        <n v="8552"/>
        <n v="8553"/>
        <n v="8554"/>
        <n v="8555"/>
        <n v="8556"/>
        <n v="8557"/>
        <n v="8558"/>
        <n v="8559"/>
        <n v="8560"/>
        <n v="8561"/>
        <n v="8562"/>
        <n v="8563"/>
        <n v="8564"/>
        <n v="8565"/>
        <n v="8566"/>
        <n v="8567"/>
        <n v="8568"/>
        <n v="8569"/>
        <n v="8570"/>
        <n v="8571"/>
        <n v="8572"/>
        <n v="8573"/>
        <n v="8574"/>
        <n v="8575"/>
        <n v="8576"/>
        <n v="8577"/>
        <n v="8578"/>
        <n v="8579"/>
        <n v="8580"/>
        <n v="8581"/>
        <n v="8582"/>
        <n v="8583"/>
        <n v="8584"/>
        <n v="8585"/>
        <n v="8586"/>
        <n v="8587"/>
        <n v="8588"/>
        <n v="8589"/>
        <n v="8590"/>
        <n v="8591"/>
        <n v="8592"/>
        <n v="8593"/>
        <n v="8594"/>
        <n v="8595"/>
        <n v="8596"/>
        <n v="8597"/>
        <n v="8598"/>
        <n v="8599"/>
        <n v="8600"/>
        <n v="8601"/>
        <n v="8602"/>
        <n v="8603"/>
        <n v="8604"/>
        <n v="8605"/>
        <n v="8606"/>
        <n v="8607"/>
        <n v="8608"/>
        <n v="8609"/>
        <n v="8610"/>
        <n v="8611"/>
        <n v="8612"/>
        <n v="8613"/>
        <n v="8614"/>
        <n v="8615"/>
        <n v="8616"/>
        <n v="8617"/>
        <n v="8618"/>
        <n v="8619"/>
        <n v="8620"/>
        <n v="8621"/>
        <n v="8622"/>
        <n v="8623"/>
        <n v="8624"/>
        <n v="8625"/>
        <n v="8626"/>
        <n v="8627"/>
        <n v="8628"/>
        <n v="8629"/>
        <n v="8630"/>
        <n v="8631"/>
        <n v="8632"/>
        <n v="8633"/>
        <n v="8634"/>
        <n v="8635"/>
        <n v="8636"/>
        <n v="8637"/>
        <n v="8638"/>
        <n v="8639"/>
        <n v="8640"/>
        <n v="8641"/>
        <n v="8642"/>
        <n v="8643"/>
        <n v="8644"/>
        <n v="8645"/>
        <n v="8646"/>
        <n v="8647"/>
        <n v="8648"/>
        <n v="8649"/>
        <n v="8650"/>
        <n v="8651"/>
        <n v="8652"/>
        <n v="8653"/>
        <n v="8654"/>
        <n v="8655"/>
        <n v="8656"/>
        <n v="8657"/>
        <n v="8658"/>
        <n v="8659"/>
        <n v="8660"/>
        <n v="8661"/>
        <n v="8662"/>
        <n v="8663"/>
        <n v="8664"/>
        <n v="8665"/>
        <n v="8666"/>
        <n v="8667"/>
        <n v="8668"/>
        <n v="8669"/>
        <n v="8670"/>
        <n v="8671"/>
        <n v="8672"/>
        <n v="8673"/>
        <n v="8674"/>
        <n v="8675"/>
        <n v="8676"/>
        <n v="8677"/>
        <n v="8678"/>
        <n v="8679"/>
        <n v="8680"/>
        <n v="8681"/>
        <n v="8682"/>
        <n v="8683"/>
        <n v="8684"/>
        <n v="8685"/>
        <n v="8686"/>
        <n v="8687"/>
        <n v="8688"/>
        <n v="8689"/>
        <n v="8690"/>
        <n v="8691"/>
        <n v="8692"/>
        <n v="8693"/>
        <n v="8694"/>
        <n v="8695"/>
        <n v="8696"/>
        <n v="8697"/>
        <n v="8698"/>
        <n v="8699"/>
        <n v="8700"/>
        <n v="8701"/>
        <n v="8702"/>
        <n v="8703"/>
        <n v="8704"/>
        <n v="8705"/>
        <n v="8706"/>
        <n v="8707"/>
        <n v="8708"/>
        <n v="8709"/>
        <n v="8710"/>
        <n v="8711"/>
        <n v="8712"/>
        <n v="8713"/>
        <n v="8714"/>
        <n v="8715"/>
        <n v="8716"/>
        <n v="8717"/>
        <n v="8718"/>
        <n v="8719"/>
        <n v="8720"/>
        <n v="8721"/>
        <n v="8722"/>
        <n v="8723"/>
        <n v="8724"/>
        <n v="8725"/>
        <n v="8726"/>
        <n v="8727"/>
        <n v="8728"/>
        <n v="8729"/>
        <n v="8730"/>
        <n v="8731"/>
        <n v="8732"/>
        <n v="8733"/>
        <n v="8734"/>
        <n v="8735"/>
        <n v="8736"/>
        <n v="8737"/>
        <n v="8738"/>
        <n v="8739"/>
        <n v="8740"/>
        <n v="8741"/>
        <n v="8742"/>
        <n v="8743"/>
        <n v="8744"/>
        <n v="8745"/>
        <n v="8746"/>
        <n v="8747"/>
        <n v="8748"/>
        <n v="8749"/>
        <n v="8750"/>
        <n v="8751"/>
        <n v="8752"/>
        <n v="8753"/>
        <n v="8754"/>
        <n v="8755"/>
        <n v="8756"/>
        <n v="8757"/>
        <n v="8758"/>
        <n v="8759"/>
        <n v="8760"/>
        <n v="8761"/>
        <n v="8762"/>
        <n v="8763"/>
        <n v="8764"/>
        <n v="8765"/>
        <n v="8766"/>
        <n v="8767"/>
        <n v="8768"/>
        <n v="8769"/>
        <n v="8770"/>
        <n v="8771"/>
        <n v="8772"/>
        <n v="8773"/>
        <n v="8774"/>
        <n v="8775"/>
        <n v="8776"/>
        <n v="8777"/>
        <n v="8778"/>
        <n v="8779"/>
        <n v="8780"/>
        <n v="8781"/>
        <n v="8782"/>
        <n v="8783"/>
        <n v="8784"/>
        <n v="8785"/>
        <n v="8786"/>
        <n v="8787"/>
        <n v="8788"/>
        <n v="8789"/>
        <n v="8790"/>
        <n v="8791"/>
        <n v="8792"/>
        <n v="8793"/>
        <n v="8794"/>
        <n v="8795"/>
        <n v="8796"/>
        <n v="8797"/>
        <n v="8798"/>
        <n v="8799"/>
        <n v="8800"/>
        <n v="8801"/>
        <n v="8802"/>
        <n v="8803"/>
        <n v="8804"/>
        <n v="8805"/>
        <n v="8806"/>
        <n v="8807"/>
        <n v="8808"/>
        <n v="8809"/>
        <n v="8810"/>
        <n v="8811"/>
        <n v="8812"/>
        <n v="8813"/>
        <n v="8814"/>
        <n v="8815"/>
        <n v="8816"/>
        <n v="8817"/>
        <n v="8818"/>
        <n v="8819"/>
        <n v="8820"/>
        <n v="8821"/>
        <n v="8822"/>
        <n v="8823"/>
        <n v="8824"/>
        <n v="8825"/>
        <n v="8826"/>
        <n v="8827"/>
        <n v="8828"/>
        <n v="8829"/>
        <n v="8830"/>
        <n v="8831"/>
        <n v="8832"/>
        <n v="8833"/>
        <n v="8834"/>
        <n v="8835"/>
        <n v="8836"/>
        <n v="8837"/>
        <n v="8838"/>
        <n v="8839"/>
        <n v="8840"/>
        <n v="8841"/>
        <n v="8842"/>
        <n v="8843"/>
        <n v="8844"/>
        <n v="8845"/>
        <n v="8846"/>
        <n v="8847"/>
        <n v="8848"/>
        <n v="8849"/>
        <n v="8850"/>
        <n v="8851"/>
        <n v="8852"/>
        <n v="8853"/>
        <n v="8854"/>
        <n v="8855"/>
        <n v="8856"/>
        <n v="8857"/>
        <n v="8858"/>
        <n v="8859"/>
        <n v="8860"/>
        <n v="8861"/>
        <n v="8862"/>
        <n v="8863"/>
        <n v="8864"/>
        <n v="8865"/>
        <n v="8866"/>
        <n v="8867"/>
        <n v="8868"/>
        <n v="8869"/>
        <n v="8870"/>
        <n v="8871"/>
        <n v="8872"/>
        <n v="8873"/>
        <n v="8874"/>
        <n v="8875"/>
        <n v="8876"/>
        <n v="8877"/>
        <n v="8878"/>
        <n v="8879"/>
        <n v="8880"/>
        <n v="8881"/>
        <n v="8882"/>
        <n v="8883"/>
        <n v="8884"/>
        <n v="8885"/>
        <n v="8886"/>
        <n v="8887"/>
        <n v="8888"/>
        <n v="8889"/>
        <n v="8890"/>
        <n v="8891"/>
        <n v="8892"/>
        <n v="8893"/>
        <n v="8894"/>
        <n v="8895"/>
        <n v="8896"/>
        <n v="8897"/>
        <n v="8898"/>
        <n v="8899"/>
        <n v="8900"/>
        <n v="8901"/>
        <n v="8902"/>
        <n v="8903"/>
        <n v="8904"/>
        <n v="8905"/>
        <n v="8906"/>
        <n v="8907"/>
        <n v="8908"/>
        <n v="8909"/>
        <n v="8910"/>
        <n v="8911"/>
        <n v="8912"/>
        <n v="8913"/>
        <n v="8914"/>
        <n v="8915"/>
        <n v="8916"/>
        <n v="8917"/>
        <n v="8918"/>
        <n v="8919"/>
        <n v="8920"/>
        <n v="8921"/>
        <n v="8922"/>
        <n v="8923"/>
        <n v="8924"/>
        <n v="8925"/>
        <n v="8926"/>
        <n v="8927"/>
        <n v="8928"/>
        <n v="8929"/>
        <n v="8930"/>
        <n v="8931"/>
        <n v="8932"/>
        <n v="8933"/>
        <n v="8934"/>
        <n v="8935"/>
        <n v="8936"/>
        <n v="8937"/>
        <n v="8938"/>
        <n v="8939"/>
        <n v="8940"/>
        <n v="8941"/>
        <n v="8942"/>
        <n v="8943"/>
        <n v="8944"/>
        <n v="8945"/>
        <n v="8946"/>
        <n v="8947"/>
        <n v="8948"/>
        <n v="8949"/>
        <n v="8950"/>
        <n v="8951"/>
        <n v="8952"/>
        <n v="8953"/>
        <n v="8954"/>
        <n v="8955"/>
        <n v="8956"/>
        <n v="8957"/>
        <n v="8958"/>
        <n v="8959"/>
        <n v="8960"/>
        <n v="8961"/>
        <n v="8962"/>
        <n v="8963"/>
        <n v="8964"/>
        <n v="8965"/>
        <n v="8966"/>
        <n v="8967"/>
        <n v="8968"/>
        <n v="8969"/>
        <n v="8970"/>
        <n v="8971"/>
        <n v="8972"/>
        <n v="8973"/>
        <n v="8974"/>
        <n v="8975"/>
        <n v="8976"/>
        <n v="8977"/>
        <n v="8978"/>
        <n v="8979"/>
        <n v="8980"/>
        <n v="8981"/>
        <n v="8982"/>
        <n v="8983"/>
        <n v="8984"/>
        <n v="8985"/>
        <n v="8986"/>
        <n v="8987"/>
        <n v="8988"/>
        <n v="8989"/>
        <n v="8990"/>
        <n v="8991"/>
        <n v="8992"/>
        <n v="8993"/>
        <n v="8994"/>
        <n v="8995"/>
        <n v="8996"/>
        <n v="8997"/>
        <n v="8998"/>
        <n v="8999"/>
        <n v="9000"/>
        <n v="9001"/>
        <n v="9002"/>
        <n v="9003"/>
        <n v="9004"/>
        <n v="9005"/>
        <n v="9006"/>
        <n v="9007"/>
        <n v="9008"/>
        <n v="9009"/>
        <n v="9010"/>
        <n v="9011"/>
        <n v="9012"/>
        <n v="9013"/>
        <n v="9014"/>
        <n v="9015"/>
        <n v="9016"/>
        <n v="9017"/>
        <n v="9018"/>
        <n v="9019"/>
        <n v="9020"/>
        <n v="9021"/>
        <n v="9022"/>
        <n v="9023"/>
        <n v="9024"/>
        <n v="9025"/>
        <n v="9026"/>
        <n v="9027"/>
        <n v="9028"/>
        <n v="9029"/>
        <n v="9030"/>
        <n v="9031"/>
        <n v="9032"/>
        <n v="9033"/>
        <n v="9034"/>
        <n v="9035"/>
        <n v="9036"/>
        <n v="9037"/>
        <n v="9038"/>
        <n v="9039"/>
        <n v="9040"/>
        <n v="9041"/>
        <n v="9042"/>
        <n v="9043"/>
        <n v="9044"/>
        <n v="9045"/>
        <n v="9046"/>
        <n v="9047"/>
        <n v="9048"/>
        <n v="9049"/>
        <n v="9050"/>
        <n v="9051"/>
        <n v="9052"/>
        <n v="9053"/>
        <n v="9054"/>
        <n v="9055"/>
        <n v="9056"/>
        <n v="9057"/>
        <n v="9058"/>
        <n v="9059"/>
        <n v="9060"/>
        <n v="9061"/>
        <n v="9062"/>
        <n v="9063"/>
        <n v="9064"/>
        <n v="9065"/>
        <n v="9066"/>
        <n v="9067"/>
        <n v="9068"/>
        <n v="9069"/>
        <n v="9070"/>
        <n v="9071"/>
        <n v="9072"/>
        <n v="9073"/>
        <n v="9074"/>
        <n v="9075"/>
        <n v="9076"/>
        <n v="9077"/>
        <n v="9078"/>
        <n v="9079"/>
        <n v="9080"/>
        <n v="9081"/>
        <n v="9082"/>
        <n v="9083"/>
        <n v="9084"/>
        <n v="9085"/>
        <n v="9086"/>
        <n v="9087"/>
        <n v="9088"/>
        <n v="9089"/>
        <n v="9090"/>
        <n v="9091"/>
        <n v="9092"/>
        <n v="9093"/>
        <n v="9094"/>
        <n v="9095"/>
        <n v="9096"/>
        <n v="9097"/>
        <n v="9098"/>
        <n v="9099"/>
        <n v="9100"/>
        <n v="9101"/>
        <n v="9102"/>
        <n v="9103"/>
        <n v="9104"/>
        <n v="9105"/>
        <n v="9106"/>
        <n v="9107"/>
        <n v="9108"/>
        <n v="9109"/>
        <n v="9110"/>
        <n v="9111"/>
        <n v="9112"/>
        <n v="9113"/>
        <n v="9114"/>
        <n v="9115"/>
        <n v="9116"/>
        <n v="9117"/>
        <n v="9118"/>
        <n v="9119"/>
        <n v="9120"/>
        <n v="9121"/>
        <n v="9122"/>
        <n v="9123"/>
        <n v="9124"/>
        <n v="9125"/>
        <n v="9126"/>
        <n v="9127"/>
        <n v="9128"/>
        <n v="9129"/>
        <n v="9130"/>
        <n v="9131"/>
        <n v="9132"/>
        <n v="9133"/>
        <n v="9134"/>
        <n v="9135"/>
        <n v="9136"/>
        <n v="9137"/>
        <n v="9138"/>
        <n v="9139"/>
        <n v="9140"/>
        <n v="9141"/>
        <n v="9142"/>
        <n v="9143"/>
        <n v="9144"/>
        <n v="9145"/>
        <n v="9146"/>
        <n v="9147"/>
        <n v="9148"/>
        <n v="9149"/>
        <n v="9150"/>
        <n v="9151"/>
        <n v="9152"/>
        <n v="9153"/>
        <n v="9154"/>
        <n v="9155"/>
        <n v="9156"/>
        <n v="9157"/>
        <n v="9158"/>
        <n v="9159"/>
        <n v="9160"/>
        <n v="9161"/>
        <n v="9162"/>
        <n v="9163"/>
        <n v="9164"/>
        <n v="9165"/>
        <n v="9166"/>
        <n v="9167"/>
        <n v="9168"/>
        <n v="9169"/>
        <n v="9170"/>
        <n v="9171"/>
        <n v="9172"/>
        <n v="9173"/>
        <n v="9174"/>
        <n v="9175"/>
        <n v="9176"/>
        <n v="9177"/>
        <n v="9178"/>
        <n v="9179"/>
        <n v="9180"/>
        <n v="9181"/>
        <n v="9182"/>
        <n v="9183"/>
        <n v="9184"/>
        <n v="9185"/>
        <n v="9186"/>
        <n v="9187"/>
        <n v="9188"/>
        <n v="9189"/>
        <n v="9190"/>
        <n v="9191"/>
        <n v="9192"/>
        <n v="9193"/>
        <n v="9194"/>
        <n v="9195"/>
        <n v="9196"/>
        <n v="9197"/>
        <n v="9198"/>
        <n v="9199"/>
        <n v="9200"/>
        <n v="9201"/>
        <n v="9202"/>
        <n v="9203"/>
        <n v="9204"/>
        <n v="9205"/>
        <n v="9206"/>
        <n v="9207"/>
        <n v="9208"/>
        <n v="9209"/>
        <n v="9210"/>
        <n v="9211"/>
        <n v="9212"/>
        <n v="9213"/>
        <n v="9214"/>
        <n v="9215"/>
        <n v="9216"/>
        <n v="9217"/>
        <n v="9218"/>
        <n v="9219"/>
        <n v="9220"/>
        <n v="9221"/>
        <n v="9222"/>
        <n v="9223"/>
        <n v="9224"/>
        <n v="9225"/>
        <n v="9226"/>
        <n v="9227"/>
        <n v="9228"/>
        <n v="9229"/>
        <n v="9230"/>
        <n v="9231"/>
        <n v="9232"/>
        <n v="9233"/>
        <n v="9234"/>
        <n v="9235"/>
        <n v="9236"/>
        <n v="9237"/>
        <n v="9238"/>
        <n v="9239"/>
        <n v="9240"/>
        <n v="9241"/>
        <n v="9242"/>
        <n v="9243"/>
        <n v="9244"/>
        <n v="9245"/>
        <n v="9246"/>
        <n v="9247"/>
        <n v="9248"/>
        <n v="9249"/>
        <n v="9250"/>
        <n v="9251"/>
        <n v="9252"/>
        <n v="9253"/>
        <n v="9254"/>
        <n v="9255"/>
        <n v="9256"/>
        <n v="9257"/>
        <n v="9258"/>
        <n v="9259"/>
        <n v="9260"/>
        <n v="9261"/>
        <n v="9262"/>
        <n v="9263"/>
        <n v="9264"/>
        <n v="9265"/>
        <n v="9266"/>
        <n v="9267"/>
        <n v="9268"/>
        <n v="9269"/>
        <n v="9270"/>
        <n v="9271"/>
        <n v="9272"/>
        <n v="9273"/>
        <n v="9274"/>
        <n v="9275"/>
        <n v="9276"/>
        <n v="9277"/>
        <n v="9278"/>
        <n v="9279"/>
        <n v="9280"/>
        <n v="9281"/>
        <n v="9282"/>
        <n v="9283"/>
        <n v="9284"/>
        <n v="9285"/>
        <n v="9286"/>
        <n v="9287"/>
        <n v="9288"/>
        <n v="9289"/>
        <n v="9290"/>
        <n v="9291"/>
        <n v="9292"/>
        <n v="9293"/>
        <n v="9294"/>
        <n v="9295"/>
        <n v="9296"/>
        <n v="9297"/>
        <n v="9298"/>
        <n v="9299"/>
        <n v="9300"/>
        <n v="9301"/>
        <n v="9302"/>
        <n v="9303"/>
        <n v="9304"/>
        <n v="9305"/>
        <n v="9306"/>
        <n v="9307"/>
        <n v="9308"/>
        <n v="9309"/>
        <n v="9310"/>
        <n v="9311"/>
        <n v="9312"/>
        <n v="9313"/>
        <n v="9314"/>
        <n v="9315"/>
        <n v="9316"/>
        <n v="9317"/>
        <n v="9318"/>
        <n v="9319"/>
        <n v="9320"/>
        <n v="9321"/>
        <n v="9322"/>
        <n v="9323"/>
        <n v="9324"/>
        <n v="9325"/>
        <n v="9326"/>
        <n v="9327"/>
        <n v="9328"/>
        <n v="9329"/>
        <n v="9330"/>
        <n v="9331"/>
        <n v="9332"/>
        <n v="9333"/>
        <n v="9334"/>
        <n v="9335"/>
        <n v="9336"/>
        <n v="9337"/>
        <n v="9338"/>
        <n v="9339"/>
        <n v="9340"/>
        <n v="9341"/>
        <n v="9342"/>
        <n v="9343"/>
        <n v="9344"/>
        <n v="9345"/>
        <n v="9346"/>
        <n v="9347"/>
        <n v="9348"/>
        <n v="9349"/>
        <n v="9350"/>
        <n v="9351"/>
        <n v="9352"/>
        <n v="9353"/>
        <n v="9354"/>
        <n v="9355"/>
        <n v="9356"/>
        <n v="9357"/>
        <n v="9358"/>
        <n v="9359"/>
        <n v="9360"/>
        <n v="9361"/>
        <n v="9362"/>
        <n v="9363"/>
        <n v="9364"/>
        <n v="9365"/>
        <n v="9366"/>
        <n v="9367"/>
        <n v="9368"/>
        <n v="9369"/>
        <n v="9370"/>
        <n v="9371"/>
        <n v="9372"/>
        <n v="9373"/>
        <n v="9374"/>
        <n v="9375"/>
        <n v="9376"/>
        <n v="9377"/>
        <n v="9378"/>
        <n v="9379"/>
        <n v="9380"/>
        <n v="9381"/>
        <n v="9382"/>
        <n v="9383"/>
        <n v="9384"/>
        <n v="9385"/>
        <n v="9386"/>
        <n v="9387"/>
        <n v="9388"/>
        <n v="9389"/>
        <n v="9390"/>
        <n v="9391"/>
        <n v="9392"/>
        <n v="9393"/>
        <n v="9394"/>
        <n v="9395"/>
        <n v="9396"/>
        <n v="9397"/>
        <n v="9398"/>
        <n v="9399"/>
        <n v="9400"/>
        <n v="9401"/>
        <n v="9402"/>
        <n v="9403"/>
        <n v="9404"/>
        <n v="9405"/>
        <n v="9406"/>
        <n v="9407"/>
        <n v="9408"/>
        <n v="9409"/>
        <n v="9410"/>
        <n v="9411"/>
        <n v="9412"/>
        <n v="9413"/>
        <n v="9414"/>
        <n v="9415"/>
        <n v="9416"/>
        <n v="9417"/>
        <n v="9418"/>
        <n v="9419"/>
        <n v="9420"/>
        <n v="9421"/>
        <n v="9422"/>
        <n v="9423"/>
        <n v="9424"/>
        <n v="9425"/>
        <n v="9426"/>
        <n v="9427"/>
        <n v="9428"/>
        <n v="9429"/>
        <n v="9430"/>
        <n v="9431"/>
        <n v="9432"/>
        <n v="9433"/>
        <n v="9434"/>
        <n v="9435"/>
        <n v="9436"/>
        <n v="9437"/>
        <n v="9438"/>
        <n v="9439"/>
        <n v="9440"/>
        <n v="9441"/>
        <n v="9442"/>
        <n v="9443"/>
        <n v="9444"/>
        <n v="9445"/>
        <n v="9446"/>
        <n v="9447"/>
        <n v="9448"/>
        <n v="9449"/>
        <n v="9450"/>
        <n v="9451"/>
        <n v="9452"/>
        <n v="9453"/>
        <n v="9454"/>
        <n v="9455"/>
        <n v="9456"/>
        <n v="9457"/>
        <n v="9458"/>
        <n v="9459"/>
        <n v="9460"/>
        <n v="9461"/>
        <n v="9462"/>
        <n v="9463"/>
        <n v="9464"/>
        <n v="9465"/>
        <n v="9466"/>
        <n v="9467"/>
        <n v="9468"/>
        <n v="9469"/>
        <n v="9470"/>
        <n v="9471"/>
        <n v="9472"/>
        <n v="9473"/>
        <n v="9474"/>
        <n v="9475"/>
        <n v="9476"/>
        <n v="9477"/>
        <n v="9478"/>
        <n v="9479"/>
        <n v="9480"/>
        <n v="9481"/>
        <n v="9482"/>
        <n v="9483"/>
        <n v="9484"/>
        <n v="9485"/>
        <n v="9486"/>
        <n v="9487"/>
        <n v="9488"/>
        <n v="9489"/>
        <n v="9490"/>
        <n v="9491"/>
        <n v="9492"/>
        <n v="9493"/>
        <n v="9494"/>
        <n v="9495"/>
        <n v="9496"/>
        <n v="9497"/>
        <n v="9498"/>
        <n v="9499"/>
        <n v="9500"/>
        <n v="9501"/>
        <n v="9502"/>
        <n v="9503"/>
        <n v="9504"/>
        <n v="9505"/>
        <n v="9506"/>
        <n v="9507"/>
        <n v="9508"/>
        <n v="9509"/>
        <n v="9510"/>
        <n v="9511"/>
        <n v="9512"/>
        <n v="9513"/>
        <n v="9514"/>
        <n v="9515"/>
        <n v="9516"/>
        <n v="9517"/>
        <n v="9518"/>
        <n v="9519"/>
        <n v="9520"/>
        <n v="9521"/>
        <n v="9522"/>
        <n v="9523"/>
        <n v="9524"/>
        <n v="9525"/>
        <n v="9526"/>
        <n v="9527"/>
        <n v="9528"/>
        <n v="9529"/>
        <n v="9530"/>
        <n v="9531"/>
        <n v="9532"/>
        <n v="9533"/>
        <n v="9534"/>
        <n v="9535"/>
        <n v="9536"/>
        <n v="9537"/>
        <n v="9538"/>
        <n v="9539"/>
        <n v="9540"/>
        <n v="9541"/>
        <n v="9542"/>
        <n v="9543"/>
        <n v="9544"/>
        <n v="9545"/>
        <n v="9546"/>
        <n v="9547"/>
        <n v="9548"/>
        <n v="9549"/>
        <n v="9550"/>
        <n v="9551"/>
        <n v="9552"/>
        <n v="9553"/>
        <n v="9554"/>
        <n v="9555"/>
        <n v="9556"/>
        <n v="9557"/>
        <n v="9558"/>
        <n v="9559"/>
        <n v="9560"/>
        <n v="9561"/>
        <n v="9562"/>
        <n v="9563"/>
        <n v="9564"/>
        <n v="9565"/>
        <n v="9566"/>
        <n v="9567"/>
        <n v="9568"/>
        <n v="9569"/>
        <n v="9570"/>
        <n v="9571"/>
        <n v="9572"/>
        <n v="9573"/>
        <n v="9574"/>
        <n v="9575"/>
        <n v="9576"/>
        <n v="9577"/>
        <n v="9578"/>
        <n v="9579"/>
        <n v="9580"/>
        <n v="9581"/>
        <n v="9582"/>
        <n v="9583"/>
        <n v="9584"/>
        <n v="9585"/>
        <n v="9586"/>
        <n v="9587"/>
        <n v="9588"/>
        <n v="9589"/>
        <n v="9590"/>
        <n v="9591"/>
        <n v="9592"/>
        <n v="9593"/>
        <n v="9594"/>
        <n v="9595"/>
        <n v="9596"/>
        <n v="9597"/>
        <n v="9598"/>
        <n v="9599"/>
        <n v="9600"/>
        <n v="9601"/>
        <n v="9602"/>
        <n v="9603"/>
        <n v="9604"/>
        <n v="9605"/>
        <n v="9606"/>
        <n v="9607"/>
        <n v="9608"/>
        <n v="9609"/>
        <n v="9610"/>
        <n v="9611"/>
        <n v="9612"/>
        <n v="9613"/>
        <n v="9614"/>
        <n v="9615"/>
        <n v="9616"/>
        <n v="9617"/>
        <n v="9618"/>
        <n v="9619"/>
        <n v="9620"/>
        <n v="9621"/>
        <n v="9622"/>
        <n v="9623"/>
        <n v="9624"/>
        <n v="9625"/>
        <n v="9626"/>
        <n v="9627"/>
        <n v="9628"/>
        <n v="9629"/>
        <n v="9630"/>
        <n v="9631"/>
        <n v="9632"/>
        <n v="9633"/>
        <n v="9634"/>
        <n v="9635"/>
        <n v="9636"/>
        <n v="9637"/>
        <n v="9638"/>
        <n v="9639"/>
        <n v="9640"/>
        <n v="9641"/>
        <n v="9642"/>
        <n v="9643"/>
        <n v="9644"/>
        <n v="9645"/>
        <n v="9646"/>
        <n v="9647"/>
        <n v="9648"/>
        <n v="9649"/>
        <n v="9650"/>
        <n v="9651"/>
        <n v="9652"/>
        <n v="9653"/>
        <n v="9654"/>
        <n v="9655"/>
        <n v="9656"/>
        <n v="9657"/>
        <n v="9658"/>
        <n v="9659"/>
        <n v="9660"/>
        <n v="9661"/>
        <n v="9662"/>
        <n v="9663"/>
        <n v="9664"/>
        <n v="9665"/>
        <n v="9666"/>
        <n v="9667"/>
        <n v="9668"/>
        <n v="9669"/>
        <n v="9670"/>
        <n v="9671"/>
        <n v="9672"/>
        <n v="9673"/>
        <n v="9674"/>
        <n v="9675"/>
        <n v="9676"/>
        <n v="9677"/>
        <n v="9678"/>
        <n v="9679"/>
        <n v="9680"/>
        <n v="9681"/>
        <n v="9682"/>
        <n v="9683"/>
        <n v="9684"/>
        <n v="9685"/>
        <n v="9686"/>
        <n v="9687"/>
        <n v="9688"/>
        <n v="9689"/>
        <n v="9690"/>
        <n v="9691"/>
        <n v="9692"/>
        <n v="9693"/>
        <n v="9694"/>
        <n v="9695"/>
        <n v="9696"/>
        <n v="9697"/>
        <n v="9698"/>
        <n v="9699"/>
        <n v="9700"/>
        <n v="9701"/>
        <n v="9702"/>
        <n v="9703"/>
        <n v="9704"/>
        <n v="9705"/>
        <n v="9706"/>
        <n v="9707"/>
        <n v="9708"/>
        <n v="9709"/>
        <n v="9710"/>
        <n v="9711"/>
        <n v="9712"/>
        <n v="9713"/>
        <n v="9714"/>
        <n v="9715"/>
        <n v="9716"/>
        <n v="9717"/>
        <n v="9718"/>
        <n v="9719"/>
        <n v="9720"/>
        <n v="9721"/>
        <n v="9722"/>
        <n v="9723"/>
        <n v="9724"/>
        <n v="9725"/>
        <n v="9726"/>
        <n v="9727"/>
        <n v="9728"/>
        <n v="9729"/>
        <n v="9730"/>
        <n v="9731"/>
        <n v="9732"/>
        <n v="9733"/>
        <n v="9734"/>
        <n v="9735"/>
        <n v="9736"/>
        <n v="9737"/>
        <n v="9738"/>
        <n v="9739"/>
        <n v="9740"/>
        <n v="9741"/>
        <n v="9742"/>
        <n v="9743"/>
        <n v="9744"/>
        <n v="9745"/>
        <n v="9746"/>
        <n v="9747"/>
        <n v="9748"/>
        <n v="9749"/>
        <n v="9750"/>
        <n v="9751"/>
        <n v="9752"/>
        <n v="9753"/>
        <n v="9754"/>
        <n v="9755"/>
        <n v="9756"/>
        <n v="9757"/>
        <n v="9758"/>
        <n v="9759"/>
        <n v="9760"/>
        <n v="9761"/>
        <n v="9762"/>
        <n v="9763"/>
        <n v="9764"/>
        <n v="9765"/>
        <n v="9766"/>
        <n v="9767"/>
        <n v="9768"/>
        <n v="9769"/>
        <n v="9770"/>
        <n v="9771"/>
        <n v="9772"/>
        <n v="9773"/>
        <n v="9774"/>
        <n v="9775"/>
        <n v="9776"/>
        <n v="9777"/>
        <n v="9778"/>
        <n v="9779"/>
        <n v="9780"/>
        <n v="9781"/>
        <n v="9782"/>
        <n v="9783"/>
        <n v="9784"/>
        <n v="9785"/>
        <n v="9786"/>
        <n v="9787"/>
        <n v="9788"/>
        <n v="9789"/>
        <n v="9790"/>
        <n v="9791"/>
        <n v="9792"/>
        <n v="9793"/>
        <n v="9794"/>
        <n v="9795"/>
        <n v="9796"/>
        <n v="9797"/>
        <n v="9798"/>
        <n v="9799"/>
        <n v="9800"/>
        <n v="9801"/>
        <n v="9802"/>
        <n v="9803"/>
        <n v="9804"/>
        <n v="9805"/>
        <n v="9806"/>
        <n v="9807"/>
        <n v="9808"/>
        <n v="9809"/>
        <n v="9810"/>
        <n v="9811"/>
        <n v="9812"/>
        <n v="9813"/>
        <n v="9814"/>
        <n v="9815"/>
        <n v="9816"/>
        <n v="9817"/>
        <n v="9818"/>
        <n v="9819"/>
        <n v="9820"/>
        <n v="9821"/>
        <n v="9822"/>
        <n v="9823"/>
        <n v="9824"/>
        <n v="9825"/>
        <n v="9826"/>
        <n v="9827"/>
        <n v="9828"/>
        <n v="9829"/>
        <n v="9830"/>
        <n v="9831"/>
        <n v="9832"/>
        <n v="9833"/>
        <n v="9834"/>
        <n v="9835"/>
        <n v="9836"/>
        <n v="9837"/>
        <n v="9838"/>
        <n v="9839"/>
        <n v="9840"/>
        <n v="9841"/>
        <n v="9842"/>
        <n v="9843"/>
        <n v="9844"/>
        <n v="9845"/>
        <n v="9846"/>
        <n v="9847"/>
        <n v="9848"/>
        <n v="9849"/>
        <n v="9850"/>
        <n v="9851"/>
        <n v="9852"/>
        <n v="9853"/>
        <n v="9854"/>
        <n v="9855"/>
        <n v="9856"/>
        <n v="9857"/>
        <n v="9858"/>
        <n v="9859"/>
        <n v="9860"/>
        <n v="9861"/>
        <n v="9862"/>
        <n v="9863"/>
        <n v="9864"/>
        <n v="9865"/>
        <n v="9866"/>
        <n v="9867"/>
        <n v="9868"/>
        <n v="9869"/>
        <n v="9870"/>
        <n v="9871"/>
        <n v="9872"/>
        <n v="9873"/>
        <n v="9874"/>
        <n v="9875"/>
        <n v="9876"/>
        <n v="9877"/>
        <n v="9878"/>
        <n v="9879"/>
        <n v="9880"/>
        <n v="9881"/>
        <n v="9882"/>
        <n v="9883"/>
        <n v="9884"/>
        <n v="9885"/>
        <n v="9886"/>
        <n v="9887"/>
        <n v="9888"/>
        <n v="9889"/>
        <n v="9890"/>
        <n v="9891"/>
        <n v="9892"/>
        <n v="9893"/>
        <n v="9894"/>
        <n v="9895"/>
        <n v="9896"/>
        <n v="9897"/>
        <n v="9898"/>
        <n v="9899"/>
        <n v="9900"/>
        <n v="9901"/>
        <n v="9902"/>
        <n v="9903"/>
        <n v="9904"/>
        <n v="9905"/>
        <n v="9906"/>
        <n v="9907"/>
        <n v="9908"/>
        <n v="9909"/>
        <n v="9910"/>
        <n v="9911"/>
        <n v="9912"/>
        <n v="9913"/>
        <n v="9914"/>
        <n v="9915"/>
        <n v="9916"/>
        <n v="9917"/>
        <n v="9918"/>
        <n v="9919"/>
        <n v="9920"/>
        <n v="9921"/>
        <n v="9922"/>
        <n v="9923"/>
        <n v="9924"/>
        <n v="9925"/>
        <n v="9926"/>
        <n v="9927"/>
        <n v="9928"/>
        <n v="9929"/>
        <n v="9930"/>
        <n v="9931"/>
        <n v="9932"/>
        <n v="9933"/>
        <n v="9934"/>
        <n v="9935"/>
        <n v="9936"/>
        <n v="9937"/>
        <n v="9938"/>
        <n v="9939"/>
        <n v="9940"/>
        <n v="9941"/>
        <n v="9942"/>
        <n v="9943"/>
        <n v="9944"/>
        <n v="9945"/>
        <n v="9946"/>
        <n v="9947"/>
        <n v="9948"/>
        <n v="9949"/>
        <n v="9950"/>
        <n v="9951"/>
        <n v="9952"/>
        <n v="9953"/>
        <n v="9954"/>
        <n v="9955"/>
        <n v="9956"/>
        <n v="9957"/>
        <n v="9958"/>
        <n v="9959"/>
        <n v="9960"/>
        <n v="9961"/>
        <n v="9962"/>
        <n v="9963"/>
        <n v="9964"/>
        <n v="9965"/>
        <n v="9966"/>
        <n v="9967"/>
        <n v="9968"/>
        <n v="9969"/>
        <n v="9970"/>
        <n v="9971"/>
        <n v="9972"/>
        <n v="9973"/>
        <n v="9974"/>
        <n v="9975"/>
        <n v="9976"/>
        <n v="9977"/>
        <n v="9978"/>
        <n v="9979"/>
        <n v="9980"/>
        <n v="9981"/>
        <n v="9982"/>
        <n v="9983"/>
        <n v="9984"/>
        <n v="9985"/>
        <n v="9986"/>
        <n v="9987"/>
        <n v="9988"/>
        <n v="9989"/>
        <n v="9990"/>
        <n v="9991"/>
        <n v="9992"/>
        <n v="9993"/>
        <n v="9994"/>
        <n v="9995"/>
        <n v="9996"/>
        <n v="9997"/>
        <n v="9998"/>
        <n v="9999"/>
        <n v="10000"/>
      </sharedItems>
    </cacheField>
    <cacheField name="Starting IL" numFmtId="2">
      <sharedItems containsSemiMixedTypes="0" containsString="0" containsNumber="1" containsInteger="1" minValue="-40" maxValue="80"/>
    </cacheField>
    <cacheField name="Starting OO" numFmtId="2">
      <sharedItems containsSemiMixedTypes="0" containsString="0" containsNumber="1" containsInteger="1" minValue="0" maxValue="90"/>
    </cacheField>
    <cacheField name="Starting IP" numFmtId="2">
      <sharedItems containsSemiMixedTypes="0" containsString="0" containsNumber="1" containsInteger="1" minValue="0" maxValue="80"/>
    </cacheField>
    <cacheField name="Order Qty" numFmtId="2">
      <sharedItems containsSemiMixedTypes="0" containsString="0" containsNumber="1" containsInteger="1" minValue="0" maxValue="80"/>
    </cacheField>
    <cacheField name="Shipment Rec'd" numFmtId="2">
      <sharedItems containsSemiMixedTypes="0" containsString="0" containsNumber="1" containsInteger="1" minValue="0" maxValue="80"/>
    </cacheField>
    <cacheField name="Mid IL" numFmtId="2">
      <sharedItems containsSemiMixedTypes="0" containsString="0" containsNumber="1" containsInteger="1" minValue="-13" maxValue="400" count="171">
        <n v="0"/>
        <n v="80"/>
        <n v="60"/>
        <n v="45"/>
        <n v="20"/>
        <n v="21"/>
        <n v="10"/>
        <n v="14"/>
        <n v="16"/>
        <n v="29"/>
        <n v="31"/>
        <n v="35"/>
        <n v="27"/>
        <n v="30"/>
        <n v="33"/>
        <n v="32"/>
        <n v="26"/>
        <n v="12"/>
        <n v="3"/>
        <n v="-2"/>
        <n v="9"/>
        <n v="13"/>
        <n v="17"/>
        <n v="19"/>
        <n v="23"/>
        <n v="28"/>
        <n v="15"/>
        <n v="25"/>
        <n v="22"/>
        <n v="8"/>
        <n v="11"/>
        <n v="7"/>
        <n v="24"/>
        <n v="18"/>
        <n v="41"/>
        <n v="2"/>
        <n v="-5"/>
        <n v="4"/>
        <n v="34"/>
        <n v="6"/>
        <n v="38"/>
        <n v="-1"/>
        <n v="-3"/>
        <n v="1"/>
        <n v="5"/>
        <n v="36"/>
        <n v="40"/>
        <n v="-6"/>
        <n v="-8"/>
        <n v="-10"/>
        <n v="-7"/>
        <n v="37"/>
        <n v="39"/>
        <n v="-4"/>
        <n v="-9"/>
        <n v="43"/>
        <n v="42"/>
        <n v="44"/>
        <n v="52"/>
        <n v="47"/>
        <n v="46"/>
        <n v="96" u="1"/>
        <n v="135" u="1"/>
        <n v="57" u="1"/>
        <n v="121" u="1"/>
        <n v="75" u="1"/>
        <n v="100" u="1"/>
        <n v="143" u="1"/>
        <n v="59" u="1"/>
        <n v="125" u="1"/>
        <n v="79" u="1"/>
        <n v="104" u="1"/>
        <n v="151" u="1"/>
        <n v="61" u="1"/>
        <n v="130" u="1"/>
        <n v="83" u="1"/>
        <n v="108" u="1"/>
        <n v="63" u="1"/>
        <n v="138" u="1"/>
        <n v="87" u="1"/>
        <n v="112" u="1"/>
        <n v="66" u="1"/>
        <n v="146" u="1"/>
        <n v="91" u="1"/>
        <n v="116" u="1"/>
        <n v="70" u="1"/>
        <n v="154" u="1"/>
        <n v="95" u="1"/>
        <n v="133" u="1"/>
        <n v="120" u="1"/>
        <n v="74" u="1"/>
        <n v="99" u="1"/>
        <n v="141" u="1"/>
        <n v="310" u="1"/>
        <n v="124" u="1"/>
        <n v="78" u="1"/>
        <n v="48" u="1"/>
        <n v="103" u="1"/>
        <n v="149" u="1"/>
        <n v="128" u="1"/>
        <n v="82" u="1"/>
        <n v="50" u="1"/>
        <n v="107" u="1"/>
        <n v="136" u="1"/>
        <n v="86" u="1"/>
        <n v="400" u="1"/>
        <n v="111" u="1"/>
        <n v="65" u="1"/>
        <n v="144" u="1"/>
        <n v="90" u="1"/>
        <n v="-11" u="1"/>
        <n v="54" u="1"/>
        <n v="115" u="1"/>
        <n v="69" u="1"/>
        <n v="152" u="1"/>
        <n v="94" u="1"/>
        <n v="131" u="1"/>
        <n v="56" u="1"/>
        <n v="119" u="1"/>
        <n v="73" u="1"/>
        <n v="98" u="1"/>
        <n v="139" u="1"/>
        <n v="-12" u="1"/>
        <n v="58" u="1"/>
        <n v="123" u="1"/>
        <n v="77" u="1"/>
        <n v="102" u="1"/>
        <n v="147" u="1"/>
        <n v="127" u="1"/>
        <n v="81" u="1"/>
        <n v="106" u="1"/>
        <n v="155" u="1"/>
        <n v="-13" u="1"/>
        <n v="62" u="1"/>
        <n v="134" u="1"/>
        <n v="85" u="1"/>
        <n v="110" u="1"/>
        <n v="64" u="1"/>
        <n v="142" u="1"/>
        <n v="89" u="1"/>
        <n v="114" u="1"/>
        <n v="68" u="1"/>
        <n v="150" u="1"/>
        <n v="93" u="1"/>
        <n v="129" u="1"/>
        <n v="118" u="1"/>
        <n v="72" u="1"/>
        <n v="97" u="1"/>
        <n v="137" u="1"/>
        <n v="122" u="1"/>
        <n v="76" u="1"/>
        <n v="101" u="1"/>
        <n v="145" u="1"/>
        <n v="126" u="1"/>
        <n v="49" u="1"/>
        <n v="105" u="1"/>
        <n v="132" u="1"/>
        <n v="84" u="1"/>
        <n v="51" u="1"/>
        <n v="109" u="1"/>
        <n v="140" u="1"/>
        <n v="88" u="1"/>
        <n v="53" u="1"/>
        <n v="113" u="1"/>
        <n v="67" u="1"/>
        <n v="148" u="1"/>
        <n v="92" u="1"/>
        <n v="198" u="1"/>
        <n v="55" u="1"/>
        <n v="117" u="1"/>
        <n v="71" u="1"/>
      </sharedItems>
    </cacheField>
    <cacheField name="Demand" numFmtId="2">
      <sharedItems containsSemiMixedTypes="0" containsString="0" containsNumber="1" containsInteger="1" minValue="0" maxValue="40"/>
    </cacheField>
    <cacheField name="Ending IL" numFmtId="2">
      <sharedItems containsSemiMixedTypes="0" containsString="0" containsNumber="1" containsInteger="1" minValue="-40" maxValue="80"/>
    </cacheField>
    <cacheField name="Ending OO" numFmtId="2">
      <sharedItems containsSemiMixedTypes="0" containsString="0" containsNumber="1" containsInteger="1" minValue="0" maxValue="90"/>
    </cacheField>
    <cacheField name="Holding Cost" numFmtId="164">
      <sharedItems containsSemiMixedTypes="0" containsString="0" containsNumber="1" minValue="0" maxValue="6"/>
    </cacheField>
    <cacheField name="Stockout?" numFmtId="0">
      <sharedItems containsSemiMixedTypes="0" containsString="0" containsNumber="1" containsInteger="1" minValue="0" maxValue="1"/>
    </cacheField>
    <cacheField name="# Stockouts" numFmtId="2">
      <sharedItems containsSemiMixedTypes="0" containsString="0" containsNumber="1" containsInteger="1" minValue="0" maxValue="3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0101">
  <r>
    <x v="0"/>
    <n v="0"/>
    <n v="0"/>
    <n v="0"/>
    <n v="0"/>
    <n v="0"/>
    <x v="0"/>
    <n v="0"/>
    <n v="0"/>
    <n v="0"/>
    <n v="0"/>
    <n v="0"/>
    <n v="0"/>
  </r>
  <r>
    <x v="1"/>
    <n v="0"/>
    <n v="0"/>
    <n v="0"/>
    <n v="0"/>
    <n v="0"/>
    <x v="0"/>
    <n v="0"/>
    <n v="0"/>
    <n v="0"/>
    <n v="0"/>
    <n v="0"/>
    <n v="0"/>
  </r>
  <r>
    <x v="2"/>
    <n v="0"/>
    <n v="0"/>
    <n v="0"/>
    <n v="0"/>
    <n v="0"/>
    <x v="0"/>
    <n v="0"/>
    <n v="0"/>
    <n v="0"/>
    <n v="0"/>
    <n v="0"/>
    <n v="0"/>
  </r>
  <r>
    <x v="3"/>
    <n v="0"/>
    <n v="0"/>
    <n v="0"/>
    <n v="0"/>
    <n v="0"/>
    <x v="0"/>
    <n v="0"/>
    <n v="0"/>
    <n v="0"/>
    <n v="0"/>
    <n v="0"/>
    <n v="0"/>
  </r>
  <r>
    <x v="4"/>
    <n v="0"/>
    <n v="0"/>
    <n v="0"/>
    <n v="0"/>
    <n v="0"/>
    <x v="0"/>
    <n v="0"/>
    <n v="0"/>
    <n v="0"/>
    <n v="0"/>
    <n v="0"/>
    <n v="0"/>
  </r>
  <r>
    <x v="5"/>
    <n v="0"/>
    <n v="0"/>
    <n v="0"/>
    <n v="0"/>
    <n v="0"/>
    <x v="0"/>
    <n v="0"/>
    <n v="0"/>
    <n v="0"/>
    <n v="0"/>
    <n v="0"/>
    <n v="0"/>
  </r>
  <r>
    <x v="6"/>
    <n v="0"/>
    <n v="0"/>
    <n v="0"/>
    <n v="0"/>
    <n v="0"/>
    <x v="0"/>
    <n v="0"/>
    <n v="0"/>
    <n v="0"/>
    <n v="0"/>
    <n v="0"/>
    <n v="0"/>
  </r>
  <r>
    <x v="7"/>
    <n v="0"/>
    <n v="0"/>
    <n v="0"/>
    <n v="0"/>
    <n v="0"/>
    <x v="0"/>
    <n v="0"/>
    <n v="0"/>
    <n v="0"/>
    <n v="0"/>
    <n v="0"/>
    <n v="0"/>
  </r>
  <r>
    <x v="8"/>
    <n v="0"/>
    <n v="0"/>
    <n v="0"/>
    <n v="0"/>
    <n v="0"/>
    <x v="0"/>
    <n v="0"/>
    <n v="0"/>
    <n v="0"/>
    <n v="0"/>
    <n v="0"/>
    <n v="0"/>
  </r>
  <r>
    <x v="9"/>
    <n v="0"/>
    <n v="0"/>
    <n v="0"/>
    <n v="0"/>
    <n v="0"/>
    <x v="0"/>
    <n v="0"/>
    <n v="0"/>
    <n v="0"/>
    <n v="0"/>
    <n v="0"/>
    <n v="0"/>
  </r>
  <r>
    <x v="10"/>
    <n v="0"/>
    <n v="0"/>
    <n v="0"/>
    <n v="0"/>
    <n v="0"/>
    <x v="0"/>
    <n v="0"/>
    <n v="0"/>
    <n v="0"/>
    <n v="0"/>
    <n v="0"/>
    <n v="0"/>
  </r>
  <r>
    <x v="11"/>
    <n v="0"/>
    <n v="0"/>
    <n v="0"/>
    <n v="0"/>
    <n v="0"/>
    <x v="0"/>
    <n v="0"/>
    <n v="0"/>
    <n v="0"/>
    <n v="0"/>
    <n v="0"/>
    <n v="0"/>
  </r>
  <r>
    <x v="12"/>
    <n v="0"/>
    <n v="0"/>
    <n v="0"/>
    <n v="0"/>
    <n v="0"/>
    <x v="0"/>
    <n v="0"/>
    <n v="0"/>
    <n v="0"/>
    <n v="0"/>
    <n v="0"/>
    <n v="0"/>
  </r>
  <r>
    <x v="13"/>
    <n v="0"/>
    <n v="0"/>
    <n v="0"/>
    <n v="0"/>
    <n v="0"/>
    <x v="0"/>
    <n v="0"/>
    <n v="0"/>
    <n v="0"/>
    <n v="0"/>
    <n v="0"/>
    <n v="0"/>
  </r>
  <r>
    <x v="14"/>
    <n v="0"/>
    <n v="0"/>
    <n v="0"/>
    <n v="0"/>
    <n v="0"/>
    <x v="0"/>
    <n v="0"/>
    <n v="0"/>
    <n v="0"/>
    <n v="0"/>
    <n v="0"/>
    <n v="0"/>
  </r>
  <r>
    <x v="15"/>
    <n v="0"/>
    <n v="0"/>
    <n v="0"/>
    <n v="0"/>
    <n v="0"/>
    <x v="0"/>
    <n v="0"/>
    <n v="0"/>
    <n v="0"/>
    <n v="0"/>
    <n v="0"/>
    <n v="0"/>
  </r>
  <r>
    <x v="16"/>
    <n v="0"/>
    <n v="0"/>
    <n v="0"/>
    <n v="0"/>
    <n v="0"/>
    <x v="0"/>
    <n v="0"/>
    <n v="0"/>
    <n v="0"/>
    <n v="0"/>
    <n v="0"/>
    <n v="0"/>
  </r>
  <r>
    <x v="17"/>
    <n v="0"/>
    <n v="0"/>
    <n v="0"/>
    <n v="0"/>
    <n v="0"/>
    <x v="0"/>
    <n v="0"/>
    <n v="0"/>
    <n v="0"/>
    <n v="0"/>
    <n v="0"/>
    <n v="0"/>
  </r>
  <r>
    <x v="18"/>
    <n v="0"/>
    <n v="0"/>
    <n v="0"/>
    <n v="0"/>
    <n v="0"/>
    <x v="0"/>
    <n v="0"/>
    <n v="0"/>
    <n v="0"/>
    <n v="0"/>
    <n v="0"/>
    <n v="0"/>
  </r>
  <r>
    <x v="19"/>
    <n v="0"/>
    <n v="0"/>
    <n v="0"/>
    <n v="0"/>
    <n v="0"/>
    <x v="0"/>
    <n v="0"/>
    <n v="0"/>
    <n v="0"/>
    <n v="0"/>
    <n v="0"/>
    <n v="0"/>
  </r>
  <r>
    <x v="20"/>
    <n v="0"/>
    <n v="0"/>
    <n v="0"/>
    <n v="0"/>
    <n v="0"/>
    <x v="0"/>
    <n v="0"/>
    <n v="0"/>
    <n v="0"/>
    <n v="0"/>
    <n v="0"/>
    <n v="0"/>
  </r>
  <r>
    <x v="21"/>
    <n v="0"/>
    <n v="0"/>
    <n v="0"/>
    <n v="0"/>
    <n v="0"/>
    <x v="0"/>
    <n v="0"/>
    <n v="0"/>
    <n v="0"/>
    <n v="0"/>
    <n v="0"/>
    <n v="0"/>
  </r>
  <r>
    <x v="22"/>
    <n v="0"/>
    <n v="0"/>
    <n v="0"/>
    <n v="0"/>
    <n v="0"/>
    <x v="0"/>
    <n v="0"/>
    <n v="0"/>
    <n v="0"/>
    <n v="0"/>
    <n v="0"/>
    <n v="0"/>
  </r>
  <r>
    <x v="23"/>
    <n v="0"/>
    <n v="0"/>
    <n v="0"/>
    <n v="0"/>
    <n v="0"/>
    <x v="0"/>
    <n v="0"/>
    <n v="0"/>
    <n v="0"/>
    <n v="0"/>
    <n v="0"/>
    <n v="0"/>
  </r>
  <r>
    <x v="24"/>
    <n v="0"/>
    <n v="0"/>
    <n v="0"/>
    <n v="0"/>
    <n v="0"/>
    <x v="0"/>
    <n v="0"/>
    <n v="0"/>
    <n v="0"/>
    <n v="0"/>
    <n v="0"/>
    <n v="0"/>
  </r>
  <r>
    <x v="25"/>
    <n v="0"/>
    <n v="0"/>
    <n v="0"/>
    <n v="0"/>
    <n v="0"/>
    <x v="0"/>
    <n v="0"/>
    <n v="0"/>
    <n v="0"/>
    <n v="0"/>
    <n v="0"/>
    <n v="0"/>
  </r>
  <r>
    <x v="26"/>
    <n v="0"/>
    <n v="0"/>
    <n v="0"/>
    <n v="0"/>
    <n v="0"/>
    <x v="0"/>
    <n v="0"/>
    <n v="0"/>
    <n v="0"/>
    <n v="0"/>
    <n v="0"/>
    <n v="0"/>
  </r>
  <r>
    <x v="27"/>
    <n v="0"/>
    <n v="0"/>
    <n v="0"/>
    <n v="0"/>
    <n v="0"/>
    <x v="0"/>
    <n v="0"/>
    <n v="0"/>
    <n v="0"/>
    <n v="0"/>
    <n v="0"/>
    <n v="0"/>
  </r>
  <r>
    <x v="28"/>
    <n v="0"/>
    <n v="0"/>
    <n v="0"/>
    <n v="0"/>
    <n v="0"/>
    <x v="0"/>
    <n v="0"/>
    <n v="0"/>
    <n v="0"/>
    <n v="0"/>
    <n v="0"/>
    <n v="0"/>
  </r>
  <r>
    <x v="29"/>
    <n v="0"/>
    <n v="0"/>
    <n v="0"/>
    <n v="0"/>
    <n v="0"/>
    <x v="0"/>
    <n v="0"/>
    <n v="0"/>
    <n v="0"/>
    <n v="0"/>
    <n v="0"/>
    <n v="0"/>
  </r>
  <r>
    <x v="30"/>
    <n v="0"/>
    <n v="0"/>
    <n v="0"/>
    <n v="0"/>
    <n v="0"/>
    <x v="0"/>
    <n v="0"/>
    <n v="0"/>
    <n v="0"/>
    <n v="0"/>
    <n v="0"/>
    <n v="0"/>
  </r>
  <r>
    <x v="31"/>
    <n v="0"/>
    <n v="0"/>
    <n v="0"/>
    <n v="0"/>
    <n v="0"/>
    <x v="0"/>
    <n v="0"/>
    <n v="0"/>
    <n v="0"/>
    <n v="0"/>
    <n v="0"/>
    <n v="0"/>
  </r>
  <r>
    <x v="32"/>
    <n v="0"/>
    <n v="0"/>
    <n v="0"/>
    <n v="0"/>
    <n v="0"/>
    <x v="0"/>
    <n v="0"/>
    <n v="0"/>
    <n v="0"/>
    <n v="0"/>
    <n v="0"/>
    <n v="0"/>
  </r>
  <r>
    <x v="33"/>
    <n v="0"/>
    <n v="0"/>
    <n v="0"/>
    <n v="0"/>
    <n v="0"/>
    <x v="0"/>
    <n v="0"/>
    <n v="0"/>
    <n v="0"/>
    <n v="0"/>
    <n v="0"/>
    <n v="0"/>
  </r>
  <r>
    <x v="34"/>
    <n v="0"/>
    <n v="0"/>
    <n v="0"/>
    <n v="0"/>
    <n v="0"/>
    <x v="0"/>
    <n v="0"/>
    <n v="0"/>
    <n v="0"/>
    <n v="0"/>
    <n v="0"/>
    <n v="0"/>
  </r>
  <r>
    <x v="35"/>
    <n v="0"/>
    <n v="0"/>
    <n v="0"/>
    <n v="0"/>
    <n v="0"/>
    <x v="0"/>
    <n v="0"/>
    <n v="0"/>
    <n v="0"/>
    <n v="0"/>
    <n v="0"/>
    <n v="0"/>
  </r>
  <r>
    <x v="36"/>
    <n v="0"/>
    <n v="0"/>
    <n v="0"/>
    <n v="0"/>
    <n v="0"/>
    <x v="0"/>
    <n v="0"/>
    <n v="0"/>
    <n v="0"/>
    <n v="0"/>
    <n v="0"/>
    <n v="0"/>
  </r>
  <r>
    <x v="37"/>
    <n v="0"/>
    <n v="0"/>
    <n v="0"/>
    <n v="0"/>
    <n v="0"/>
    <x v="0"/>
    <n v="0"/>
    <n v="0"/>
    <n v="0"/>
    <n v="0"/>
    <n v="0"/>
    <n v="0"/>
  </r>
  <r>
    <x v="38"/>
    <n v="0"/>
    <n v="0"/>
    <n v="0"/>
    <n v="0"/>
    <n v="0"/>
    <x v="0"/>
    <n v="0"/>
    <n v="0"/>
    <n v="0"/>
    <n v="0"/>
    <n v="0"/>
    <n v="0"/>
  </r>
  <r>
    <x v="39"/>
    <n v="0"/>
    <n v="0"/>
    <n v="0"/>
    <n v="0"/>
    <n v="0"/>
    <x v="0"/>
    <n v="0"/>
    <n v="0"/>
    <n v="0"/>
    <n v="0"/>
    <n v="0"/>
    <n v="0"/>
  </r>
  <r>
    <x v="40"/>
    <n v="0"/>
    <n v="0"/>
    <n v="0"/>
    <n v="0"/>
    <n v="0"/>
    <x v="0"/>
    <n v="0"/>
    <n v="0"/>
    <n v="0"/>
    <n v="0"/>
    <n v="0"/>
    <n v="0"/>
  </r>
  <r>
    <x v="41"/>
    <n v="0"/>
    <n v="0"/>
    <n v="0"/>
    <n v="0"/>
    <n v="0"/>
    <x v="0"/>
    <n v="0"/>
    <n v="0"/>
    <n v="0"/>
    <n v="0"/>
    <n v="0"/>
    <n v="0"/>
  </r>
  <r>
    <x v="42"/>
    <n v="0"/>
    <n v="0"/>
    <n v="0"/>
    <n v="0"/>
    <n v="0"/>
    <x v="0"/>
    <n v="0"/>
    <n v="0"/>
    <n v="0"/>
    <n v="0"/>
    <n v="0"/>
    <n v="0"/>
  </r>
  <r>
    <x v="43"/>
    <n v="0"/>
    <n v="0"/>
    <n v="0"/>
    <n v="0"/>
    <n v="0"/>
    <x v="0"/>
    <n v="0"/>
    <n v="0"/>
    <n v="0"/>
    <n v="0"/>
    <n v="0"/>
    <n v="0"/>
  </r>
  <r>
    <x v="44"/>
    <n v="0"/>
    <n v="0"/>
    <n v="0"/>
    <n v="0"/>
    <n v="0"/>
    <x v="0"/>
    <n v="0"/>
    <n v="0"/>
    <n v="0"/>
    <n v="0"/>
    <n v="0"/>
    <n v="0"/>
  </r>
  <r>
    <x v="45"/>
    <n v="0"/>
    <n v="0"/>
    <n v="0"/>
    <n v="0"/>
    <n v="0"/>
    <x v="0"/>
    <n v="0"/>
    <n v="0"/>
    <n v="0"/>
    <n v="0"/>
    <n v="0"/>
    <n v="0"/>
  </r>
  <r>
    <x v="46"/>
    <n v="0"/>
    <n v="0"/>
    <n v="0"/>
    <n v="0"/>
    <n v="0"/>
    <x v="0"/>
    <n v="0"/>
    <n v="0"/>
    <n v="0"/>
    <n v="0"/>
    <n v="0"/>
    <n v="0"/>
  </r>
  <r>
    <x v="47"/>
    <n v="0"/>
    <n v="0"/>
    <n v="0"/>
    <n v="0"/>
    <n v="0"/>
    <x v="0"/>
    <n v="0"/>
    <n v="0"/>
    <n v="0"/>
    <n v="0"/>
    <n v="0"/>
    <n v="0"/>
  </r>
  <r>
    <x v="48"/>
    <n v="0"/>
    <n v="0"/>
    <n v="0"/>
    <n v="0"/>
    <n v="0"/>
    <x v="0"/>
    <n v="0"/>
    <n v="0"/>
    <n v="0"/>
    <n v="0"/>
    <n v="0"/>
    <n v="0"/>
  </r>
  <r>
    <x v="49"/>
    <n v="0"/>
    <n v="0"/>
    <n v="0"/>
    <n v="0"/>
    <n v="0"/>
    <x v="0"/>
    <n v="0"/>
    <n v="0"/>
    <n v="0"/>
    <n v="0"/>
    <n v="0"/>
    <n v="0"/>
  </r>
  <r>
    <x v="50"/>
    <n v="0"/>
    <n v="0"/>
    <n v="0"/>
    <n v="0"/>
    <n v="0"/>
    <x v="0"/>
    <n v="0"/>
    <n v="0"/>
    <n v="0"/>
    <n v="0"/>
    <n v="0"/>
    <n v="0"/>
  </r>
  <r>
    <x v="51"/>
    <n v="0"/>
    <n v="0"/>
    <n v="0"/>
    <n v="0"/>
    <n v="0"/>
    <x v="0"/>
    <n v="0"/>
    <n v="0"/>
    <n v="0"/>
    <n v="0"/>
    <n v="0"/>
    <n v="0"/>
  </r>
  <r>
    <x v="52"/>
    <n v="0"/>
    <n v="0"/>
    <n v="0"/>
    <n v="0"/>
    <n v="0"/>
    <x v="0"/>
    <n v="0"/>
    <n v="0"/>
    <n v="0"/>
    <n v="0"/>
    <n v="0"/>
    <n v="0"/>
  </r>
  <r>
    <x v="53"/>
    <n v="0"/>
    <n v="0"/>
    <n v="0"/>
    <n v="0"/>
    <n v="0"/>
    <x v="0"/>
    <n v="0"/>
    <n v="0"/>
    <n v="0"/>
    <n v="0"/>
    <n v="0"/>
    <n v="0"/>
  </r>
  <r>
    <x v="54"/>
    <n v="0"/>
    <n v="0"/>
    <n v="0"/>
    <n v="0"/>
    <n v="0"/>
    <x v="0"/>
    <n v="0"/>
    <n v="0"/>
    <n v="0"/>
    <n v="0"/>
    <n v="0"/>
    <n v="0"/>
  </r>
  <r>
    <x v="55"/>
    <n v="0"/>
    <n v="0"/>
    <n v="0"/>
    <n v="0"/>
    <n v="0"/>
    <x v="0"/>
    <n v="0"/>
    <n v="0"/>
    <n v="0"/>
    <n v="0"/>
    <n v="0"/>
    <n v="0"/>
  </r>
  <r>
    <x v="56"/>
    <n v="0"/>
    <n v="0"/>
    <n v="0"/>
    <n v="0"/>
    <n v="0"/>
    <x v="0"/>
    <n v="0"/>
    <n v="0"/>
    <n v="0"/>
    <n v="0"/>
    <n v="0"/>
    <n v="0"/>
  </r>
  <r>
    <x v="57"/>
    <n v="0"/>
    <n v="0"/>
    <n v="0"/>
    <n v="0"/>
    <n v="0"/>
    <x v="0"/>
    <n v="0"/>
    <n v="0"/>
    <n v="0"/>
    <n v="0"/>
    <n v="0"/>
    <n v="0"/>
  </r>
  <r>
    <x v="58"/>
    <n v="0"/>
    <n v="0"/>
    <n v="0"/>
    <n v="0"/>
    <n v="0"/>
    <x v="0"/>
    <n v="0"/>
    <n v="0"/>
    <n v="0"/>
    <n v="0"/>
    <n v="0"/>
    <n v="0"/>
  </r>
  <r>
    <x v="59"/>
    <n v="0"/>
    <n v="0"/>
    <n v="0"/>
    <n v="0"/>
    <n v="0"/>
    <x v="0"/>
    <n v="0"/>
    <n v="0"/>
    <n v="0"/>
    <n v="0"/>
    <n v="0"/>
    <n v="0"/>
  </r>
  <r>
    <x v="60"/>
    <n v="0"/>
    <n v="0"/>
    <n v="0"/>
    <n v="0"/>
    <n v="0"/>
    <x v="0"/>
    <n v="0"/>
    <n v="0"/>
    <n v="0"/>
    <n v="0"/>
    <n v="0"/>
    <n v="0"/>
  </r>
  <r>
    <x v="61"/>
    <n v="0"/>
    <n v="0"/>
    <n v="0"/>
    <n v="0"/>
    <n v="0"/>
    <x v="0"/>
    <n v="0"/>
    <n v="0"/>
    <n v="0"/>
    <n v="0"/>
    <n v="0"/>
    <n v="0"/>
  </r>
  <r>
    <x v="62"/>
    <n v="0"/>
    <n v="0"/>
    <n v="0"/>
    <n v="0"/>
    <n v="0"/>
    <x v="0"/>
    <n v="0"/>
    <n v="0"/>
    <n v="0"/>
    <n v="0"/>
    <n v="0"/>
    <n v="0"/>
  </r>
  <r>
    <x v="63"/>
    <n v="0"/>
    <n v="0"/>
    <n v="0"/>
    <n v="0"/>
    <n v="0"/>
    <x v="0"/>
    <n v="0"/>
    <n v="0"/>
    <n v="0"/>
    <n v="0"/>
    <n v="0"/>
    <n v="0"/>
  </r>
  <r>
    <x v="64"/>
    <n v="0"/>
    <n v="0"/>
    <n v="0"/>
    <n v="0"/>
    <n v="0"/>
    <x v="0"/>
    <n v="0"/>
    <n v="0"/>
    <n v="0"/>
    <n v="0"/>
    <n v="0"/>
    <n v="0"/>
  </r>
  <r>
    <x v="65"/>
    <n v="0"/>
    <n v="0"/>
    <n v="0"/>
    <n v="0"/>
    <n v="0"/>
    <x v="0"/>
    <n v="0"/>
    <n v="0"/>
    <n v="0"/>
    <n v="0"/>
    <n v="0"/>
    <n v="0"/>
  </r>
  <r>
    <x v="66"/>
    <n v="0"/>
    <n v="0"/>
    <n v="0"/>
    <n v="0"/>
    <n v="0"/>
    <x v="0"/>
    <n v="0"/>
    <n v="0"/>
    <n v="0"/>
    <n v="0"/>
    <n v="0"/>
    <n v="0"/>
  </r>
  <r>
    <x v="67"/>
    <n v="0"/>
    <n v="0"/>
    <n v="0"/>
    <n v="0"/>
    <n v="0"/>
    <x v="0"/>
    <n v="0"/>
    <n v="0"/>
    <n v="0"/>
    <n v="0"/>
    <n v="0"/>
    <n v="0"/>
  </r>
  <r>
    <x v="68"/>
    <n v="0"/>
    <n v="0"/>
    <n v="0"/>
    <n v="0"/>
    <n v="0"/>
    <x v="0"/>
    <n v="0"/>
    <n v="0"/>
    <n v="0"/>
    <n v="0"/>
    <n v="0"/>
    <n v="0"/>
  </r>
  <r>
    <x v="69"/>
    <n v="0"/>
    <n v="0"/>
    <n v="0"/>
    <n v="0"/>
    <n v="0"/>
    <x v="0"/>
    <n v="0"/>
    <n v="0"/>
    <n v="0"/>
    <n v="0"/>
    <n v="0"/>
    <n v="0"/>
  </r>
  <r>
    <x v="70"/>
    <n v="0"/>
    <n v="0"/>
    <n v="0"/>
    <n v="0"/>
    <n v="0"/>
    <x v="0"/>
    <n v="0"/>
    <n v="0"/>
    <n v="0"/>
    <n v="0"/>
    <n v="0"/>
    <n v="0"/>
  </r>
  <r>
    <x v="71"/>
    <n v="0"/>
    <n v="0"/>
    <n v="0"/>
    <n v="0"/>
    <n v="0"/>
    <x v="0"/>
    <n v="0"/>
    <n v="0"/>
    <n v="0"/>
    <n v="0"/>
    <n v="0"/>
    <n v="0"/>
  </r>
  <r>
    <x v="72"/>
    <n v="0"/>
    <n v="0"/>
    <n v="0"/>
    <n v="0"/>
    <n v="0"/>
    <x v="0"/>
    <n v="0"/>
    <n v="0"/>
    <n v="0"/>
    <n v="0"/>
    <n v="0"/>
    <n v="0"/>
  </r>
  <r>
    <x v="73"/>
    <n v="0"/>
    <n v="0"/>
    <n v="0"/>
    <n v="0"/>
    <n v="0"/>
    <x v="0"/>
    <n v="0"/>
    <n v="0"/>
    <n v="0"/>
    <n v="0"/>
    <n v="0"/>
    <n v="0"/>
  </r>
  <r>
    <x v="74"/>
    <n v="0"/>
    <n v="0"/>
    <n v="0"/>
    <n v="0"/>
    <n v="0"/>
    <x v="0"/>
    <n v="0"/>
    <n v="0"/>
    <n v="0"/>
    <n v="0"/>
    <n v="0"/>
    <n v="0"/>
  </r>
  <r>
    <x v="75"/>
    <n v="0"/>
    <n v="0"/>
    <n v="0"/>
    <n v="0"/>
    <n v="0"/>
    <x v="0"/>
    <n v="0"/>
    <n v="0"/>
    <n v="0"/>
    <n v="0"/>
    <n v="0"/>
    <n v="0"/>
  </r>
  <r>
    <x v="76"/>
    <n v="0"/>
    <n v="0"/>
    <n v="0"/>
    <n v="0"/>
    <n v="0"/>
    <x v="0"/>
    <n v="0"/>
    <n v="0"/>
    <n v="0"/>
    <n v="0"/>
    <n v="0"/>
    <n v="0"/>
  </r>
  <r>
    <x v="77"/>
    <n v="0"/>
    <n v="0"/>
    <n v="0"/>
    <n v="0"/>
    <n v="0"/>
    <x v="0"/>
    <n v="0"/>
    <n v="0"/>
    <n v="0"/>
    <n v="0"/>
    <n v="0"/>
    <n v="0"/>
  </r>
  <r>
    <x v="78"/>
    <n v="0"/>
    <n v="0"/>
    <n v="0"/>
    <n v="0"/>
    <n v="0"/>
    <x v="0"/>
    <n v="0"/>
    <n v="0"/>
    <n v="0"/>
    <n v="0"/>
    <n v="0"/>
    <n v="0"/>
  </r>
  <r>
    <x v="79"/>
    <n v="0"/>
    <n v="0"/>
    <n v="0"/>
    <n v="0"/>
    <n v="0"/>
    <x v="0"/>
    <n v="0"/>
    <n v="0"/>
    <n v="0"/>
    <n v="0"/>
    <n v="0"/>
    <n v="0"/>
  </r>
  <r>
    <x v="80"/>
    <n v="0"/>
    <n v="0"/>
    <n v="0"/>
    <n v="0"/>
    <n v="0"/>
    <x v="0"/>
    <n v="0"/>
    <n v="0"/>
    <n v="0"/>
    <n v="0"/>
    <n v="0"/>
    <n v="0"/>
  </r>
  <r>
    <x v="81"/>
    <n v="0"/>
    <n v="0"/>
    <n v="0"/>
    <n v="0"/>
    <n v="0"/>
    <x v="0"/>
    <n v="0"/>
    <n v="0"/>
    <n v="0"/>
    <n v="0"/>
    <n v="0"/>
    <n v="0"/>
  </r>
  <r>
    <x v="82"/>
    <n v="0"/>
    <n v="0"/>
    <n v="0"/>
    <n v="0"/>
    <n v="0"/>
    <x v="0"/>
    <n v="0"/>
    <n v="0"/>
    <n v="0"/>
    <n v="0"/>
    <n v="0"/>
    <n v="0"/>
  </r>
  <r>
    <x v="83"/>
    <n v="0"/>
    <n v="0"/>
    <n v="0"/>
    <n v="0"/>
    <n v="0"/>
    <x v="0"/>
    <n v="0"/>
    <n v="0"/>
    <n v="0"/>
    <n v="0"/>
    <n v="0"/>
    <n v="0"/>
  </r>
  <r>
    <x v="84"/>
    <n v="0"/>
    <n v="0"/>
    <n v="0"/>
    <n v="0"/>
    <n v="0"/>
    <x v="0"/>
    <n v="0"/>
    <n v="0"/>
    <n v="0"/>
    <n v="0"/>
    <n v="0"/>
    <n v="0"/>
  </r>
  <r>
    <x v="85"/>
    <n v="0"/>
    <n v="0"/>
    <n v="0"/>
    <n v="0"/>
    <n v="0"/>
    <x v="0"/>
    <n v="0"/>
    <n v="0"/>
    <n v="0"/>
    <n v="0"/>
    <n v="0"/>
    <n v="0"/>
  </r>
  <r>
    <x v="86"/>
    <n v="0"/>
    <n v="0"/>
    <n v="0"/>
    <n v="0"/>
    <n v="0"/>
    <x v="0"/>
    <n v="0"/>
    <n v="0"/>
    <n v="0"/>
    <n v="0"/>
    <n v="0"/>
    <n v="0"/>
  </r>
  <r>
    <x v="87"/>
    <n v="0"/>
    <n v="0"/>
    <n v="0"/>
    <n v="0"/>
    <n v="0"/>
    <x v="0"/>
    <n v="0"/>
    <n v="0"/>
    <n v="0"/>
    <n v="0"/>
    <n v="0"/>
    <n v="0"/>
  </r>
  <r>
    <x v="88"/>
    <n v="0"/>
    <n v="0"/>
    <n v="0"/>
    <n v="0"/>
    <n v="0"/>
    <x v="0"/>
    <n v="0"/>
    <n v="0"/>
    <n v="0"/>
    <n v="0"/>
    <n v="0"/>
    <n v="0"/>
  </r>
  <r>
    <x v="89"/>
    <n v="0"/>
    <n v="0"/>
    <n v="0"/>
    <n v="0"/>
    <n v="0"/>
    <x v="0"/>
    <n v="0"/>
    <n v="0"/>
    <n v="0"/>
    <n v="0"/>
    <n v="0"/>
    <n v="0"/>
  </r>
  <r>
    <x v="90"/>
    <n v="0"/>
    <n v="0"/>
    <n v="0"/>
    <n v="0"/>
    <n v="0"/>
    <x v="0"/>
    <n v="0"/>
    <n v="0"/>
    <n v="0"/>
    <n v="0"/>
    <n v="0"/>
    <n v="0"/>
  </r>
  <r>
    <x v="91"/>
    <n v="0"/>
    <n v="0"/>
    <n v="0"/>
    <n v="0"/>
    <n v="0"/>
    <x v="0"/>
    <n v="0"/>
    <n v="0"/>
    <n v="0"/>
    <n v="0"/>
    <n v="0"/>
    <n v="0"/>
  </r>
  <r>
    <x v="92"/>
    <n v="0"/>
    <n v="0"/>
    <n v="0"/>
    <n v="0"/>
    <n v="0"/>
    <x v="0"/>
    <n v="0"/>
    <n v="0"/>
    <n v="0"/>
    <n v="0"/>
    <n v="0"/>
    <n v="0"/>
  </r>
  <r>
    <x v="93"/>
    <n v="0"/>
    <n v="0"/>
    <n v="0"/>
    <n v="0"/>
    <n v="0"/>
    <x v="0"/>
    <n v="0"/>
    <n v="0"/>
    <n v="0"/>
    <n v="0"/>
    <n v="0"/>
    <n v="0"/>
  </r>
  <r>
    <x v="94"/>
    <n v="0"/>
    <n v="0"/>
    <n v="0"/>
    <n v="0"/>
    <n v="0"/>
    <x v="0"/>
    <n v="0"/>
    <n v="0"/>
    <n v="0"/>
    <n v="0"/>
    <n v="0"/>
    <n v="0"/>
  </r>
  <r>
    <x v="95"/>
    <n v="0"/>
    <n v="0"/>
    <n v="0"/>
    <n v="0"/>
    <n v="0"/>
    <x v="0"/>
    <n v="0"/>
    <n v="0"/>
    <n v="0"/>
    <n v="0"/>
    <n v="0"/>
    <n v="0"/>
  </r>
  <r>
    <x v="96"/>
    <n v="0"/>
    <n v="0"/>
    <n v="0"/>
    <n v="0"/>
    <n v="0"/>
    <x v="0"/>
    <n v="0"/>
    <n v="0"/>
    <n v="0"/>
    <n v="0"/>
    <n v="0"/>
    <n v="0"/>
  </r>
  <r>
    <x v="97"/>
    <n v="0"/>
    <n v="0"/>
    <n v="0"/>
    <n v="80"/>
    <n v="0"/>
    <x v="0"/>
    <n v="0"/>
    <n v="0"/>
    <n v="80"/>
    <n v="0"/>
    <n v="0"/>
    <n v="0"/>
  </r>
  <r>
    <x v="98"/>
    <n v="0"/>
    <n v="80"/>
    <n v="80"/>
    <n v="0"/>
    <n v="0"/>
    <x v="0"/>
    <n v="0"/>
    <n v="0"/>
    <n v="80"/>
    <n v="0"/>
    <n v="0"/>
    <n v="0"/>
  </r>
  <r>
    <x v="99"/>
    <n v="0"/>
    <n v="80"/>
    <n v="80"/>
    <n v="0"/>
    <n v="0"/>
    <x v="0"/>
    <n v="0"/>
    <n v="0"/>
    <n v="80"/>
    <n v="0"/>
    <n v="0"/>
    <n v="0"/>
  </r>
  <r>
    <x v="100"/>
    <n v="0"/>
    <n v="80"/>
    <n v="80"/>
    <n v="0"/>
    <n v="80"/>
    <x v="1"/>
    <n v="0"/>
    <n v="80"/>
    <n v="0"/>
    <n v="0"/>
    <n v="0"/>
    <n v="0"/>
  </r>
  <r>
    <x v="101"/>
    <n v="80"/>
    <n v="0"/>
    <n v="80"/>
    <n v="0"/>
    <n v="0"/>
    <x v="1"/>
    <n v="20"/>
    <n v="60"/>
    <n v="0"/>
    <n v="6"/>
    <n v="0"/>
    <n v="0"/>
  </r>
  <r>
    <x v="102"/>
    <n v="60"/>
    <n v="0"/>
    <n v="60"/>
    <n v="20"/>
    <n v="0"/>
    <x v="2"/>
    <n v="15"/>
    <n v="45"/>
    <n v="20"/>
    <n v="4.5"/>
    <n v="0"/>
    <n v="0"/>
  </r>
  <r>
    <x v="103"/>
    <n v="45"/>
    <n v="20"/>
    <n v="65"/>
    <n v="15"/>
    <n v="0"/>
    <x v="3"/>
    <n v="25"/>
    <n v="20"/>
    <n v="35"/>
    <n v="2"/>
    <n v="0"/>
    <n v="0"/>
  </r>
  <r>
    <x v="104"/>
    <n v="20"/>
    <n v="35"/>
    <n v="55"/>
    <n v="25"/>
    <n v="0"/>
    <x v="4"/>
    <n v="19"/>
    <n v="1"/>
    <n v="60"/>
    <n v="0.1"/>
    <n v="0"/>
    <n v="0"/>
  </r>
  <r>
    <x v="105"/>
    <n v="1"/>
    <n v="60"/>
    <n v="61"/>
    <n v="19"/>
    <n v="20"/>
    <x v="5"/>
    <n v="26"/>
    <n v="-5"/>
    <n v="59"/>
    <n v="0"/>
    <n v="1"/>
    <n v="5"/>
  </r>
  <r>
    <x v="106"/>
    <n v="-5"/>
    <n v="59"/>
    <n v="54"/>
    <n v="26"/>
    <n v="15"/>
    <x v="6"/>
    <n v="21"/>
    <n v="-11"/>
    <n v="70"/>
    <n v="0"/>
    <n v="1"/>
    <n v="11"/>
  </r>
  <r>
    <x v="107"/>
    <n v="-11"/>
    <n v="70"/>
    <n v="59"/>
    <n v="21"/>
    <n v="25"/>
    <x v="7"/>
    <n v="17"/>
    <n v="-3"/>
    <n v="66"/>
    <n v="0"/>
    <n v="1"/>
    <n v="3"/>
  </r>
  <r>
    <x v="108"/>
    <n v="-3"/>
    <n v="66"/>
    <n v="63"/>
    <n v="17"/>
    <n v="19"/>
    <x v="8"/>
    <n v="13"/>
    <n v="3"/>
    <n v="64"/>
    <n v="0.30000000000000004"/>
    <n v="0"/>
    <n v="0"/>
  </r>
  <r>
    <x v="109"/>
    <n v="3"/>
    <n v="64"/>
    <n v="67"/>
    <n v="13"/>
    <n v="26"/>
    <x v="9"/>
    <n v="19"/>
    <n v="10"/>
    <n v="51"/>
    <n v="1"/>
    <n v="0"/>
    <n v="0"/>
  </r>
  <r>
    <x v="110"/>
    <n v="10"/>
    <n v="51"/>
    <n v="61"/>
    <n v="19"/>
    <n v="21"/>
    <x v="10"/>
    <n v="13"/>
    <n v="18"/>
    <n v="49"/>
    <n v="1.8"/>
    <n v="0"/>
    <n v="0"/>
  </r>
  <r>
    <x v="111"/>
    <n v="18"/>
    <n v="49"/>
    <n v="67"/>
    <n v="13"/>
    <n v="17"/>
    <x v="11"/>
    <n v="21"/>
    <n v="14"/>
    <n v="45"/>
    <n v="1.4000000000000001"/>
    <n v="0"/>
    <n v="0"/>
  </r>
  <r>
    <x v="112"/>
    <n v="14"/>
    <n v="45"/>
    <n v="59"/>
    <n v="21"/>
    <n v="13"/>
    <x v="12"/>
    <n v="16"/>
    <n v="11"/>
    <n v="53"/>
    <n v="1.1000000000000001"/>
    <n v="0"/>
    <n v="0"/>
  </r>
  <r>
    <x v="113"/>
    <n v="11"/>
    <n v="53"/>
    <n v="64"/>
    <n v="16"/>
    <n v="19"/>
    <x v="13"/>
    <n v="14"/>
    <n v="16"/>
    <n v="50"/>
    <n v="1.6"/>
    <n v="0"/>
    <n v="0"/>
  </r>
  <r>
    <x v="114"/>
    <n v="16"/>
    <n v="50"/>
    <n v="66"/>
    <n v="14"/>
    <n v="13"/>
    <x v="9"/>
    <n v="17"/>
    <n v="12"/>
    <n v="51"/>
    <n v="1.2000000000000002"/>
    <n v="0"/>
    <n v="0"/>
  </r>
  <r>
    <x v="115"/>
    <n v="12"/>
    <n v="51"/>
    <n v="63"/>
    <n v="17"/>
    <n v="21"/>
    <x v="14"/>
    <n v="17"/>
    <n v="16"/>
    <n v="47"/>
    <n v="1.6"/>
    <n v="0"/>
    <n v="0"/>
  </r>
  <r>
    <x v="116"/>
    <n v="16"/>
    <n v="47"/>
    <n v="63"/>
    <n v="17"/>
    <n v="16"/>
    <x v="15"/>
    <n v="20"/>
    <n v="12"/>
    <n v="48"/>
    <n v="1.2000000000000002"/>
    <n v="0"/>
    <n v="0"/>
  </r>
  <r>
    <x v="117"/>
    <n v="12"/>
    <n v="48"/>
    <n v="60"/>
    <n v="20"/>
    <n v="14"/>
    <x v="16"/>
    <n v="31"/>
    <n v="-5"/>
    <n v="54"/>
    <n v="0"/>
    <n v="1"/>
    <n v="5"/>
  </r>
  <r>
    <x v="118"/>
    <n v="-5"/>
    <n v="54"/>
    <n v="49"/>
    <n v="31"/>
    <n v="17"/>
    <x v="17"/>
    <n v="26"/>
    <n v="-14"/>
    <n v="68"/>
    <n v="0"/>
    <n v="1"/>
    <n v="14"/>
  </r>
  <r>
    <x v="119"/>
    <n v="-14"/>
    <n v="68"/>
    <n v="54"/>
    <n v="26"/>
    <n v="17"/>
    <x v="18"/>
    <n v="25"/>
    <n v="-22"/>
    <n v="77"/>
    <n v="0"/>
    <n v="1"/>
    <n v="22"/>
  </r>
  <r>
    <x v="120"/>
    <n v="-22"/>
    <n v="77"/>
    <n v="55"/>
    <n v="25"/>
    <n v="20"/>
    <x v="19"/>
    <n v="26"/>
    <n v="-28"/>
    <n v="82"/>
    <n v="0"/>
    <n v="1"/>
    <n v="26"/>
  </r>
  <r>
    <x v="121"/>
    <n v="-28"/>
    <n v="82"/>
    <n v="54"/>
    <n v="26"/>
    <n v="31"/>
    <x v="18"/>
    <n v="20"/>
    <n v="-17"/>
    <n v="77"/>
    <n v="0"/>
    <n v="1"/>
    <n v="17"/>
  </r>
  <r>
    <x v="122"/>
    <n v="-17"/>
    <n v="77"/>
    <n v="60"/>
    <n v="20"/>
    <n v="26"/>
    <x v="20"/>
    <n v="21"/>
    <n v="-12"/>
    <n v="71"/>
    <n v="0"/>
    <n v="1"/>
    <n v="12"/>
  </r>
  <r>
    <x v="123"/>
    <n v="-12"/>
    <n v="71"/>
    <n v="59"/>
    <n v="21"/>
    <n v="25"/>
    <x v="21"/>
    <n v="22"/>
    <n v="-9"/>
    <n v="67"/>
    <n v="0"/>
    <n v="1"/>
    <n v="9"/>
  </r>
  <r>
    <x v="124"/>
    <n v="-9"/>
    <n v="67"/>
    <n v="58"/>
    <n v="22"/>
    <n v="26"/>
    <x v="22"/>
    <n v="18"/>
    <n v="-1"/>
    <n v="63"/>
    <n v="0"/>
    <n v="1"/>
    <n v="1"/>
  </r>
  <r>
    <x v="125"/>
    <n v="-1"/>
    <n v="63"/>
    <n v="62"/>
    <n v="18"/>
    <n v="20"/>
    <x v="23"/>
    <n v="19"/>
    <n v="0"/>
    <n v="61"/>
    <n v="0"/>
    <n v="0"/>
    <n v="0"/>
  </r>
  <r>
    <x v="126"/>
    <n v="0"/>
    <n v="61"/>
    <n v="61"/>
    <n v="19"/>
    <n v="21"/>
    <x v="5"/>
    <n v="20"/>
    <n v="1"/>
    <n v="59"/>
    <n v="0.1"/>
    <n v="0"/>
    <n v="0"/>
  </r>
  <r>
    <x v="127"/>
    <n v="1"/>
    <n v="59"/>
    <n v="60"/>
    <n v="20"/>
    <n v="22"/>
    <x v="24"/>
    <n v="25"/>
    <n v="-2"/>
    <n v="57"/>
    <n v="0"/>
    <n v="1"/>
    <n v="2"/>
  </r>
  <r>
    <x v="128"/>
    <n v="-2"/>
    <n v="57"/>
    <n v="55"/>
    <n v="25"/>
    <n v="18"/>
    <x v="8"/>
    <n v="15"/>
    <n v="1"/>
    <n v="64"/>
    <n v="0.1"/>
    <n v="0"/>
    <n v="0"/>
  </r>
  <r>
    <x v="129"/>
    <n v="1"/>
    <n v="64"/>
    <n v="65"/>
    <n v="15"/>
    <n v="19"/>
    <x v="4"/>
    <n v="20"/>
    <n v="0"/>
    <n v="60"/>
    <n v="0"/>
    <n v="0"/>
    <n v="0"/>
  </r>
  <r>
    <x v="130"/>
    <n v="0"/>
    <n v="60"/>
    <n v="60"/>
    <n v="20"/>
    <n v="20"/>
    <x v="4"/>
    <n v="19"/>
    <n v="1"/>
    <n v="60"/>
    <n v="0.1"/>
    <n v="0"/>
    <n v="0"/>
  </r>
  <r>
    <x v="131"/>
    <n v="1"/>
    <n v="60"/>
    <n v="61"/>
    <n v="19"/>
    <n v="25"/>
    <x v="16"/>
    <n v="13"/>
    <n v="13"/>
    <n v="54"/>
    <n v="1.3"/>
    <n v="0"/>
    <n v="0"/>
  </r>
  <r>
    <x v="132"/>
    <n v="13"/>
    <n v="54"/>
    <n v="67"/>
    <n v="13"/>
    <n v="15"/>
    <x v="25"/>
    <n v="20"/>
    <n v="8"/>
    <n v="52"/>
    <n v="0.8"/>
    <n v="0"/>
    <n v="0"/>
  </r>
  <r>
    <x v="133"/>
    <n v="8"/>
    <n v="52"/>
    <n v="60"/>
    <n v="20"/>
    <n v="20"/>
    <x v="25"/>
    <n v="31"/>
    <n v="-3"/>
    <n v="52"/>
    <n v="0"/>
    <n v="1"/>
    <n v="3"/>
  </r>
  <r>
    <x v="134"/>
    <n v="-3"/>
    <n v="52"/>
    <n v="49"/>
    <n v="31"/>
    <n v="19"/>
    <x v="8"/>
    <n v="14"/>
    <n v="2"/>
    <n v="64"/>
    <n v="0.2"/>
    <n v="0"/>
    <n v="0"/>
  </r>
  <r>
    <x v="135"/>
    <n v="2"/>
    <n v="64"/>
    <n v="66"/>
    <n v="14"/>
    <n v="13"/>
    <x v="26"/>
    <n v="20"/>
    <n v="-5"/>
    <n v="65"/>
    <n v="0"/>
    <n v="1"/>
    <n v="5"/>
  </r>
  <r>
    <x v="136"/>
    <n v="-5"/>
    <n v="65"/>
    <n v="60"/>
    <n v="20"/>
    <n v="20"/>
    <x v="26"/>
    <n v="16"/>
    <n v="-1"/>
    <n v="65"/>
    <n v="0"/>
    <n v="1"/>
    <n v="1"/>
  </r>
  <r>
    <x v="137"/>
    <n v="-1"/>
    <n v="65"/>
    <n v="64"/>
    <n v="16"/>
    <n v="31"/>
    <x v="13"/>
    <n v="23"/>
    <n v="7"/>
    <n v="50"/>
    <n v="0.70000000000000007"/>
    <n v="0"/>
    <n v="0"/>
  </r>
  <r>
    <x v="138"/>
    <n v="7"/>
    <n v="50"/>
    <n v="57"/>
    <n v="23"/>
    <n v="14"/>
    <x v="5"/>
    <n v="20"/>
    <n v="1"/>
    <n v="59"/>
    <n v="0.1"/>
    <n v="0"/>
    <n v="0"/>
  </r>
  <r>
    <x v="139"/>
    <n v="1"/>
    <n v="59"/>
    <n v="60"/>
    <n v="20"/>
    <n v="20"/>
    <x v="5"/>
    <n v="25"/>
    <n v="-4"/>
    <n v="59"/>
    <n v="0"/>
    <n v="1"/>
    <n v="4"/>
  </r>
  <r>
    <x v="140"/>
    <n v="-4"/>
    <n v="59"/>
    <n v="55"/>
    <n v="25"/>
    <n v="16"/>
    <x v="17"/>
    <n v="18"/>
    <n v="-6"/>
    <n v="68"/>
    <n v="0"/>
    <n v="1"/>
    <n v="6"/>
  </r>
  <r>
    <x v="141"/>
    <n v="-6"/>
    <n v="68"/>
    <n v="62"/>
    <n v="18"/>
    <n v="23"/>
    <x v="22"/>
    <n v="18"/>
    <n v="-1"/>
    <n v="63"/>
    <n v="0"/>
    <n v="1"/>
    <n v="1"/>
  </r>
  <r>
    <x v="142"/>
    <n v="-1"/>
    <n v="63"/>
    <n v="62"/>
    <n v="18"/>
    <n v="20"/>
    <x v="23"/>
    <n v="19"/>
    <n v="0"/>
    <n v="61"/>
    <n v="0"/>
    <n v="0"/>
    <n v="0"/>
  </r>
  <r>
    <x v="143"/>
    <n v="0"/>
    <n v="61"/>
    <n v="61"/>
    <n v="19"/>
    <n v="25"/>
    <x v="27"/>
    <n v="21"/>
    <n v="4"/>
    <n v="55"/>
    <n v="0.4"/>
    <n v="0"/>
    <n v="0"/>
  </r>
  <r>
    <x v="144"/>
    <n v="4"/>
    <n v="55"/>
    <n v="59"/>
    <n v="21"/>
    <n v="18"/>
    <x v="28"/>
    <n v="21"/>
    <n v="1"/>
    <n v="58"/>
    <n v="0.1"/>
    <n v="0"/>
    <n v="0"/>
  </r>
  <r>
    <x v="145"/>
    <n v="1"/>
    <n v="58"/>
    <n v="59"/>
    <n v="21"/>
    <n v="18"/>
    <x v="23"/>
    <n v="30"/>
    <n v="-11"/>
    <n v="61"/>
    <n v="0"/>
    <n v="1"/>
    <n v="11"/>
  </r>
  <r>
    <x v="146"/>
    <n v="-11"/>
    <n v="61"/>
    <n v="50"/>
    <n v="30"/>
    <n v="19"/>
    <x v="29"/>
    <n v="21"/>
    <n v="-13"/>
    <n v="72"/>
    <n v="0"/>
    <n v="1"/>
    <n v="13"/>
  </r>
  <r>
    <x v="147"/>
    <n v="-13"/>
    <n v="72"/>
    <n v="59"/>
    <n v="21"/>
    <n v="21"/>
    <x v="29"/>
    <n v="18"/>
    <n v="-10"/>
    <n v="72"/>
    <n v="0"/>
    <n v="1"/>
    <n v="10"/>
  </r>
  <r>
    <x v="148"/>
    <n v="-10"/>
    <n v="72"/>
    <n v="62"/>
    <n v="18"/>
    <n v="21"/>
    <x v="30"/>
    <n v="25"/>
    <n v="-14"/>
    <n v="69"/>
    <n v="0"/>
    <n v="1"/>
    <n v="14"/>
  </r>
  <r>
    <x v="149"/>
    <n v="-14"/>
    <n v="69"/>
    <n v="55"/>
    <n v="25"/>
    <n v="30"/>
    <x v="8"/>
    <n v="21"/>
    <n v="-5"/>
    <n v="64"/>
    <n v="0"/>
    <n v="1"/>
    <n v="5"/>
  </r>
  <r>
    <x v="150"/>
    <n v="-5"/>
    <n v="64"/>
    <n v="59"/>
    <n v="21"/>
    <n v="21"/>
    <x v="8"/>
    <n v="19"/>
    <n v="-3"/>
    <n v="64"/>
    <n v="0"/>
    <n v="1"/>
    <n v="3"/>
  </r>
  <r>
    <x v="151"/>
    <n v="-3"/>
    <n v="64"/>
    <n v="61"/>
    <n v="19"/>
    <n v="18"/>
    <x v="26"/>
    <n v="20"/>
    <n v="-5"/>
    <n v="65"/>
    <n v="0"/>
    <n v="1"/>
    <n v="5"/>
  </r>
  <r>
    <x v="152"/>
    <n v="-5"/>
    <n v="65"/>
    <n v="60"/>
    <n v="20"/>
    <n v="25"/>
    <x v="4"/>
    <n v="27"/>
    <n v="-7"/>
    <n v="60"/>
    <n v="0"/>
    <n v="1"/>
    <n v="7"/>
  </r>
  <r>
    <x v="153"/>
    <n v="-7"/>
    <n v="60"/>
    <n v="53"/>
    <n v="27"/>
    <n v="21"/>
    <x v="7"/>
    <n v="25"/>
    <n v="-11"/>
    <n v="66"/>
    <n v="0"/>
    <n v="1"/>
    <n v="11"/>
  </r>
  <r>
    <x v="154"/>
    <n v="-11"/>
    <n v="66"/>
    <n v="55"/>
    <n v="25"/>
    <n v="19"/>
    <x v="29"/>
    <n v="17"/>
    <n v="-9"/>
    <n v="72"/>
    <n v="0"/>
    <n v="1"/>
    <n v="9"/>
  </r>
  <r>
    <x v="155"/>
    <n v="-9"/>
    <n v="72"/>
    <n v="63"/>
    <n v="17"/>
    <n v="20"/>
    <x v="30"/>
    <n v="19"/>
    <n v="-8"/>
    <n v="69"/>
    <n v="0"/>
    <n v="1"/>
    <n v="8"/>
  </r>
  <r>
    <x v="156"/>
    <n v="-8"/>
    <n v="69"/>
    <n v="61"/>
    <n v="19"/>
    <n v="27"/>
    <x v="23"/>
    <n v="19"/>
    <n v="0"/>
    <n v="61"/>
    <n v="0"/>
    <n v="0"/>
    <n v="0"/>
  </r>
  <r>
    <x v="157"/>
    <n v="0"/>
    <n v="61"/>
    <n v="61"/>
    <n v="19"/>
    <n v="25"/>
    <x v="27"/>
    <n v="20"/>
    <n v="5"/>
    <n v="55"/>
    <n v="0.5"/>
    <n v="0"/>
    <n v="0"/>
  </r>
  <r>
    <x v="158"/>
    <n v="5"/>
    <n v="55"/>
    <n v="60"/>
    <n v="20"/>
    <n v="17"/>
    <x v="28"/>
    <n v="18"/>
    <n v="4"/>
    <n v="58"/>
    <n v="0.4"/>
    <n v="0"/>
    <n v="0"/>
  </r>
  <r>
    <x v="159"/>
    <n v="4"/>
    <n v="58"/>
    <n v="62"/>
    <n v="18"/>
    <n v="19"/>
    <x v="24"/>
    <n v="17"/>
    <n v="6"/>
    <n v="57"/>
    <n v="0.60000000000000009"/>
    <n v="0"/>
    <n v="0"/>
  </r>
  <r>
    <x v="160"/>
    <n v="6"/>
    <n v="57"/>
    <n v="63"/>
    <n v="17"/>
    <n v="19"/>
    <x v="27"/>
    <n v="16"/>
    <n v="9"/>
    <n v="55"/>
    <n v="0.9"/>
    <n v="0"/>
    <n v="0"/>
  </r>
  <r>
    <x v="161"/>
    <n v="9"/>
    <n v="55"/>
    <n v="64"/>
    <n v="16"/>
    <n v="20"/>
    <x v="9"/>
    <n v="22"/>
    <n v="7"/>
    <n v="51"/>
    <n v="0.70000000000000007"/>
    <n v="0"/>
    <n v="0"/>
  </r>
  <r>
    <x v="162"/>
    <n v="7"/>
    <n v="51"/>
    <n v="58"/>
    <n v="22"/>
    <n v="18"/>
    <x v="27"/>
    <n v="26"/>
    <n v="-1"/>
    <n v="55"/>
    <n v="0"/>
    <n v="1"/>
    <n v="1"/>
  </r>
  <r>
    <x v="163"/>
    <n v="-1"/>
    <n v="55"/>
    <n v="54"/>
    <n v="26"/>
    <n v="17"/>
    <x v="8"/>
    <n v="15"/>
    <n v="1"/>
    <n v="64"/>
    <n v="0.1"/>
    <n v="0"/>
    <n v="0"/>
  </r>
  <r>
    <x v="164"/>
    <n v="1"/>
    <n v="64"/>
    <n v="65"/>
    <n v="15"/>
    <n v="16"/>
    <x v="22"/>
    <n v="29"/>
    <n v="-12"/>
    <n v="63"/>
    <n v="0"/>
    <n v="1"/>
    <n v="12"/>
  </r>
  <r>
    <x v="165"/>
    <n v="-12"/>
    <n v="63"/>
    <n v="51"/>
    <n v="29"/>
    <n v="22"/>
    <x v="6"/>
    <n v="14"/>
    <n v="-4"/>
    <n v="70"/>
    <n v="0"/>
    <n v="1"/>
    <n v="4"/>
  </r>
  <r>
    <x v="166"/>
    <n v="-4"/>
    <n v="70"/>
    <n v="66"/>
    <n v="14"/>
    <n v="26"/>
    <x v="28"/>
    <n v="18"/>
    <n v="4"/>
    <n v="58"/>
    <n v="0.4"/>
    <n v="0"/>
    <n v="0"/>
  </r>
  <r>
    <x v="167"/>
    <n v="4"/>
    <n v="58"/>
    <n v="62"/>
    <n v="18"/>
    <n v="15"/>
    <x v="23"/>
    <n v="23"/>
    <n v="-4"/>
    <n v="61"/>
    <n v="0"/>
    <n v="1"/>
    <n v="4"/>
  </r>
  <r>
    <x v="168"/>
    <n v="-4"/>
    <n v="61"/>
    <n v="57"/>
    <n v="23"/>
    <n v="29"/>
    <x v="27"/>
    <n v="18"/>
    <n v="7"/>
    <n v="55"/>
    <n v="0.70000000000000007"/>
    <n v="0"/>
    <n v="0"/>
  </r>
  <r>
    <x v="169"/>
    <n v="7"/>
    <n v="55"/>
    <n v="62"/>
    <n v="18"/>
    <n v="14"/>
    <x v="5"/>
    <n v="17"/>
    <n v="4"/>
    <n v="59"/>
    <n v="0.4"/>
    <n v="0"/>
    <n v="0"/>
  </r>
  <r>
    <x v="170"/>
    <n v="4"/>
    <n v="59"/>
    <n v="63"/>
    <n v="17"/>
    <n v="18"/>
    <x v="28"/>
    <n v="23"/>
    <n v="-1"/>
    <n v="58"/>
    <n v="0"/>
    <n v="1"/>
    <n v="1"/>
  </r>
  <r>
    <x v="171"/>
    <n v="-1"/>
    <n v="58"/>
    <n v="57"/>
    <n v="23"/>
    <n v="23"/>
    <x v="28"/>
    <n v="24"/>
    <n v="-2"/>
    <n v="58"/>
    <n v="0"/>
    <n v="1"/>
    <n v="2"/>
  </r>
  <r>
    <x v="172"/>
    <n v="-2"/>
    <n v="58"/>
    <n v="56"/>
    <n v="24"/>
    <n v="18"/>
    <x v="8"/>
    <n v="25"/>
    <n v="-9"/>
    <n v="64"/>
    <n v="0"/>
    <n v="1"/>
    <n v="9"/>
  </r>
  <r>
    <x v="173"/>
    <n v="-9"/>
    <n v="64"/>
    <n v="55"/>
    <n v="25"/>
    <n v="17"/>
    <x v="29"/>
    <n v="19"/>
    <n v="-11"/>
    <n v="72"/>
    <n v="0"/>
    <n v="1"/>
    <n v="11"/>
  </r>
  <r>
    <x v="174"/>
    <n v="-11"/>
    <n v="72"/>
    <n v="61"/>
    <n v="19"/>
    <n v="23"/>
    <x v="17"/>
    <n v="19"/>
    <n v="-7"/>
    <n v="68"/>
    <n v="0"/>
    <n v="1"/>
    <n v="7"/>
  </r>
  <r>
    <x v="175"/>
    <n v="-7"/>
    <n v="68"/>
    <n v="61"/>
    <n v="19"/>
    <n v="24"/>
    <x v="22"/>
    <n v="15"/>
    <n v="2"/>
    <n v="63"/>
    <n v="0.2"/>
    <n v="0"/>
    <n v="0"/>
  </r>
  <r>
    <x v="176"/>
    <n v="2"/>
    <n v="63"/>
    <n v="65"/>
    <n v="15"/>
    <n v="25"/>
    <x v="12"/>
    <n v="23"/>
    <n v="4"/>
    <n v="53"/>
    <n v="0.4"/>
    <n v="0"/>
    <n v="0"/>
  </r>
  <r>
    <x v="177"/>
    <n v="4"/>
    <n v="53"/>
    <n v="57"/>
    <n v="23"/>
    <n v="19"/>
    <x v="24"/>
    <n v="16"/>
    <n v="7"/>
    <n v="57"/>
    <n v="0.70000000000000007"/>
    <n v="0"/>
    <n v="0"/>
  </r>
  <r>
    <x v="178"/>
    <n v="7"/>
    <n v="57"/>
    <n v="64"/>
    <n v="16"/>
    <n v="19"/>
    <x v="16"/>
    <n v="21"/>
    <n v="5"/>
    <n v="54"/>
    <n v="0.5"/>
    <n v="0"/>
    <n v="0"/>
  </r>
  <r>
    <x v="179"/>
    <n v="5"/>
    <n v="54"/>
    <n v="59"/>
    <n v="21"/>
    <n v="15"/>
    <x v="4"/>
    <n v="22"/>
    <n v="-2"/>
    <n v="60"/>
    <n v="0"/>
    <n v="1"/>
    <n v="2"/>
  </r>
  <r>
    <x v="180"/>
    <n v="-2"/>
    <n v="60"/>
    <n v="58"/>
    <n v="22"/>
    <n v="23"/>
    <x v="5"/>
    <n v="18"/>
    <n v="3"/>
    <n v="59"/>
    <n v="0.30000000000000004"/>
    <n v="0"/>
    <n v="0"/>
  </r>
  <r>
    <x v="181"/>
    <n v="3"/>
    <n v="59"/>
    <n v="62"/>
    <n v="18"/>
    <n v="16"/>
    <x v="23"/>
    <n v="15"/>
    <n v="4"/>
    <n v="61"/>
    <n v="0.4"/>
    <n v="0"/>
    <n v="0"/>
  </r>
  <r>
    <x v="182"/>
    <n v="4"/>
    <n v="61"/>
    <n v="65"/>
    <n v="15"/>
    <n v="21"/>
    <x v="27"/>
    <n v="21"/>
    <n v="4"/>
    <n v="55"/>
    <n v="0.4"/>
    <n v="0"/>
    <n v="0"/>
  </r>
  <r>
    <x v="183"/>
    <n v="4"/>
    <n v="55"/>
    <n v="59"/>
    <n v="21"/>
    <n v="22"/>
    <x v="16"/>
    <n v="24"/>
    <n v="2"/>
    <n v="54"/>
    <n v="0.2"/>
    <n v="0"/>
    <n v="0"/>
  </r>
  <r>
    <x v="184"/>
    <n v="2"/>
    <n v="54"/>
    <n v="56"/>
    <n v="24"/>
    <n v="18"/>
    <x v="4"/>
    <n v="15"/>
    <n v="5"/>
    <n v="60"/>
    <n v="0.5"/>
    <n v="0"/>
    <n v="0"/>
  </r>
  <r>
    <x v="185"/>
    <n v="5"/>
    <n v="60"/>
    <n v="65"/>
    <n v="15"/>
    <n v="15"/>
    <x v="4"/>
    <n v="24"/>
    <n v="-4"/>
    <n v="60"/>
    <n v="0"/>
    <n v="1"/>
    <n v="4"/>
  </r>
  <r>
    <x v="186"/>
    <n v="-4"/>
    <n v="60"/>
    <n v="56"/>
    <n v="24"/>
    <n v="21"/>
    <x v="22"/>
    <n v="28"/>
    <n v="-11"/>
    <n v="63"/>
    <n v="0"/>
    <n v="1"/>
    <n v="11"/>
  </r>
  <r>
    <x v="187"/>
    <n v="-11"/>
    <n v="63"/>
    <n v="52"/>
    <n v="28"/>
    <n v="24"/>
    <x v="21"/>
    <n v="19"/>
    <n v="-6"/>
    <n v="67"/>
    <n v="0"/>
    <n v="1"/>
    <n v="6"/>
  </r>
  <r>
    <x v="188"/>
    <n v="-6"/>
    <n v="67"/>
    <n v="61"/>
    <n v="19"/>
    <n v="15"/>
    <x v="20"/>
    <n v="26"/>
    <n v="-17"/>
    <n v="71"/>
    <n v="0"/>
    <n v="1"/>
    <n v="17"/>
  </r>
  <r>
    <x v="189"/>
    <n v="-17"/>
    <n v="71"/>
    <n v="54"/>
    <n v="26"/>
    <n v="24"/>
    <x v="31"/>
    <n v="28"/>
    <n v="-21"/>
    <n v="73"/>
    <n v="0"/>
    <n v="1"/>
    <n v="21"/>
  </r>
  <r>
    <x v="190"/>
    <n v="-21"/>
    <n v="73"/>
    <n v="52"/>
    <n v="28"/>
    <n v="28"/>
    <x v="31"/>
    <n v="23"/>
    <n v="-16"/>
    <n v="73"/>
    <n v="0"/>
    <n v="1"/>
    <n v="16"/>
  </r>
  <r>
    <x v="191"/>
    <n v="-16"/>
    <n v="73"/>
    <n v="57"/>
    <n v="23"/>
    <n v="19"/>
    <x v="18"/>
    <n v="29"/>
    <n v="-26"/>
    <n v="77"/>
    <n v="0"/>
    <n v="1"/>
    <n v="26"/>
  </r>
  <r>
    <x v="192"/>
    <n v="-26"/>
    <n v="77"/>
    <n v="51"/>
    <n v="29"/>
    <n v="26"/>
    <x v="0"/>
    <n v="17"/>
    <n v="-17"/>
    <n v="80"/>
    <n v="0"/>
    <n v="1"/>
    <n v="17"/>
  </r>
  <r>
    <x v="193"/>
    <n v="-17"/>
    <n v="80"/>
    <n v="63"/>
    <n v="17"/>
    <n v="28"/>
    <x v="30"/>
    <n v="15"/>
    <n v="-4"/>
    <n v="69"/>
    <n v="0"/>
    <n v="1"/>
    <n v="4"/>
  </r>
  <r>
    <x v="194"/>
    <n v="-4"/>
    <n v="69"/>
    <n v="65"/>
    <n v="15"/>
    <n v="23"/>
    <x v="23"/>
    <n v="13"/>
    <n v="6"/>
    <n v="61"/>
    <n v="0.60000000000000009"/>
    <n v="0"/>
    <n v="0"/>
  </r>
  <r>
    <x v="195"/>
    <n v="6"/>
    <n v="61"/>
    <n v="67"/>
    <n v="13"/>
    <n v="29"/>
    <x v="11"/>
    <n v="20"/>
    <n v="15"/>
    <n v="45"/>
    <n v="1.5"/>
    <n v="0"/>
    <n v="0"/>
  </r>
  <r>
    <x v="196"/>
    <n v="15"/>
    <n v="45"/>
    <n v="60"/>
    <n v="20"/>
    <n v="17"/>
    <x v="15"/>
    <n v="23"/>
    <n v="9"/>
    <n v="48"/>
    <n v="0.9"/>
    <n v="0"/>
    <n v="0"/>
  </r>
  <r>
    <x v="197"/>
    <n v="9"/>
    <n v="48"/>
    <n v="57"/>
    <n v="23"/>
    <n v="15"/>
    <x v="32"/>
    <n v="22"/>
    <n v="2"/>
    <n v="56"/>
    <n v="0.2"/>
    <n v="0"/>
    <n v="0"/>
  </r>
  <r>
    <x v="198"/>
    <n v="2"/>
    <n v="56"/>
    <n v="58"/>
    <n v="22"/>
    <n v="13"/>
    <x v="26"/>
    <n v="21"/>
    <n v="-6"/>
    <n v="65"/>
    <n v="0"/>
    <n v="1"/>
    <n v="6"/>
  </r>
  <r>
    <x v="199"/>
    <n v="-6"/>
    <n v="65"/>
    <n v="59"/>
    <n v="21"/>
    <n v="20"/>
    <x v="7"/>
    <n v="18"/>
    <n v="-4"/>
    <n v="66"/>
    <n v="0"/>
    <n v="1"/>
    <n v="4"/>
  </r>
  <r>
    <x v="200"/>
    <n v="-4"/>
    <n v="66"/>
    <n v="62"/>
    <n v="18"/>
    <n v="23"/>
    <x v="23"/>
    <n v="16"/>
    <n v="3"/>
    <n v="61"/>
    <n v="0.30000000000000004"/>
    <n v="0"/>
    <n v="0"/>
  </r>
  <r>
    <x v="201"/>
    <n v="3"/>
    <n v="61"/>
    <n v="64"/>
    <n v="16"/>
    <n v="22"/>
    <x v="27"/>
    <n v="23"/>
    <n v="2"/>
    <n v="55"/>
    <n v="0.2"/>
    <n v="0"/>
    <n v="0"/>
  </r>
  <r>
    <x v="202"/>
    <n v="2"/>
    <n v="55"/>
    <n v="57"/>
    <n v="23"/>
    <n v="21"/>
    <x v="24"/>
    <n v="18"/>
    <n v="5"/>
    <n v="57"/>
    <n v="0.5"/>
    <n v="0"/>
    <n v="0"/>
  </r>
  <r>
    <x v="203"/>
    <n v="5"/>
    <n v="57"/>
    <n v="62"/>
    <n v="18"/>
    <n v="18"/>
    <x v="24"/>
    <n v="17"/>
    <n v="6"/>
    <n v="57"/>
    <n v="0.60000000000000009"/>
    <n v="0"/>
    <n v="0"/>
  </r>
  <r>
    <x v="204"/>
    <n v="6"/>
    <n v="57"/>
    <n v="63"/>
    <n v="17"/>
    <n v="16"/>
    <x v="28"/>
    <n v="22"/>
    <n v="0"/>
    <n v="58"/>
    <n v="0"/>
    <n v="0"/>
    <n v="0"/>
  </r>
  <r>
    <x v="205"/>
    <n v="0"/>
    <n v="58"/>
    <n v="58"/>
    <n v="22"/>
    <n v="23"/>
    <x v="24"/>
    <n v="23"/>
    <n v="0"/>
    <n v="57"/>
    <n v="0"/>
    <n v="0"/>
    <n v="0"/>
  </r>
  <r>
    <x v="206"/>
    <n v="0"/>
    <n v="57"/>
    <n v="57"/>
    <n v="23"/>
    <n v="18"/>
    <x v="33"/>
    <n v="21"/>
    <n v="-3"/>
    <n v="62"/>
    <n v="0"/>
    <n v="1"/>
    <n v="3"/>
  </r>
  <r>
    <x v="207"/>
    <n v="-3"/>
    <n v="62"/>
    <n v="59"/>
    <n v="21"/>
    <n v="17"/>
    <x v="7"/>
    <n v="18"/>
    <n v="-4"/>
    <n v="66"/>
    <n v="0"/>
    <n v="1"/>
    <n v="4"/>
  </r>
  <r>
    <x v="208"/>
    <n v="-4"/>
    <n v="66"/>
    <n v="62"/>
    <n v="18"/>
    <n v="22"/>
    <x v="33"/>
    <n v="27"/>
    <n v="-9"/>
    <n v="62"/>
    <n v="0"/>
    <n v="1"/>
    <n v="9"/>
  </r>
  <r>
    <x v="209"/>
    <n v="-9"/>
    <n v="62"/>
    <n v="53"/>
    <n v="27"/>
    <n v="23"/>
    <x v="7"/>
    <n v="9"/>
    <n v="5"/>
    <n v="66"/>
    <n v="0.5"/>
    <n v="0"/>
    <n v="0"/>
  </r>
  <r>
    <x v="210"/>
    <n v="5"/>
    <n v="66"/>
    <n v="71"/>
    <n v="9"/>
    <n v="21"/>
    <x v="16"/>
    <n v="17"/>
    <n v="9"/>
    <n v="54"/>
    <n v="0.9"/>
    <n v="0"/>
    <n v="0"/>
  </r>
  <r>
    <x v="211"/>
    <n v="9"/>
    <n v="54"/>
    <n v="63"/>
    <n v="17"/>
    <n v="18"/>
    <x v="12"/>
    <n v="13"/>
    <n v="14"/>
    <n v="53"/>
    <n v="1.4000000000000001"/>
    <n v="0"/>
    <n v="0"/>
  </r>
  <r>
    <x v="212"/>
    <n v="14"/>
    <n v="53"/>
    <n v="67"/>
    <n v="13"/>
    <n v="27"/>
    <x v="34"/>
    <n v="21"/>
    <n v="20"/>
    <n v="39"/>
    <n v="2"/>
    <n v="0"/>
    <n v="0"/>
  </r>
  <r>
    <x v="213"/>
    <n v="20"/>
    <n v="39"/>
    <n v="59"/>
    <n v="21"/>
    <n v="9"/>
    <x v="9"/>
    <n v="21"/>
    <n v="8"/>
    <n v="51"/>
    <n v="0.8"/>
    <n v="0"/>
    <n v="0"/>
  </r>
  <r>
    <x v="214"/>
    <n v="8"/>
    <n v="51"/>
    <n v="59"/>
    <n v="21"/>
    <n v="17"/>
    <x v="27"/>
    <n v="16"/>
    <n v="9"/>
    <n v="55"/>
    <n v="0.9"/>
    <n v="0"/>
    <n v="0"/>
  </r>
  <r>
    <x v="215"/>
    <n v="9"/>
    <n v="55"/>
    <n v="64"/>
    <n v="16"/>
    <n v="13"/>
    <x v="28"/>
    <n v="19"/>
    <n v="3"/>
    <n v="58"/>
    <n v="0.30000000000000004"/>
    <n v="0"/>
    <n v="0"/>
  </r>
  <r>
    <x v="216"/>
    <n v="3"/>
    <n v="58"/>
    <n v="61"/>
    <n v="19"/>
    <n v="21"/>
    <x v="32"/>
    <n v="22"/>
    <n v="2"/>
    <n v="56"/>
    <n v="0.2"/>
    <n v="0"/>
    <n v="0"/>
  </r>
  <r>
    <x v="217"/>
    <n v="2"/>
    <n v="56"/>
    <n v="58"/>
    <n v="22"/>
    <n v="21"/>
    <x v="24"/>
    <n v="19"/>
    <n v="4"/>
    <n v="57"/>
    <n v="0.4"/>
    <n v="0"/>
    <n v="0"/>
  </r>
  <r>
    <x v="218"/>
    <n v="4"/>
    <n v="57"/>
    <n v="61"/>
    <n v="19"/>
    <n v="16"/>
    <x v="4"/>
    <n v="19"/>
    <n v="1"/>
    <n v="60"/>
    <n v="0.1"/>
    <n v="0"/>
    <n v="0"/>
  </r>
  <r>
    <x v="219"/>
    <n v="1"/>
    <n v="60"/>
    <n v="61"/>
    <n v="19"/>
    <n v="19"/>
    <x v="4"/>
    <n v="24"/>
    <n v="-4"/>
    <n v="60"/>
    <n v="0"/>
    <n v="1"/>
    <n v="4"/>
  </r>
  <r>
    <x v="220"/>
    <n v="-4"/>
    <n v="60"/>
    <n v="56"/>
    <n v="24"/>
    <n v="22"/>
    <x v="33"/>
    <n v="35"/>
    <n v="-17"/>
    <n v="62"/>
    <n v="0"/>
    <n v="1"/>
    <n v="17"/>
  </r>
  <r>
    <x v="221"/>
    <n v="-17"/>
    <n v="62"/>
    <n v="45"/>
    <n v="35"/>
    <n v="19"/>
    <x v="35"/>
    <n v="26"/>
    <n v="-24"/>
    <n v="78"/>
    <n v="0"/>
    <n v="1"/>
    <n v="24"/>
  </r>
  <r>
    <x v="222"/>
    <n v="-24"/>
    <n v="78"/>
    <n v="54"/>
    <n v="26"/>
    <n v="19"/>
    <x v="36"/>
    <n v="15"/>
    <n v="-20"/>
    <n v="85"/>
    <n v="0"/>
    <n v="1"/>
    <n v="15"/>
  </r>
  <r>
    <x v="223"/>
    <n v="-20"/>
    <n v="85"/>
    <n v="65"/>
    <n v="15"/>
    <n v="24"/>
    <x v="37"/>
    <n v="22"/>
    <n v="-18"/>
    <n v="76"/>
    <n v="0"/>
    <n v="1"/>
    <n v="18"/>
  </r>
  <r>
    <x v="224"/>
    <n v="-18"/>
    <n v="76"/>
    <n v="58"/>
    <n v="22"/>
    <n v="35"/>
    <x v="22"/>
    <n v="22"/>
    <n v="-5"/>
    <n v="63"/>
    <n v="0"/>
    <n v="1"/>
    <n v="5"/>
  </r>
  <r>
    <x v="225"/>
    <n v="-5"/>
    <n v="63"/>
    <n v="58"/>
    <n v="22"/>
    <n v="26"/>
    <x v="5"/>
    <n v="23"/>
    <n v="-2"/>
    <n v="59"/>
    <n v="0"/>
    <n v="1"/>
    <n v="2"/>
  </r>
  <r>
    <x v="226"/>
    <n v="-2"/>
    <n v="59"/>
    <n v="57"/>
    <n v="23"/>
    <n v="15"/>
    <x v="21"/>
    <n v="23"/>
    <n v="-10"/>
    <n v="67"/>
    <n v="0"/>
    <n v="1"/>
    <n v="10"/>
  </r>
  <r>
    <x v="227"/>
    <n v="-10"/>
    <n v="67"/>
    <n v="57"/>
    <n v="23"/>
    <n v="22"/>
    <x v="17"/>
    <n v="23"/>
    <n v="-11"/>
    <n v="68"/>
    <n v="0"/>
    <n v="1"/>
    <n v="11"/>
  </r>
  <r>
    <x v="228"/>
    <n v="-11"/>
    <n v="68"/>
    <n v="57"/>
    <n v="23"/>
    <n v="22"/>
    <x v="30"/>
    <n v="19"/>
    <n v="-8"/>
    <n v="69"/>
    <n v="0"/>
    <n v="1"/>
    <n v="8"/>
  </r>
  <r>
    <x v="229"/>
    <n v="-8"/>
    <n v="69"/>
    <n v="61"/>
    <n v="19"/>
    <n v="23"/>
    <x v="26"/>
    <n v="24"/>
    <n v="-9"/>
    <n v="65"/>
    <n v="0"/>
    <n v="1"/>
    <n v="9"/>
  </r>
  <r>
    <x v="230"/>
    <n v="-9"/>
    <n v="65"/>
    <n v="56"/>
    <n v="24"/>
    <n v="23"/>
    <x v="7"/>
    <n v="20"/>
    <n v="-6"/>
    <n v="66"/>
    <n v="0"/>
    <n v="1"/>
    <n v="6"/>
  </r>
  <r>
    <x v="231"/>
    <n v="-6"/>
    <n v="66"/>
    <n v="60"/>
    <n v="20"/>
    <n v="23"/>
    <x v="22"/>
    <n v="16"/>
    <n v="1"/>
    <n v="63"/>
    <n v="0.1"/>
    <n v="0"/>
    <n v="0"/>
  </r>
  <r>
    <x v="232"/>
    <n v="1"/>
    <n v="63"/>
    <n v="64"/>
    <n v="16"/>
    <n v="19"/>
    <x v="4"/>
    <n v="21"/>
    <n v="-1"/>
    <n v="60"/>
    <n v="0"/>
    <n v="1"/>
    <n v="1"/>
  </r>
  <r>
    <x v="233"/>
    <n v="-1"/>
    <n v="60"/>
    <n v="59"/>
    <n v="21"/>
    <n v="24"/>
    <x v="24"/>
    <n v="16"/>
    <n v="7"/>
    <n v="57"/>
    <n v="0.70000000000000007"/>
    <n v="0"/>
    <n v="0"/>
  </r>
  <r>
    <x v="234"/>
    <n v="7"/>
    <n v="57"/>
    <n v="64"/>
    <n v="16"/>
    <n v="20"/>
    <x v="12"/>
    <n v="13"/>
    <n v="14"/>
    <n v="53"/>
    <n v="1.4000000000000001"/>
    <n v="0"/>
    <n v="0"/>
  </r>
  <r>
    <x v="235"/>
    <n v="14"/>
    <n v="53"/>
    <n v="67"/>
    <n v="13"/>
    <n v="16"/>
    <x v="13"/>
    <n v="26"/>
    <n v="4"/>
    <n v="50"/>
    <n v="0.4"/>
    <n v="0"/>
    <n v="0"/>
  </r>
  <r>
    <x v="236"/>
    <n v="4"/>
    <n v="50"/>
    <n v="54"/>
    <n v="26"/>
    <n v="21"/>
    <x v="27"/>
    <n v="22"/>
    <n v="3"/>
    <n v="55"/>
    <n v="0.30000000000000004"/>
    <n v="0"/>
    <n v="0"/>
  </r>
  <r>
    <x v="237"/>
    <n v="3"/>
    <n v="55"/>
    <n v="58"/>
    <n v="22"/>
    <n v="16"/>
    <x v="23"/>
    <n v="23"/>
    <n v="-4"/>
    <n v="61"/>
    <n v="0"/>
    <n v="1"/>
    <n v="4"/>
  </r>
  <r>
    <x v="238"/>
    <n v="-4"/>
    <n v="61"/>
    <n v="57"/>
    <n v="23"/>
    <n v="13"/>
    <x v="20"/>
    <n v="27"/>
    <n v="-18"/>
    <n v="71"/>
    <n v="0"/>
    <n v="1"/>
    <n v="18"/>
  </r>
  <r>
    <x v="239"/>
    <n v="-18"/>
    <n v="71"/>
    <n v="53"/>
    <n v="27"/>
    <n v="26"/>
    <x v="29"/>
    <n v="18"/>
    <n v="-10"/>
    <n v="72"/>
    <n v="0"/>
    <n v="1"/>
    <n v="10"/>
  </r>
  <r>
    <x v="240"/>
    <n v="-10"/>
    <n v="72"/>
    <n v="62"/>
    <n v="18"/>
    <n v="22"/>
    <x v="17"/>
    <n v="22"/>
    <n v="-10"/>
    <n v="68"/>
    <n v="0"/>
    <n v="1"/>
    <n v="10"/>
  </r>
  <r>
    <x v="241"/>
    <n v="-10"/>
    <n v="68"/>
    <n v="58"/>
    <n v="22"/>
    <n v="23"/>
    <x v="21"/>
    <n v="22"/>
    <n v="-9"/>
    <n v="67"/>
    <n v="0"/>
    <n v="1"/>
    <n v="9"/>
  </r>
  <r>
    <x v="242"/>
    <n v="-9"/>
    <n v="67"/>
    <n v="58"/>
    <n v="22"/>
    <n v="27"/>
    <x v="33"/>
    <n v="11"/>
    <n v="7"/>
    <n v="62"/>
    <n v="0.70000000000000007"/>
    <n v="0"/>
    <n v="0"/>
  </r>
  <r>
    <x v="243"/>
    <n v="7"/>
    <n v="62"/>
    <n v="69"/>
    <n v="11"/>
    <n v="18"/>
    <x v="27"/>
    <n v="23"/>
    <n v="2"/>
    <n v="55"/>
    <n v="0.2"/>
    <n v="0"/>
    <n v="0"/>
  </r>
  <r>
    <x v="244"/>
    <n v="2"/>
    <n v="55"/>
    <n v="57"/>
    <n v="23"/>
    <n v="22"/>
    <x v="32"/>
    <n v="14"/>
    <n v="10"/>
    <n v="56"/>
    <n v="1"/>
    <n v="0"/>
    <n v="0"/>
  </r>
  <r>
    <x v="245"/>
    <n v="10"/>
    <n v="56"/>
    <n v="66"/>
    <n v="14"/>
    <n v="22"/>
    <x v="15"/>
    <n v="23"/>
    <n v="9"/>
    <n v="48"/>
    <n v="0.9"/>
    <n v="0"/>
    <n v="0"/>
  </r>
  <r>
    <x v="246"/>
    <n v="9"/>
    <n v="48"/>
    <n v="57"/>
    <n v="23"/>
    <n v="11"/>
    <x v="4"/>
    <n v="29"/>
    <n v="-9"/>
    <n v="60"/>
    <n v="0"/>
    <n v="1"/>
    <n v="9"/>
  </r>
  <r>
    <x v="247"/>
    <n v="-9"/>
    <n v="60"/>
    <n v="51"/>
    <n v="29"/>
    <n v="23"/>
    <x v="7"/>
    <n v="21"/>
    <n v="-7"/>
    <n v="66"/>
    <n v="0"/>
    <n v="1"/>
    <n v="7"/>
  </r>
  <r>
    <x v="248"/>
    <n v="-7"/>
    <n v="66"/>
    <n v="59"/>
    <n v="21"/>
    <n v="14"/>
    <x v="31"/>
    <n v="15"/>
    <n v="-8"/>
    <n v="73"/>
    <n v="0"/>
    <n v="1"/>
    <n v="8"/>
  </r>
  <r>
    <x v="249"/>
    <n v="-8"/>
    <n v="73"/>
    <n v="65"/>
    <n v="15"/>
    <n v="23"/>
    <x v="26"/>
    <n v="20"/>
    <n v="-5"/>
    <n v="65"/>
    <n v="0"/>
    <n v="1"/>
    <n v="5"/>
  </r>
  <r>
    <x v="250"/>
    <n v="-5"/>
    <n v="65"/>
    <n v="60"/>
    <n v="20"/>
    <n v="29"/>
    <x v="32"/>
    <n v="22"/>
    <n v="2"/>
    <n v="56"/>
    <n v="0.2"/>
    <n v="0"/>
    <n v="0"/>
  </r>
  <r>
    <x v="251"/>
    <n v="2"/>
    <n v="56"/>
    <n v="58"/>
    <n v="22"/>
    <n v="21"/>
    <x v="24"/>
    <n v="19"/>
    <n v="4"/>
    <n v="57"/>
    <n v="0.4"/>
    <n v="0"/>
    <n v="0"/>
  </r>
  <r>
    <x v="252"/>
    <n v="4"/>
    <n v="57"/>
    <n v="61"/>
    <n v="19"/>
    <n v="15"/>
    <x v="23"/>
    <n v="23"/>
    <n v="-4"/>
    <n v="61"/>
    <n v="0"/>
    <n v="1"/>
    <n v="4"/>
  </r>
  <r>
    <x v="253"/>
    <n v="-4"/>
    <n v="61"/>
    <n v="57"/>
    <n v="23"/>
    <n v="20"/>
    <x v="8"/>
    <n v="21"/>
    <n v="-5"/>
    <n v="64"/>
    <n v="0"/>
    <n v="1"/>
    <n v="5"/>
  </r>
  <r>
    <x v="254"/>
    <n v="-5"/>
    <n v="64"/>
    <n v="59"/>
    <n v="21"/>
    <n v="22"/>
    <x v="22"/>
    <n v="19"/>
    <n v="-2"/>
    <n v="63"/>
    <n v="0"/>
    <n v="1"/>
    <n v="2"/>
  </r>
  <r>
    <x v="255"/>
    <n v="-2"/>
    <n v="63"/>
    <n v="61"/>
    <n v="19"/>
    <n v="19"/>
    <x v="22"/>
    <n v="13"/>
    <n v="4"/>
    <n v="63"/>
    <n v="0.4"/>
    <n v="0"/>
    <n v="0"/>
  </r>
  <r>
    <x v="256"/>
    <n v="4"/>
    <n v="63"/>
    <n v="67"/>
    <n v="13"/>
    <n v="23"/>
    <x v="12"/>
    <n v="19"/>
    <n v="8"/>
    <n v="53"/>
    <n v="0.8"/>
    <n v="0"/>
    <n v="0"/>
  </r>
  <r>
    <x v="257"/>
    <n v="8"/>
    <n v="53"/>
    <n v="61"/>
    <n v="19"/>
    <n v="21"/>
    <x v="9"/>
    <n v="21"/>
    <n v="8"/>
    <n v="51"/>
    <n v="0.8"/>
    <n v="0"/>
    <n v="0"/>
  </r>
  <r>
    <x v="258"/>
    <n v="8"/>
    <n v="51"/>
    <n v="59"/>
    <n v="21"/>
    <n v="19"/>
    <x v="12"/>
    <n v="28"/>
    <n v="-1"/>
    <n v="53"/>
    <n v="0"/>
    <n v="1"/>
    <n v="1"/>
  </r>
  <r>
    <x v="259"/>
    <n v="-1"/>
    <n v="53"/>
    <n v="52"/>
    <n v="28"/>
    <n v="13"/>
    <x v="17"/>
    <n v="22"/>
    <n v="-10"/>
    <n v="68"/>
    <n v="0"/>
    <n v="1"/>
    <n v="10"/>
  </r>
  <r>
    <x v="260"/>
    <n v="-10"/>
    <n v="68"/>
    <n v="58"/>
    <n v="22"/>
    <n v="19"/>
    <x v="20"/>
    <n v="18"/>
    <n v="-9"/>
    <n v="71"/>
    <n v="0"/>
    <n v="1"/>
    <n v="9"/>
  </r>
  <r>
    <x v="261"/>
    <n v="-9"/>
    <n v="71"/>
    <n v="62"/>
    <n v="18"/>
    <n v="21"/>
    <x v="17"/>
    <n v="21"/>
    <n v="-9"/>
    <n v="68"/>
    <n v="0"/>
    <n v="1"/>
    <n v="9"/>
  </r>
  <r>
    <x v="262"/>
    <n v="-9"/>
    <n v="68"/>
    <n v="59"/>
    <n v="21"/>
    <n v="28"/>
    <x v="23"/>
    <n v="12"/>
    <n v="7"/>
    <n v="61"/>
    <n v="0.70000000000000007"/>
    <n v="0"/>
    <n v="0"/>
  </r>
  <r>
    <x v="263"/>
    <n v="7"/>
    <n v="61"/>
    <n v="68"/>
    <n v="12"/>
    <n v="22"/>
    <x v="9"/>
    <n v="22"/>
    <n v="7"/>
    <n v="51"/>
    <n v="0.70000000000000007"/>
    <n v="0"/>
    <n v="0"/>
  </r>
  <r>
    <x v="264"/>
    <n v="7"/>
    <n v="51"/>
    <n v="58"/>
    <n v="22"/>
    <n v="18"/>
    <x v="27"/>
    <n v="19"/>
    <n v="6"/>
    <n v="55"/>
    <n v="0.60000000000000009"/>
    <n v="0"/>
    <n v="0"/>
  </r>
  <r>
    <x v="265"/>
    <n v="6"/>
    <n v="55"/>
    <n v="61"/>
    <n v="19"/>
    <n v="21"/>
    <x v="12"/>
    <n v="20"/>
    <n v="7"/>
    <n v="53"/>
    <n v="0.70000000000000007"/>
    <n v="0"/>
    <n v="0"/>
  </r>
  <r>
    <x v="266"/>
    <n v="7"/>
    <n v="53"/>
    <n v="60"/>
    <n v="20"/>
    <n v="12"/>
    <x v="23"/>
    <n v="15"/>
    <n v="4"/>
    <n v="61"/>
    <n v="0.4"/>
    <n v="0"/>
    <n v="0"/>
  </r>
  <r>
    <x v="267"/>
    <n v="4"/>
    <n v="61"/>
    <n v="65"/>
    <n v="15"/>
    <n v="22"/>
    <x v="16"/>
    <n v="17"/>
    <n v="9"/>
    <n v="54"/>
    <n v="0.9"/>
    <n v="0"/>
    <n v="0"/>
  </r>
  <r>
    <x v="268"/>
    <n v="9"/>
    <n v="54"/>
    <n v="63"/>
    <n v="17"/>
    <n v="19"/>
    <x v="25"/>
    <n v="14"/>
    <n v="14"/>
    <n v="52"/>
    <n v="1.4000000000000001"/>
    <n v="0"/>
    <n v="0"/>
  </r>
  <r>
    <x v="269"/>
    <n v="14"/>
    <n v="52"/>
    <n v="66"/>
    <n v="14"/>
    <n v="20"/>
    <x v="38"/>
    <n v="16"/>
    <n v="18"/>
    <n v="46"/>
    <n v="1.8"/>
    <n v="0"/>
    <n v="0"/>
  </r>
  <r>
    <x v="270"/>
    <n v="18"/>
    <n v="46"/>
    <n v="64"/>
    <n v="16"/>
    <n v="15"/>
    <x v="14"/>
    <n v="21"/>
    <n v="12"/>
    <n v="47"/>
    <n v="1.2000000000000002"/>
    <n v="0"/>
    <n v="0"/>
  </r>
  <r>
    <x v="271"/>
    <n v="12"/>
    <n v="47"/>
    <n v="59"/>
    <n v="21"/>
    <n v="17"/>
    <x v="9"/>
    <n v="13"/>
    <n v="16"/>
    <n v="51"/>
    <n v="1.6"/>
    <n v="0"/>
    <n v="0"/>
  </r>
  <r>
    <x v="272"/>
    <n v="16"/>
    <n v="51"/>
    <n v="67"/>
    <n v="13"/>
    <n v="14"/>
    <x v="13"/>
    <n v="20"/>
    <n v="10"/>
    <n v="50"/>
    <n v="1"/>
    <n v="0"/>
    <n v="0"/>
  </r>
  <r>
    <x v="273"/>
    <n v="10"/>
    <n v="50"/>
    <n v="60"/>
    <n v="20"/>
    <n v="16"/>
    <x v="16"/>
    <n v="18"/>
    <n v="8"/>
    <n v="54"/>
    <n v="0.8"/>
    <n v="0"/>
    <n v="0"/>
  </r>
  <r>
    <x v="274"/>
    <n v="8"/>
    <n v="54"/>
    <n v="62"/>
    <n v="18"/>
    <n v="21"/>
    <x v="9"/>
    <n v="24"/>
    <n v="5"/>
    <n v="51"/>
    <n v="0.5"/>
    <n v="0"/>
    <n v="0"/>
  </r>
  <r>
    <x v="275"/>
    <n v="5"/>
    <n v="51"/>
    <n v="56"/>
    <n v="24"/>
    <n v="13"/>
    <x v="33"/>
    <n v="18"/>
    <n v="0"/>
    <n v="62"/>
    <n v="0"/>
    <n v="0"/>
    <n v="0"/>
  </r>
  <r>
    <x v="276"/>
    <n v="0"/>
    <n v="62"/>
    <n v="62"/>
    <n v="18"/>
    <n v="20"/>
    <x v="4"/>
    <n v="17"/>
    <n v="3"/>
    <n v="60"/>
    <n v="0.30000000000000004"/>
    <n v="0"/>
    <n v="0"/>
  </r>
  <r>
    <x v="277"/>
    <n v="3"/>
    <n v="60"/>
    <n v="63"/>
    <n v="17"/>
    <n v="18"/>
    <x v="5"/>
    <n v="26"/>
    <n v="-5"/>
    <n v="59"/>
    <n v="0"/>
    <n v="1"/>
    <n v="5"/>
  </r>
  <r>
    <x v="278"/>
    <n v="-5"/>
    <n v="59"/>
    <n v="54"/>
    <n v="26"/>
    <n v="24"/>
    <x v="23"/>
    <n v="20"/>
    <n v="-1"/>
    <n v="61"/>
    <n v="0"/>
    <n v="1"/>
    <n v="1"/>
  </r>
  <r>
    <x v="279"/>
    <n v="-1"/>
    <n v="61"/>
    <n v="60"/>
    <n v="20"/>
    <n v="18"/>
    <x v="22"/>
    <n v="16"/>
    <n v="1"/>
    <n v="63"/>
    <n v="0.1"/>
    <n v="0"/>
    <n v="0"/>
  </r>
  <r>
    <x v="280"/>
    <n v="1"/>
    <n v="63"/>
    <n v="64"/>
    <n v="16"/>
    <n v="17"/>
    <x v="33"/>
    <n v="17"/>
    <n v="1"/>
    <n v="62"/>
    <n v="0.1"/>
    <n v="0"/>
    <n v="0"/>
  </r>
  <r>
    <x v="281"/>
    <n v="1"/>
    <n v="62"/>
    <n v="63"/>
    <n v="17"/>
    <n v="26"/>
    <x v="12"/>
    <n v="21"/>
    <n v="6"/>
    <n v="53"/>
    <n v="0.60000000000000009"/>
    <n v="0"/>
    <n v="0"/>
  </r>
  <r>
    <x v="282"/>
    <n v="6"/>
    <n v="53"/>
    <n v="59"/>
    <n v="21"/>
    <n v="20"/>
    <x v="16"/>
    <n v="22"/>
    <n v="4"/>
    <n v="54"/>
    <n v="0.4"/>
    <n v="0"/>
    <n v="0"/>
  </r>
  <r>
    <x v="283"/>
    <n v="4"/>
    <n v="54"/>
    <n v="58"/>
    <n v="22"/>
    <n v="16"/>
    <x v="4"/>
    <n v="22"/>
    <n v="-2"/>
    <n v="60"/>
    <n v="0"/>
    <n v="1"/>
    <n v="2"/>
  </r>
  <r>
    <x v="284"/>
    <n v="-2"/>
    <n v="60"/>
    <n v="58"/>
    <n v="22"/>
    <n v="17"/>
    <x v="26"/>
    <n v="22"/>
    <n v="-7"/>
    <n v="65"/>
    <n v="0"/>
    <n v="1"/>
    <n v="7"/>
  </r>
  <r>
    <x v="285"/>
    <n v="-7"/>
    <n v="65"/>
    <n v="58"/>
    <n v="22"/>
    <n v="21"/>
    <x v="7"/>
    <n v="17"/>
    <n v="-3"/>
    <n v="66"/>
    <n v="0"/>
    <n v="1"/>
    <n v="3"/>
  </r>
  <r>
    <x v="286"/>
    <n v="-3"/>
    <n v="66"/>
    <n v="63"/>
    <n v="17"/>
    <n v="22"/>
    <x v="23"/>
    <n v="22"/>
    <n v="-3"/>
    <n v="61"/>
    <n v="0"/>
    <n v="1"/>
    <n v="3"/>
  </r>
  <r>
    <x v="287"/>
    <n v="-3"/>
    <n v="61"/>
    <n v="58"/>
    <n v="22"/>
    <n v="22"/>
    <x v="23"/>
    <n v="22"/>
    <n v="-3"/>
    <n v="61"/>
    <n v="0"/>
    <n v="1"/>
    <n v="3"/>
  </r>
  <r>
    <x v="288"/>
    <n v="-3"/>
    <n v="61"/>
    <n v="58"/>
    <n v="22"/>
    <n v="22"/>
    <x v="23"/>
    <n v="19"/>
    <n v="0"/>
    <n v="61"/>
    <n v="0"/>
    <n v="0"/>
    <n v="0"/>
  </r>
  <r>
    <x v="289"/>
    <n v="0"/>
    <n v="61"/>
    <n v="61"/>
    <n v="19"/>
    <n v="17"/>
    <x v="22"/>
    <n v="23"/>
    <n v="-6"/>
    <n v="63"/>
    <n v="0"/>
    <n v="1"/>
    <n v="6"/>
  </r>
  <r>
    <x v="290"/>
    <n v="-6"/>
    <n v="63"/>
    <n v="57"/>
    <n v="23"/>
    <n v="22"/>
    <x v="8"/>
    <n v="22"/>
    <n v="-6"/>
    <n v="64"/>
    <n v="0"/>
    <n v="1"/>
    <n v="6"/>
  </r>
  <r>
    <x v="291"/>
    <n v="-6"/>
    <n v="64"/>
    <n v="58"/>
    <n v="22"/>
    <n v="22"/>
    <x v="8"/>
    <n v="16"/>
    <n v="0"/>
    <n v="64"/>
    <n v="0"/>
    <n v="0"/>
    <n v="0"/>
  </r>
  <r>
    <x v="292"/>
    <n v="0"/>
    <n v="64"/>
    <n v="64"/>
    <n v="16"/>
    <n v="19"/>
    <x v="23"/>
    <n v="26"/>
    <n v="-7"/>
    <n v="61"/>
    <n v="0"/>
    <n v="1"/>
    <n v="7"/>
  </r>
  <r>
    <x v="293"/>
    <n v="-7"/>
    <n v="61"/>
    <n v="54"/>
    <n v="26"/>
    <n v="23"/>
    <x v="8"/>
    <n v="24"/>
    <n v="-8"/>
    <n v="64"/>
    <n v="0"/>
    <n v="1"/>
    <n v="8"/>
  </r>
  <r>
    <x v="294"/>
    <n v="-8"/>
    <n v="64"/>
    <n v="56"/>
    <n v="24"/>
    <n v="22"/>
    <x v="7"/>
    <n v="16"/>
    <n v="-2"/>
    <n v="66"/>
    <n v="0"/>
    <n v="1"/>
    <n v="2"/>
  </r>
  <r>
    <x v="295"/>
    <n v="-2"/>
    <n v="66"/>
    <n v="64"/>
    <n v="16"/>
    <n v="16"/>
    <x v="7"/>
    <n v="25"/>
    <n v="-11"/>
    <n v="66"/>
    <n v="0"/>
    <n v="1"/>
    <n v="11"/>
  </r>
  <r>
    <x v="296"/>
    <n v="-11"/>
    <n v="66"/>
    <n v="55"/>
    <n v="25"/>
    <n v="26"/>
    <x v="26"/>
    <n v="25"/>
    <n v="-10"/>
    <n v="65"/>
    <n v="0"/>
    <n v="1"/>
    <n v="10"/>
  </r>
  <r>
    <x v="297"/>
    <n v="-10"/>
    <n v="65"/>
    <n v="55"/>
    <n v="25"/>
    <n v="24"/>
    <x v="7"/>
    <n v="22"/>
    <n v="-8"/>
    <n v="66"/>
    <n v="0"/>
    <n v="1"/>
    <n v="8"/>
  </r>
  <r>
    <x v="298"/>
    <n v="-8"/>
    <n v="66"/>
    <n v="58"/>
    <n v="22"/>
    <n v="16"/>
    <x v="29"/>
    <n v="16"/>
    <n v="-8"/>
    <n v="72"/>
    <n v="0"/>
    <n v="1"/>
    <n v="8"/>
  </r>
  <r>
    <x v="299"/>
    <n v="-8"/>
    <n v="72"/>
    <n v="64"/>
    <n v="16"/>
    <n v="25"/>
    <x v="22"/>
    <n v="19"/>
    <n v="-2"/>
    <n v="63"/>
    <n v="0"/>
    <n v="1"/>
    <n v="2"/>
  </r>
  <r>
    <x v="300"/>
    <n v="-2"/>
    <n v="63"/>
    <n v="61"/>
    <n v="19"/>
    <n v="25"/>
    <x v="24"/>
    <n v="29"/>
    <n v="-6"/>
    <n v="57"/>
    <n v="0"/>
    <n v="1"/>
    <n v="6"/>
  </r>
  <r>
    <x v="301"/>
    <n v="-6"/>
    <n v="57"/>
    <n v="51"/>
    <n v="29"/>
    <n v="22"/>
    <x v="8"/>
    <n v="26"/>
    <n v="-10"/>
    <n v="64"/>
    <n v="0"/>
    <n v="1"/>
    <n v="10"/>
  </r>
  <r>
    <x v="302"/>
    <n v="-10"/>
    <n v="64"/>
    <n v="54"/>
    <n v="26"/>
    <n v="16"/>
    <x v="39"/>
    <n v="19"/>
    <n v="-13"/>
    <n v="74"/>
    <n v="0"/>
    <n v="1"/>
    <n v="13"/>
  </r>
  <r>
    <x v="303"/>
    <n v="-13"/>
    <n v="74"/>
    <n v="61"/>
    <n v="19"/>
    <n v="19"/>
    <x v="39"/>
    <n v="19"/>
    <n v="-13"/>
    <n v="74"/>
    <n v="0"/>
    <n v="1"/>
    <n v="13"/>
  </r>
  <r>
    <x v="304"/>
    <n v="-13"/>
    <n v="74"/>
    <n v="61"/>
    <n v="19"/>
    <n v="29"/>
    <x v="8"/>
    <n v="26"/>
    <n v="-10"/>
    <n v="64"/>
    <n v="0"/>
    <n v="1"/>
    <n v="10"/>
  </r>
  <r>
    <x v="305"/>
    <n v="-10"/>
    <n v="64"/>
    <n v="54"/>
    <n v="26"/>
    <n v="26"/>
    <x v="8"/>
    <n v="15"/>
    <n v="1"/>
    <n v="64"/>
    <n v="0.1"/>
    <n v="0"/>
    <n v="0"/>
  </r>
  <r>
    <x v="306"/>
    <n v="1"/>
    <n v="64"/>
    <n v="65"/>
    <n v="15"/>
    <n v="19"/>
    <x v="4"/>
    <n v="23"/>
    <n v="-3"/>
    <n v="60"/>
    <n v="0"/>
    <n v="1"/>
    <n v="3"/>
  </r>
  <r>
    <x v="307"/>
    <n v="-3"/>
    <n v="60"/>
    <n v="57"/>
    <n v="23"/>
    <n v="19"/>
    <x v="8"/>
    <n v="15"/>
    <n v="1"/>
    <n v="64"/>
    <n v="0.1"/>
    <n v="0"/>
    <n v="0"/>
  </r>
  <r>
    <x v="308"/>
    <n v="1"/>
    <n v="64"/>
    <n v="65"/>
    <n v="15"/>
    <n v="26"/>
    <x v="12"/>
    <n v="19"/>
    <n v="8"/>
    <n v="53"/>
    <n v="0.8"/>
    <n v="0"/>
    <n v="0"/>
  </r>
  <r>
    <x v="309"/>
    <n v="8"/>
    <n v="53"/>
    <n v="61"/>
    <n v="19"/>
    <n v="15"/>
    <x v="24"/>
    <n v="19"/>
    <n v="4"/>
    <n v="57"/>
    <n v="0.4"/>
    <n v="0"/>
    <n v="0"/>
  </r>
  <r>
    <x v="310"/>
    <n v="4"/>
    <n v="57"/>
    <n v="61"/>
    <n v="19"/>
    <n v="23"/>
    <x v="12"/>
    <n v="20"/>
    <n v="7"/>
    <n v="53"/>
    <n v="0.70000000000000007"/>
    <n v="0"/>
    <n v="0"/>
  </r>
  <r>
    <x v="311"/>
    <n v="7"/>
    <n v="53"/>
    <n v="60"/>
    <n v="20"/>
    <n v="15"/>
    <x v="28"/>
    <n v="10"/>
    <n v="12"/>
    <n v="58"/>
    <n v="1.2000000000000002"/>
    <n v="0"/>
    <n v="0"/>
  </r>
  <r>
    <x v="312"/>
    <n v="12"/>
    <n v="58"/>
    <n v="70"/>
    <n v="10"/>
    <n v="19"/>
    <x v="10"/>
    <n v="15"/>
    <n v="16"/>
    <n v="49"/>
    <n v="1.6"/>
    <n v="0"/>
    <n v="0"/>
  </r>
  <r>
    <x v="313"/>
    <n v="16"/>
    <n v="49"/>
    <n v="65"/>
    <n v="15"/>
    <n v="19"/>
    <x v="11"/>
    <n v="17"/>
    <n v="18"/>
    <n v="45"/>
    <n v="1.8"/>
    <n v="0"/>
    <n v="0"/>
  </r>
  <r>
    <x v="314"/>
    <n v="18"/>
    <n v="45"/>
    <n v="63"/>
    <n v="17"/>
    <n v="20"/>
    <x v="40"/>
    <n v="22"/>
    <n v="16"/>
    <n v="42"/>
    <n v="1.6"/>
    <n v="0"/>
    <n v="0"/>
  </r>
  <r>
    <x v="315"/>
    <n v="16"/>
    <n v="42"/>
    <n v="58"/>
    <n v="22"/>
    <n v="10"/>
    <x v="16"/>
    <n v="20"/>
    <n v="6"/>
    <n v="54"/>
    <n v="0.60000000000000009"/>
    <n v="0"/>
    <n v="0"/>
  </r>
  <r>
    <x v="316"/>
    <n v="6"/>
    <n v="54"/>
    <n v="60"/>
    <n v="20"/>
    <n v="15"/>
    <x v="5"/>
    <n v="21"/>
    <n v="0"/>
    <n v="59"/>
    <n v="0"/>
    <n v="0"/>
    <n v="0"/>
  </r>
  <r>
    <x v="317"/>
    <n v="0"/>
    <n v="59"/>
    <n v="59"/>
    <n v="21"/>
    <n v="17"/>
    <x v="22"/>
    <n v="23"/>
    <n v="-6"/>
    <n v="63"/>
    <n v="0"/>
    <n v="1"/>
    <n v="6"/>
  </r>
  <r>
    <x v="318"/>
    <n v="-6"/>
    <n v="63"/>
    <n v="57"/>
    <n v="23"/>
    <n v="22"/>
    <x v="8"/>
    <n v="26"/>
    <n v="-10"/>
    <n v="64"/>
    <n v="0"/>
    <n v="1"/>
    <n v="10"/>
  </r>
  <r>
    <x v="319"/>
    <n v="-10"/>
    <n v="64"/>
    <n v="54"/>
    <n v="26"/>
    <n v="20"/>
    <x v="6"/>
    <n v="23"/>
    <n v="-13"/>
    <n v="70"/>
    <n v="0"/>
    <n v="1"/>
    <n v="13"/>
  </r>
  <r>
    <x v="320"/>
    <n v="-13"/>
    <n v="70"/>
    <n v="57"/>
    <n v="23"/>
    <n v="21"/>
    <x v="29"/>
    <n v="18"/>
    <n v="-10"/>
    <n v="72"/>
    <n v="0"/>
    <n v="1"/>
    <n v="10"/>
  </r>
  <r>
    <x v="321"/>
    <n v="-10"/>
    <n v="72"/>
    <n v="62"/>
    <n v="18"/>
    <n v="23"/>
    <x v="21"/>
    <n v="20"/>
    <n v="-7"/>
    <n v="67"/>
    <n v="0"/>
    <n v="1"/>
    <n v="7"/>
  </r>
  <r>
    <x v="322"/>
    <n v="-7"/>
    <n v="67"/>
    <n v="60"/>
    <n v="20"/>
    <n v="26"/>
    <x v="23"/>
    <n v="18"/>
    <n v="1"/>
    <n v="61"/>
    <n v="0.1"/>
    <n v="0"/>
    <n v="0"/>
  </r>
  <r>
    <x v="323"/>
    <n v="1"/>
    <n v="61"/>
    <n v="62"/>
    <n v="18"/>
    <n v="23"/>
    <x v="32"/>
    <n v="19"/>
    <n v="5"/>
    <n v="56"/>
    <n v="0.5"/>
    <n v="0"/>
    <n v="0"/>
  </r>
  <r>
    <x v="324"/>
    <n v="5"/>
    <n v="56"/>
    <n v="61"/>
    <n v="19"/>
    <n v="18"/>
    <x v="24"/>
    <n v="22"/>
    <n v="1"/>
    <n v="57"/>
    <n v="0.1"/>
    <n v="0"/>
    <n v="0"/>
  </r>
  <r>
    <x v="325"/>
    <n v="1"/>
    <n v="57"/>
    <n v="58"/>
    <n v="22"/>
    <n v="20"/>
    <x v="5"/>
    <n v="21"/>
    <n v="0"/>
    <n v="59"/>
    <n v="0"/>
    <n v="0"/>
    <n v="0"/>
  </r>
  <r>
    <x v="326"/>
    <n v="0"/>
    <n v="59"/>
    <n v="59"/>
    <n v="21"/>
    <n v="18"/>
    <x v="33"/>
    <n v="15"/>
    <n v="3"/>
    <n v="62"/>
    <n v="0.30000000000000004"/>
    <n v="0"/>
    <n v="0"/>
  </r>
  <r>
    <x v="327"/>
    <n v="3"/>
    <n v="62"/>
    <n v="65"/>
    <n v="15"/>
    <n v="19"/>
    <x v="28"/>
    <n v="11"/>
    <n v="11"/>
    <n v="58"/>
    <n v="1.1000000000000001"/>
    <n v="0"/>
    <n v="0"/>
  </r>
  <r>
    <x v="328"/>
    <n v="11"/>
    <n v="58"/>
    <n v="69"/>
    <n v="11"/>
    <n v="22"/>
    <x v="14"/>
    <n v="20"/>
    <n v="13"/>
    <n v="47"/>
    <n v="1.3"/>
    <n v="0"/>
    <n v="0"/>
  </r>
  <r>
    <x v="329"/>
    <n v="13"/>
    <n v="47"/>
    <n v="60"/>
    <n v="20"/>
    <n v="21"/>
    <x v="38"/>
    <n v="24"/>
    <n v="10"/>
    <n v="46"/>
    <n v="1"/>
    <n v="0"/>
    <n v="0"/>
  </r>
  <r>
    <x v="330"/>
    <n v="10"/>
    <n v="46"/>
    <n v="56"/>
    <n v="24"/>
    <n v="15"/>
    <x v="27"/>
    <n v="24"/>
    <n v="1"/>
    <n v="55"/>
    <n v="0.1"/>
    <n v="0"/>
    <n v="0"/>
  </r>
  <r>
    <x v="331"/>
    <n v="1"/>
    <n v="55"/>
    <n v="56"/>
    <n v="24"/>
    <n v="11"/>
    <x v="17"/>
    <n v="25"/>
    <n v="-13"/>
    <n v="68"/>
    <n v="0"/>
    <n v="1"/>
    <n v="13"/>
  </r>
  <r>
    <x v="332"/>
    <n v="-13"/>
    <n v="68"/>
    <n v="55"/>
    <n v="25"/>
    <n v="20"/>
    <x v="31"/>
    <n v="20"/>
    <n v="-13"/>
    <n v="73"/>
    <n v="0"/>
    <n v="1"/>
    <n v="13"/>
  </r>
  <r>
    <x v="333"/>
    <n v="-13"/>
    <n v="73"/>
    <n v="60"/>
    <n v="20"/>
    <n v="24"/>
    <x v="30"/>
    <n v="19"/>
    <n v="-8"/>
    <n v="69"/>
    <n v="0"/>
    <n v="1"/>
    <n v="8"/>
  </r>
  <r>
    <x v="334"/>
    <n v="-8"/>
    <n v="69"/>
    <n v="61"/>
    <n v="19"/>
    <n v="24"/>
    <x v="8"/>
    <n v="22"/>
    <n v="-6"/>
    <n v="64"/>
    <n v="0"/>
    <n v="1"/>
    <n v="6"/>
  </r>
  <r>
    <x v="335"/>
    <n v="-6"/>
    <n v="64"/>
    <n v="58"/>
    <n v="22"/>
    <n v="25"/>
    <x v="23"/>
    <n v="24"/>
    <n v="-5"/>
    <n v="61"/>
    <n v="0"/>
    <n v="1"/>
    <n v="5"/>
  </r>
  <r>
    <x v="336"/>
    <n v="-5"/>
    <n v="61"/>
    <n v="56"/>
    <n v="24"/>
    <n v="20"/>
    <x v="26"/>
    <n v="9"/>
    <n v="6"/>
    <n v="65"/>
    <n v="0.60000000000000009"/>
    <n v="0"/>
    <n v="0"/>
  </r>
  <r>
    <x v="337"/>
    <n v="6"/>
    <n v="65"/>
    <n v="71"/>
    <n v="9"/>
    <n v="19"/>
    <x v="27"/>
    <n v="19"/>
    <n v="6"/>
    <n v="55"/>
    <n v="0.60000000000000009"/>
    <n v="0"/>
    <n v="0"/>
  </r>
  <r>
    <x v="338"/>
    <n v="6"/>
    <n v="55"/>
    <n v="61"/>
    <n v="19"/>
    <n v="22"/>
    <x v="25"/>
    <n v="24"/>
    <n v="4"/>
    <n v="52"/>
    <n v="0.4"/>
    <n v="0"/>
    <n v="0"/>
  </r>
  <r>
    <x v="339"/>
    <n v="4"/>
    <n v="52"/>
    <n v="56"/>
    <n v="24"/>
    <n v="24"/>
    <x v="25"/>
    <n v="19"/>
    <n v="9"/>
    <n v="52"/>
    <n v="0.9"/>
    <n v="0"/>
    <n v="0"/>
  </r>
  <r>
    <x v="340"/>
    <n v="9"/>
    <n v="52"/>
    <n v="61"/>
    <n v="19"/>
    <n v="9"/>
    <x v="33"/>
    <n v="23"/>
    <n v="-5"/>
    <n v="62"/>
    <n v="0"/>
    <n v="1"/>
    <n v="5"/>
  </r>
  <r>
    <x v="341"/>
    <n v="-5"/>
    <n v="62"/>
    <n v="57"/>
    <n v="23"/>
    <n v="19"/>
    <x v="7"/>
    <n v="19"/>
    <n v="-5"/>
    <n v="66"/>
    <n v="0"/>
    <n v="1"/>
    <n v="5"/>
  </r>
  <r>
    <x v="342"/>
    <n v="-5"/>
    <n v="66"/>
    <n v="61"/>
    <n v="19"/>
    <n v="24"/>
    <x v="23"/>
    <n v="19"/>
    <n v="0"/>
    <n v="61"/>
    <n v="0"/>
    <n v="0"/>
    <n v="0"/>
  </r>
  <r>
    <x v="343"/>
    <n v="0"/>
    <n v="61"/>
    <n v="61"/>
    <n v="19"/>
    <n v="19"/>
    <x v="23"/>
    <n v="22"/>
    <n v="-3"/>
    <n v="61"/>
    <n v="0"/>
    <n v="1"/>
    <n v="3"/>
  </r>
  <r>
    <x v="344"/>
    <n v="-3"/>
    <n v="61"/>
    <n v="58"/>
    <n v="22"/>
    <n v="23"/>
    <x v="4"/>
    <n v="20"/>
    <n v="0"/>
    <n v="60"/>
    <n v="0"/>
    <n v="0"/>
    <n v="0"/>
  </r>
  <r>
    <x v="345"/>
    <n v="0"/>
    <n v="60"/>
    <n v="60"/>
    <n v="20"/>
    <n v="19"/>
    <x v="23"/>
    <n v="15"/>
    <n v="4"/>
    <n v="61"/>
    <n v="0.4"/>
    <n v="0"/>
    <n v="0"/>
  </r>
  <r>
    <x v="346"/>
    <n v="4"/>
    <n v="61"/>
    <n v="65"/>
    <n v="15"/>
    <n v="19"/>
    <x v="24"/>
    <n v="24"/>
    <n v="-1"/>
    <n v="57"/>
    <n v="0"/>
    <n v="1"/>
    <n v="1"/>
  </r>
  <r>
    <x v="347"/>
    <n v="-1"/>
    <n v="57"/>
    <n v="56"/>
    <n v="24"/>
    <n v="22"/>
    <x v="5"/>
    <n v="17"/>
    <n v="4"/>
    <n v="59"/>
    <n v="0.4"/>
    <n v="0"/>
    <n v="0"/>
  </r>
  <r>
    <x v="348"/>
    <n v="4"/>
    <n v="59"/>
    <n v="63"/>
    <n v="17"/>
    <n v="20"/>
    <x v="32"/>
    <n v="27"/>
    <n v="-3"/>
    <n v="56"/>
    <n v="0"/>
    <n v="1"/>
    <n v="3"/>
  </r>
  <r>
    <x v="349"/>
    <n v="-3"/>
    <n v="56"/>
    <n v="53"/>
    <n v="27"/>
    <n v="15"/>
    <x v="17"/>
    <n v="10"/>
    <n v="2"/>
    <n v="68"/>
    <n v="0.2"/>
    <n v="0"/>
    <n v="0"/>
  </r>
  <r>
    <x v="350"/>
    <n v="2"/>
    <n v="68"/>
    <n v="70"/>
    <n v="10"/>
    <n v="24"/>
    <x v="16"/>
    <n v="17"/>
    <n v="9"/>
    <n v="54"/>
    <n v="0.9"/>
    <n v="0"/>
    <n v="0"/>
  </r>
  <r>
    <x v="351"/>
    <n v="9"/>
    <n v="54"/>
    <n v="63"/>
    <n v="17"/>
    <n v="17"/>
    <x v="16"/>
    <n v="19"/>
    <n v="7"/>
    <n v="54"/>
    <n v="0.70000000000000007"/>
    <n v="0"/>
    <n v="0"/>
  </r>
  <r>
    <x v="352"/>
    <n v="7"/>
    <n v="54"/>
    <n v="61"/>
    <n v="19"/>
    <n v="27"/>
    <x v="38"/>
    <n v="19"/>
    <n v="15"/>
    <n v="46"/>
    <n v="1.5"/>
    <n v="0"/>
    <n v="0"/>
  </r>
  <r>
    <x v="353"/>
    <n v="15"/>
    <n v="46"/>
    <n v="61"/>
    <n v="19"/>
    <n v="10"/>
    <x v="27"/>
    <n v="20"/>
    <n v="5"/>
    <n v="55"/>
    <n v="0.5"/>
    <n v="0"/>
    <n v="0"/>
  </r>
  <r>
    <x v="354"/>
    <n v="5"/>
    <n v="55"/>
    <n v="60"/>
    <n v="20"/>
    <n v="17"/>
    <x v="28"/>
    <n v="10"/>
    <n v="12"/>
    <n v="58"/>
    <n v="1.2000000000000002"/>
    <n v="0"/>
    <n v="0"/>
  </r>
  <r>
    <x v="355"/>
    <n v="12"/>
    <n v="58"/>
    <n v="70"/>
    <n v="10"/>
    <n v="19"/>
    <x v="10"/>
    <n v="25"/>
    <n v="6"/>
    <n v="49"/>
    <n v="0.60000000000000009"/>
    <n v="0"/>
    <n v="0"/>
  </r>
  <r>
    <x v="356"/>
    <n v="6"/>
    <n v="49"/>
    <n v="55"/>
    <n v="25"/>
    <n v="19"/>
    <x v="27"/>
    <n v="18"/>
    <n v="7"/>
    <n v="55"/>
    <n v="0.70000000000000007"/>
    <n v="0"/>
    <n v="0"/>
  </r>
  <r>
    <x v="357"/>
    <n v="7"/>
    <n v="55"/>
    <n v="62"/>
    <n v="18"/>
    <n v="20"/>
    <x v="12"/>
    <n v="24"/>
    <n v="3"/>
    <n v="53"/>
    <n v="0.30000000000000004"/>
    <n v="0"/>
    <n v="0"/>
  </r>
  <r>
    <x v="358"/>
    <n v="3"/>
    <n v="53"/>
    <n v="56"/>
    <n v="24"/>
    <n v="10"/>
    <x v="21"/>
    <n v="20"/>
    <n v="-7"/>
    <n v="67"/>
    <n v="0"/>
    <n v="1"/>
    <n v="7"/>
  </r>
  <r>
    <x v="359"/>
    <n v="-7"/>
    <n v="67"/>
    <n v="60"/>
    <n v="20"/>
    <n v="25"/>
    <x v="33"/>
    <n v="19"/>
    <n v="-1"/>
    <n v="62"/>
    <n v="0"/>
    <n v="1"/>
    <n v="1"/>
  </r>
  <r>
    <x v="360"/>
    <n v="-1"/>
    <n v="62"/>
    <n v="61"/>
    <n v="19"/>
    <n v="18"/>
    <x v="22"/>
    <n v="21"/>
    <n v="-4"/>
    <n v="63"/>
    <n v="0"/>
    <n v="1"/>
    <n v="4"/>
  </r>
  <r>
    <x v="361"/>
    <n v="-4"/>
    <n v="63"/>
    <n v="59"/>
    <n v="21"/>
    <n v="24"/>
    <x v="4"/>
    <n v="19"/>
    <n v="1"/>
    <n v="60"/>
    <n v="0.1"/>
    <n v="0"/>
    <n v="0"/>
  </r>
  <r>
    <x v="362"/>
    <n v="1"/>
    <n v="60"/>
    <n v="61"/>
    <n v="19"/>
    <n v="20"/>
    <x v="5"/>
    <n v="19"/>
    <n v="2"/>
    <n v="59"/>
    <n v="0.2"/>
    <n v="0"/>
    <n v="0"/>
  </r>
  <r>
    <x v="363"/>
    <n v="2"/>
    <n v="59"/>
    <n v="61"/>
    <n v="19"/>
    <n v="19"/>
    <x v="5"/>
    <n v="22"/>
    <n v="-1"/>
    <n v="59"/>
    <n v="0"/>
    <n v="1"/>
    <n v="1"/>
  </r>
  <r>
    <x v="364"/>
    <n v="-1"/>
    <n v="59"/>
    <n v="58"/>
    <n v="22"/>
    <n v="21"/>
    <x v="4"/>
    <n v="23"/>
    <n v="-3"/>
    <n v="60"/>
    <n v="0"/>
    <n v="1"/>
    <n v="3"/>
  </r>
  <r>
    <x v="365"/>
    <n v="-3"/>
    <n v="60"/>
    <n v="57"/>
    <n v="23"/>
    <n v="19"/>
    <x v="8"/>
    <n v="22"/>
    <n v="-6"/>
    <n v="64"/>
    <n v="0"/>
    <n v="1"/>
    <n v="6"/>
  </r>
  <r>
    <x v="366"/>
    <n v="-6"/>
    <n v="64"/>
    <n v="58"/>
    <n v="22"/>
    <n v="19"/>
    <x v="21"/>
    <n v="17"/>
    <n v="-4"/>
    <n v="67"/>
    <n v="0"/>
    <n v="1"/>
    <n v="4"/>
  </r>
  <r>
    <x v="367"/>
    <n v="-4"/>
    <n v="67"/>
    <n v="63"/>
    <n v="17"/>
    <n v="22"/>
    <x v="33"/>
    <n v="19"/>
    <n v="-1"/>
    <n v="62"/>
    <n v="0"/>
    <n v="1"/>
    <n v="1"/>
  </r>
  <r>
    <x v="368"/>
    <n v="-1"/>
    <n v="62"/>
    <n v="61"/>
    <n v="19"/>
    <n v="23"/>
    <x v="28"/>
    <n v="16"/>
    <n v="6"/>
    <n v="58"/>
    <n v="0.60000000000000009"/>
    <n v="0"/>
    <n v="0"/>
  </r>
  <r>
    <x v="369"/>
    <n v="6"/>
    <n v="58"/>
    <n v="64"/>
    <n v="16"/>
    <n v="22"/>
    <x v="25"/>
    <n v="18"/>
    <n v="10"/>
    <n v="52"/>
    <n v="1"/>
    <n v="0"/>
    <n v="0"/>
  </r>
  <r>
    <x v="370"/>
    <n v="10"/>
    <n v="52"/>
    <n v="62"/>
    <n v="18"/>
    <n v="17"/>
    <x v="12"/>
    <n v="17"/>
    <n v="10"/>
    <n v="53"/>
    <n v="1"/>
    <n v="0"/>
    <n v="0"/>
  </r>
  <r>
    <x v="371"/>
    <n v="10"/>
    <n v="53"/>
    <n v="63"/>
    <n v="17"/>
    <n v="19"/>
    <x v="9"/>
    <n v="25"/>
    <n v="4"/>
    <n v="51"/>
    <n v="0.4"/>
    <n v="0"/>
    <n v="0"/>
  </r>
  <r>
    <x v="372"/>
    <n v="4"/>
    <n v="51"/>
    <n v="55"/>
    <n v="25"/>
    <n v="16"/>
    <x v="4"/>
    <n v="15"/>
    <n v="5"/>
    <n v="60"/>
    <n v="0.5"/>
    <n v="0"/>
    <n v="0"/>
  </r>
  <r>
    <x v="373"/>
    <n v="5"/>
    <n v="60"/>
    <n v="65"/>
    <n v="15"/>
    <n v="18"/>
    <x v="24"/>
    <n v="24"/>
    <n v="-1"/>
    <n v="57"/>
    <n v="0"/>
    <n v="1"/>
    <n v="1"/>
  </r>
  <r>
    <x v="374"/>
    <n v="-1"/>
    <n v="57"/>
    <n v="56"/>
    <n v="24"/>
    <n v="17"/>
    <x v="8"/>
    <n v="20"/>
    <n v="-4"/>
    <n v="64"/>
    <n v="0"/>
    <n v="1"/>
    <n v="4"/>
  </r>
  <r>
    <x v="375"/>
    <n v="-4"/>
    <n v="64"/>
    <n v="60"/>
    <n v="20"/>
    <n v="25"/>
    <x v="5"/>
    <n v="23"/>
    <n v="-2"/>
    <n v="59"/>
    <n v="0"/>
    <n v="1"/>
    <n v="2"/>
  </r>
  <r>
    <x v="376"/>
    <n v="-2"/>
    <n v="59"/>
    <n v="57"/>
    <n v="23"/>
    <n v="15"/>
    <x v="21"/>
    <n v="22"/>
    <n v="-9"/>
    <n v="67"/>
    <n v="0"/>
    <n v="1"/>
    <n v="9"/>
  </r>
  <r>
    <x v="377"/>
    <n v="-9"/>
    <n v="67"/>
    <n v="58"/>
    <n v="22"/>
    <n v="24"/>
    <x v="26"/>
    <n v="23"/>
    <n v="-8"/>
    <n v="65"/>
    <n v="0"/>
    <n v="1"/>
    <n v="8"/>
  </r>
  <r>
    <x v="378"/>
    <n v="-8"/>
    <n v="65"/>
    <n v="57"/>
    <n v="23"/>
    <n v="20"/>
    <x v="17"/>
    <n v="22"/>
    <n v="-10"/>
    <n v="68"/>
    <n v="0"/>
    <n v="1"/>
    <n v="10"/>
  </r>
  <r>
    <x v="379"/>
    <n v="-10"/>
    <n v="68"/>
    <n v="58"/>
    <n v="22"/>
    <n v="23"/>
    <x v="21"/>
    <n v="19"/>
    <n v="-6"/>
    <n v="67"/>
    <n v="0"/>
    <n v="1"/>
    <n v="6"/>
  </r>
  <r>
    <x v="380"/>
    <n v="-6"/>
    <n v="67"/>
    <n v="61"/>
    <n v="19"/>
    <n v="22"/>
    <x v="8"/>
    <n v="22"/>
    <n v="-6"/>
    <n v="64"/>
    <n v="0"/>
    <n v="1"/>
    <n v="6"/>
  </r>
  <r>
    <x v="381"/>
    <n v="-6"/>
    <n v="64"/>
    <n v="58"/>
    <n v="22"/>
    <n v="23"/>
    <x v="22"/>
    <n v="21"/>
    <n v="-4"/>
    <n v="63"/>
    <n v="0"/>
    <n v="1"/>
    <n v="4"/>
  </r>
  <r>
    <x v="382"/>
    <n v="-4"/>
    <n v="63"/>
    <n v="59"/>
    <n v="21"/>
    <n v="22"/>
    <x v="33"/>
    <n v="15"/>
    <n v="3"/>
    <n v="62"/>
    <n v="0.30000000000000004"/>
    <n v="0"/>
    <n v="0"/>
  </r>
  <r>
    <x v="383"/>
    <n v="3"/>
    <n v="62"/>
    <n v="65"/>
    <n v="15"/>
    <n v="19"/>
    <x v="28"/>
    <n v="10"/>
    <n v="12"/>
    <n v="58"/>
    <n v="1.2000000000000002"/>
    <n v="0"/>
    <n v="0"/>
  </r>
  <r>
    <x v="384"/>
    <n v="12"/>
    <n v="58"/>
    <n v="70"/>
    <n v="10"/>
    <n v="22"/>
    <x v="38"/>
    <n v="23"/>
    <n v="11"/>
    <n v="46"/>
    <n v="1.1000000000000001"/>
    <n v="0"/>
    <n v="0"/>
  </r>
  <r>
    <x v="385"/>
    <n v="11"/>
    <n v="46"/>
    <n v="57"/>
    <n v="23"/>
    <n v="21"/>
    <x v="15"/>
    <n v="28"/>
    <n v="4"/>
    <n v="48"/>
    <n v="0.4"/>
    <n v="0"/>
    <n v="0"/>
  </r>
  <r>
    <x v="386"/>
    <n v="4"/>
    <n v="48"/>
    <n v="52"/>
    <n v="28"/>
    <n v="15"/>
    <x v="23"/>
    <n v="18"/>
    <n v="1"/>
    <n v="61"/>
    <n v="0.1"/>
    <n v="0"/>
    <n v="0"/>
  </r>
  <r>
    <x v="387"/>
    <n v="1"/>
    <n v="61"/>
    <n v="62"/>
    <n v="18"/>
    <n v="10"/>
    <x v="30"/>
    <n v="26"/>
    <n v="-15"/>
    <n v="69"/>
    <n v="0"/>
    <n v="1"/>
    <n v="15"/>
  </r>
  <r>
    <x v="388"/>
    <n v="-15"/>
    <n v="69"/>
    <n v="54"/>
    <n v="26"/>
    <n v="23"/>
    <x v="29"/>
    <n v="20"/>
    <n v="-12"/>
    <n v="72"/>
    <n v="0"/>
    <n v="1"/>
    <n v="12"/>
  </r>
  <r>
    <x v="389"/>
    <n v="-12"/>
    <n v="72"/>
    <n v="60"/>
    <n v="20"/>
    <n v="28"/>
    <x v="8"/>
    <n v="21"/>
    <n v="-5"/>
    <n v="64"/>
    <n v="0"/>
    <n v="1"/>
    <n v="5"/>
  </r>
  <r>
    <x v="390"/>
    <n v="-5"/>
    <n v="64"/>
    <n v="59"/>
    <n v="21"/>
    <n v="18"/>
    <x v="21"/>
    <n v="20"/>
    <n v="-7"/>
    <n v="67"/>
    <n v="0"/>
    <n v="1"/>
    <n v="7"/>
  </r>
  <r>
    <x v="391"/>
    <n v="-7"/>
    <n v="67"/>
    <n v="60"/>
    <n v="20"/>
    <n v="26"/>
    <x v="23"/>
    <n v="20"/>
    <n v="-1"/>
    <n v="61"/>
    <n v="0"/>
    <n v="1"/>
    <n v="1"/>
  </r>
  <r>
    <x v="392"/>
    <n v="-1"/>
    <n v="61"/>
    <n v="60"/>
    <n v="20"/>
    <n v="20"/>
    <x v="23"/>
    <n v="28"/>
    <n v="-9"/>
    <n v="61"/>
    <n v="0"/>
    <n v="1"/>
    <n v="9"/>
  </r>
  <r>
    <x v="393"/>
    <n v="-9"/>
    <n v="61"/>
    <n v="52"/>
    <n v="28"/>
    <n v="21"/>
    <x v="17"/>
    <n v="23"/>
    <n v="-11"/>
    <n v="68"/>
    <n v="0"/>
    <n v="1"/>
    <n v="11"/>
  </r>
  <r>
    <x v="394"/>
    <n v="-11"/>
    <n v="68"/>
    <n v="57"/>
    <n v="23"/>
    <n v="20"/>
    <x v="20"/>
    <n v="18"/>
    <n v="-9"/>
    <n v="71"/>
    <n v="0"/>
    <n v="1"/>
    <n v="9"/>
  </r>
  <r>
    <x v="395"/>
    <n v="-9"/>
    <n v="71"/>
    <n v="62"/>
    <n v="18"/>
    <n v="20"/>
    <x v="30"/>
    <n v="24"/>
    <n v="-13"/>
    <n v="69"/>
    <n v="0"/>
    <n v="1"/>
    <n v="13"/>
  </r>
  <r>
    <x v="396"/>
    <n v="-13"/>
    <n v="69"/>
    <n v="56"/>
    <n v="24"/>
    <n v="28"/>
    <x v="26"/>
    <n v="30"/>
    <n v="-15"/>
    <n v="65"/>
    <n v="0"/>
    <n v="1"/>
    <n v="15"/>
  </r>
  <r>
    <x v="397"/>
    <n v="-15"/>
    <n v="65"/>
    <n v="50"/>
    <n v="30"/>
    <n v="23"/>
    <x v="29"/>
    <n v="27"/>
    <n v="-19"/>
    <n v="72"/>
    <n v="0"/>
    <n v="1"/>
    <n v="19"/>
  </r>
  <r>
    <x v="398"/>
    <n v="-19"/>
    <n v="72"/>
    <n v="53"/>
    <n v="27"/>
    <n v="18"/>
    <x v="41"/>
    <n v="26"/>
    <n v="-27"/>
    <n v="81"/>
    <n v="0"/>
    <n v="1"/>
    <n v="26"/>
  </r>
  <r>
    <x v="399"/>
    <n v="-27"/>
    <n v="81"/>
    <n v="54"/>
    <n v="26"/>
    <n v="24"/>
    <x v="42"/>
    <n v="26"/>
    <n v="-29"/>
    <n v="83"/>
    <n v="0"/>
    <n v="1"/>
    <n v="26"/>
  </r>
  <r>
    <x v="400"/>
    <n v="-29"/>
    <n v="83"/>
    <n v="54"/>
    <n v="26"/>
    <n v="30"/>
    <x v="43"/>
    <n v="17"/>
    <n v="-16"/>
    <n v="79"/>
    <n v="0"/>
    <n v="1"/>
    <n v="16"/>
  </r>
  <r>
    <x v="401"/>
    <n v="-16"/>
    <n v="79"/>
    <n v="63"/>
    <n v="17"/>
    <n v="27"/>
    <x v="30"/>
    <n v="16"/>
    <n v="-5"/>
    <n v="69"/>
    <n v="0"/>
    <n v="1"/>
    <n v="5"/>
  </r>
  <r>
    <x v="402"/>
    <n v="-5"/>
    <n v="69"/>
    <n v="64"/>
    <n v="16"/>
    <n v="26"/>
    <x v="5"/>
    <n v="20"/>
    <n v="1"/>
    <n v="59"/>
    <n v="0.1"/>
    <n v="0"/>
    <n v="0"/>
  </r>
  <r>
    <x v="403"/>
    <n v="1"/>
    <n v="59"/>
    <n v="60"/>
    <n v="20"/>
    <n v="26"/>
    <x v="12"/>
    <n v="21"/>
    <n v="6"/>
    <n v="53"/>
    <n v="0.60000000000000009"/>
    <n v="0"/>
    <n v="0"/>
  </r>
  <r>
    <x v="404"/>
    <n v="6"/>
    <n v="53"/>
    <n v="59"/>
    <n v="21"/>
    <n v="17"/>
    <x v="24"/>
    <n v="20"/>
    <n v="3"/>
    <n v="57"/>
    <n v="0.30000000000000004"/>
    <n v="0"/>
    <n v="0"/>
  </r>
  <r>
    <x v="405"/>
    <n v="3"/>
    <n v="57"/>
    <n v="60"/>
    <n v="20"/>
    <n v="16"/>
    <x v="23"/>
    <n v="17"/>
    <n v="2"/>
    <n v="61"/>
    <n v="0.2"/>
    <n v="0"/>
    <n v="0"/>
  </r>
  <r>
    <x v="406"/>
    <n v="2"/>
    <n v="61"/>
    <n v="63"/>
    <n v="17"/>
    <n v="20"/>
    <x v="28"/>
    <n v="13"/>
    <n v="9"/>
    <n v="58"/>
    <n v="0.9"/>
    <n v="0"/>
    <n v="0"/>
  </r>
  <r>
    <x v="407"/>
    <n v="9"/>
    <n v="58"/>
    <n v="67"/>
    <n v="13"/>
    <n v="21"/>
    <x v="13"/>
    <n v="23"/>
    <n v="7"/>
    <n v="50"/>
    <n v="0.70000000000000007"/>
    <n v="0"/>
    <n v="0"/>
  </r>
  <r>
    <x v="408"/>
    <n v="7"/>
    <n v="50"/>
    <n v="57"/>
    <n v="23"/>
    <n v="20"/>
    <x v="12"/>
    <n v="18"/>
    <n v="9"/>
    <n v="53"/>
    <n v="0.9"/>
    <n v="0"/>
    <n v="0"/>
  </r>
  <r>
    <x v="409"/>
    <n v="9"/>
    <n v="53"/>
    <n v="62"/>
    <n v="18"/>
    <n v="17"/>
    <x v="16"/>
    <n v="18"/>
    <n v="8"/>
    <n v="54"/>
    <n v="0.8"/>
    <n v="0"/>
    <n v="0"/>
  </r>
  <r>
    <x v="410"/>
    <n v="8"/>
    <n v="54"/>
    <n v="62"/>
    <n v="18"/>
    <n v="13"/>
    <x v="5"/>
    <n v="23"/>
    <n v="-2"/>
    <n v="59"/>
    <n v="0"/>
    <n v="1"/>
    <n v="2"/>
  </r>
  <r>
    <x v="411"/>
    <n v="-2"/>
    <n v="59"/>
    <n v="57"/>
    <n v="23"/>
    <n v="23"/>
    <x v="5"/>
    <n v="16"/>
    <n v="5"/>
    <n v="59"/>
    <n v="0.5"/>
    <n v="0"/>
    <n v="0"/>
  </r>
  <r>
    <x v="412"/>
    <n v="5"/>
    <n v="59"/>
    <n v="64"/>
    <n v="16"/>
    <n v="18"/>
    <x v="24"/>
    <n v="28"/>
    <n v="-5"/>
    <n v="57"/>
    <n v="0"/>
    <n v="1"/>
    <n v="5"/>
  </r>
  <r>
    <x v="413"/>
    <n v="-5"/>
    <n v="57"/>
    <n v="52"/>
    <n v="28"/>
    <n v="18"/>
    <x v="21"/>
    <n v="28"/>
    <n v="-15"/>
    <n v="67"/>
    <n v="0"/>
    <n v="1"/>
    <n v="15"/>
  </r>
  <r>
    <x v="414"/>
    <n v="-15"/>
    <n v="67"/>
    <n v="52"/>
    <n v="28"/>
    <n v="23"/>
    <x v="29"/>
    <n v="19"/>
    <n v="-11"/>
    <n v="72"/>
    <n v="0"/>
    <n v="1"/>
    <n v="11"/>
  </r>
  <r>
    <x v="415"/>
    <n v="-11"/>
    <n v="72"/>
    <n v="61"/>
    <n v="19"/>
    <n v="16"/>
    <x v="44"/>
    <n v="14"/>
    <n v="-9"/>
    <n v="75"/>
    <n v="0"/>
    <n v="1"/>
    <n v="9"/>
  </r>
  <r>
    <x v="416"/>
    <n v="-9"/>
    <n v="75"/>
    <n v="66"/>
    <n v="14"/>
    <n v="28"/>
    <x v="23"/>
    <n v="11"/>
    <n v="8"/>
    <n v="61"/>
    <n v="0.8"/>
    <n v="0"/>
    <n v="0"/>
  </r>
  <r>
    <x v="417"/>
    <n v="8"/>
    <n v="61"/>
    <n v="69"/>
    <n v="11"/>
    <n v="28"/>
    <x v="45"/>
    <n v="15"/>
    <n v="21"/>
    <n v="44"/>
    <n v="2.1"/>
    <n v="0"/>
    <n v="0"/>
  </r>
  <r>
    <x v="418"/>
    <n v="21"/>
    <n v="44"/>
    <n v="65"/>
    <n v="15"/>
    <n v="19"/>
    <x v="46"/>
    <n v="20"/>
    <n v="20"/>
    <n v="40"/>
    <n v="2"/>
    <n v="0"/>
    <n v="0"/>
  </r>
  <r>
    <x v="419"/>
    <n v="20"/>
    <n v="40"/>
    <n v="60"/>
    <n v="20"/>
    <n v="14"/>
    <x v="38"/>
    <n v="18"/>
    <n v="16"/>
    <n v="46"/>
    <n v="1.6"/>
    <n v="0"/>
    <n v="0"/>
  </r>
  <r>
    <x v="420"/>
    <n v="16"/>
    <n v="46"/>
    <n v="62"/>
    <n v="18"/>
    <n v="11"/>
    <x v="12"/>
    <n v="29"/>
    <n v="-2"/>
    <n v="53"/>
    <n v="0"/>
    <n v="1"/>
    <n v="2"/>
  </r>
  <r>
    <x v="421"/>
    <n v="-2"/>
    <n v="53"/>
    <n v="51"/>
    <n v="29"/>
    <n v="15"/>
    <x v="21"/>
    <n v="32"/>
    <n v="-19"/>
    <n v="67"/>
    <n v="0"/>
    <n v="1"/>
    <n v="19"/>
  </r>
  <r>
    <x v="422"/>
    <n v="-19"/>
    <n v="67"/>
    <n v="48"/>
    <n v="32"/>
    <n v="20"/>
    <x v="43"/>
    <n v="25"/>
    <n v="-24"/>
    <n v="79"/>
    <n v="0"/>
    <n v="1"/>
    <n v="24"/>
  </r>
  <r>
    <x v="423"/>
    <n v="-24"/>
    <n v="79"/>
    <n v="55"/>
    <n v="25"/>
    <n v="18"/>
    <x v="47"/>
    <n v="28"/>
    <n v="-34"/>
    <n v="86"/>
    <n v="0"/>
    <n v="1"/>
    <n v="28"/>
  </r>
  <r>
    <x v="424"/>
    <n v="-34"/>
    <n v="86"/>
    <n v="52"/>
    <n v="28"/>
    <n v="29"/>
    <x v="36"/>
    <n v="35"/>
    <n v="-40"/>
    <n v="85"/>
    <n v="0"/>
    <n v="1"/>
    <n v="35"/>
  </r>
  <r>
    <x v="425"/>
    <n v="-40"/>
    <n v="85"/>
    <n v="45"/>
    <n v="35"/>
    <n v="32"/>
    <x v="48"/>
    <n v="27"/>
    <n v="-35"/>
    <n v="88"/>
    <n v="0"/>
    <n v="1"/>
    <n v="27"/>
  </r>
  <r>
    <x v="426"/>
    <n v="-35"/>
    <n v="88"/>
    <n v="53"/>
    <n v="27"/>
    <n v="25"/>
    <x v="49"/>
    <n v="25"/>
    <n v="-35"/>
    <n v="90"/>
    <n v="0"/>
    <n v="1"/>
    <n v="25"/>
  </r>
  <r>
    <x v="427"/>
    <n v="-35"/>
    <n v="90"/>
    <n v="55"/>
    <n v="25"/>
    <n v="28"/>
    <x v="50"/>
    <n v="22"/>
    <n v="-29"/>
    <n v="87"/>
    <n v="0"/>
    <n v="1"/>
    <n v="22"/>
  </r>
  <r>
    <x v="428"/>
    <n v="-29"/>
    <n v="87"/>
    <n v="58"/>
    <n v="22"/>
    <n v="35"/>
    <x v="39"/>
    <n v="15"/>
    <n v="-9"/>
    <n v="74"/>
    <n v="0"/>
    <n v="1"/>
    <n v="9"/>
  </r>
  <r>
    <x v="429"/>
    <n v="-9"/>
    <n v="74"/>
    <n v="65"/>
    <n v="15"/>
    <n v="27"/>
    <x v="33"/>
    <n v="13"/>
    <n v="5"/>
    <n v="62"/>
    <n v="0.5"/>
    <n v="0"/>
    <n v="0"/>
  </r>
  <r>
    <x v="430"/>
    <n v="5"/>
    <n v="62"/>
    <n v="67"/>
    <n v="13"/>
    <n v="25"/>
    <x v="13"/>
    <n v="21"/>
    <n v="9"/>
    <n v="50"/>
    <n v="0.9"/>
    <n v="0"/>
    <n v="0"/>
  </r>
  <r>
    <x v="431"/>
    <n v="9"/>
    <n v="50"/>
    <n v="59"/>
    <n v="21"/>
    <n v="22"/>
    <x v="10"/>
    <n v="23"/>
    <n v="8"/>
    <n v="49"/>
    <n v="0.8"/>
    <n v="0"/>
    <n v="0"/>
  </r>
  <r>
    <x v="432"/>
    <n v="8"/>
    <n v="49"/>
    <n v="57"/>
    <n v="23"/>
    <n v="15"/>
    <x v="24"/>
    <n v="21"/>
    <n v="2"/>
    <n v="57"/>
    <n v="0.2"/>
    <n v="0"/>
    <n v="0"/>
  </r>
  <r>
    <x v="433"/>
    <n v="2"/>
    <n v="57"/>
    <n v="59"/>
    <n v="21"/>
    <n v="13"/>
    <x v="26"/>
    <n v="22"/>
    <n v="-7"/>
    <n v="65"/>
    <n v="0"/>
    <n v="1"/>
    <n v="7"/>
  </r>
  <r>
    <x v="434"/>
    <n v="-7"/>
    <n v="65"/>
    <n v="58"/>
    <n v="22"/>
    <n v="21"/>
    <x v="7"/>
    <n v="15"/>
    <n v="-1"/>
    <n v="66"/>
    <n v="0"/>
    <n v="1"/>
    <n v="1"/>
  </r>
  <r>
    <x v="435"/>
    <n v="-1"/>
    <n v="66"/>
    <n v="65"/>
    <n v="15"/>
    <n v="23"/>
    <x v="28"/>
    <n v="22"/>
    <n v="0"/>
    <n v="58"/>
    <n v="0"/>
    <n v="0"/>
    <n v="0"/>
  </r>
  <r>
    <x v="436"/>
    <n v="0"/>
    <n v="58"/>
    <n v="58"/>
    <n v="22"/>
    <n v="21"/>
    <x v="5"/>
    <n v="23"/>
    <n v="-2"/>
    <n v="59"/>
    <n v="0"/>
    <n v="1"/>
    <n v="2"/>
  </r>
  <r>
    <x v="437"/>
    <n v="-2"/>
    <n v="59"/>
    <n v="57"/>
    <n v="23"/>
    <n v="22"/>
    <x v="4"/>
    <n v="21"/>
    <n v="-1"/>
    <n v="60"/>
    <n v="0"/>
    <n v="1"/>
    <n v="1"/>
  </r>
  <r>
    <x v="438"/>
    <n v="-1"/>
    <n v="60"/>
    <n v="59"/>
    <n v="21"/>
    <n v="15"/>
    <x v="7"/>
    <n v="25"/>
    <n v="-11"/>
    <n v="66"/>
    <n v="0"/>
    <n v="1"/>
    <n v="11"/>
  </r>
  <r>
    <x v="439"/>
    <n v="-11"/>
    <n v="66"/>
    <n v="55"/>
    <n v="25"/>
    <n v="22"/>
    <x v="30"/>
    <n v="20"/>
    <n v="-9"/>
    <n v="69"/>
    <n v="0"/>
    <n v="1"/>
    <n v="9"/>
  </r>
  <r>
    <x v="440"/>
    <n v="-9"/>
    <n v="69"/>
    <n v="60"/>
    <n v="20"/>
    <n v="23"/>
    <x v="7"/>
    <n v="24"/>
    <n v="-10"/>
    <n v="66"/>
    <n v="0"/>
    <n v="1"/>
    <n v="10"/>
  </r>
  <r>
    <x v="441"/>
    <n v="-10"/>
    <n v="66"/>
    <n v="56"/>
    <n v="24"/>
    <n v="21"/>
    <x v="30"/>
    <n v="21"/>
    <n v="-10"/>
    <n v="69"/>
    <n v="0"/>
    <n v="1"/>
    <n v="10"/>
  </r>
  <r>
    <x v="442"/>
    <n v="-10"/>
    <n v="69"/>
    <n v="59"/>
    <n v="21"/>
    <n v="25"/>
    <x v="26"/>
    <n v="18"/>
    <n v="-3"/>
    <n v="65"/>
    <n v="0"/>
    <n v="1"/>
    <n v="3"/>
  </r>
  <r>
    <x v="443"/>
    <n v="-3"/>
    <n v="65"/>
    <n v="62"/>
    <n v="18"/>
    <n v="20"/>
    <x v="22"/>
    <n v="16"/>
    <n v="1"/>
    <n v="63"/>
    <n v="0.1"/>
    <n v="0"/>
    <n v="0"/>
  </r>
  <r>
    <x v="444"/>
    <n v="1"/>
    <n v="63"/>
    <n v="64"/>
    <n v="16"/>
    <n v="24"/>
    <x v="27"/>
    <n v="15"/>
    <n v="10"/>
    <n v="55"/>
    <n v="1"/>
    <n v="0"/>
    <n v="0"/>
  </r>
  <r>
    <x v="445"/>
    <n v="10"/>
    <n v="55"/>
    <n v="65"/>
    <n v="15"/>
    <n v="21"/>
    <x v="10"/>
    <n v="20"/>
    <n v="11"/>
    <n v="49"/>
    <n v="1.1000000000000001"/>
    <n v="0"/>
    <n v="0"/>
  </r>
  <r>
    <x v="446"/>
    <n v="11"/>
    <n v="49"/>
    <n v="60"/>
    <n v="20"/>
    <n v="18"/>
    <x v="9"/>
    <n v="15"/>
    <n v="14"/>
    <n v="51"/>
    <n v="1.4000000000000001"/>
    <n v="0"/>
    <n v="0"/>
  </r>
  <r>
    <x v="447"/>
    <n v="14"/>
    <n v="51"/>
    <n v="65"/>
    <n v="15"/>
    <n v="16"/>
    <x v="13"/>
    <n v="14"/>
    <n v="16"/>
    <n v="50"/>
    <n v="1.6"/>
    <n v="0"/>
    <n v="0"/>
  </r>
  <r>
    <x v="448"/>
    <n v="16"/>
    <n v="50"/>
    <n v="66"/>
    <n v="14"/>
    <n v="15"/>
    <x v="10"/>
    <n v="17"/>
    <n v="14"/>
    <n v="49"/>
    <n v="1.4000000000000001"/>
    <n v="0"/>
    <n v="0"/>
  </r>
  <r>
    <x v="449"/>
    <n v="14"/>
    <n v="49"/>
    <n v="63"/>
    <n v="17"/>
    <n v="20"/>
    <x v="38"/>
    <n v="16"/>
    <n v="18"/>
    <n v="46"/>
    <n v="1.8"/>
    <n v="0"/>
    <n v="0"/>
  </r>
  <r>
    <x v="450"/>
    <n v="18"/>
    <n v="46"/>
    <n v="64"/>
    <n v="16"/>
    <n v="15"/>
    <x v="14"/>
    <n v="25"/>
    <n v="8"/>
    <n v="47"/>
    <n v="0.8"/>
    <n v="0"/>
    <n v="0"/>
  </r>
  <r>
    <x v="451"/>
    <n v="8"/>
    <n v="47"/>
    <n v="55"/>
    <n v="25"/>
    <n v="14"/>
    <x v="28"/>
    <n v="15"/>
    <n v="7"/>
    <n v="58"/>
    <n v="0.70000000000000007"/>
    <n v="0"/>
    <n v="0"/>
  </r>
  <r>
    <x v="452"/>
    <n v="7"/>
    <n v="58"/>
    <n v="65"/>
    <n v="15"/>
    <n v="17"/>
    <x v="32"/>
    <n v="17"/>
    <n v="7"/>
    <n v="56"/>
    <n v="0.70000000000000007"/>
    <n v="0"/>
    <n v="0"/>
  </r>
  <r>
    <x v="453"/>
    <n v="7"/>
    <n v="56"/>
    <n v="63"/>
    <n v="17"/>
    <n v="16"/>
    <x v="24"/>
    <n v="22"/>
    <n v="1"/>
    <n v="57"/>
    <n v="0.1"/>
    <n v="0"/>
    <n v="0"/>
  </r>
  <r>
    <x v="454"/>
    <n v="1"/>
    <n v="57"/>
    <n v="58"/>
    <n v="22"/>
    <n v="25"/>
    <x v="16"/>
    <n v="23"/>
    <n v="3"/>
    <n v="54"/>
    <n v="0.30000000000000004"/>
    <n v="0"/>
    <n v="0"/>
  </r>
  <r>
    <x v="455"/>
    <n v="3"/>
    <n v="54"/>
    <n v="57"/>
    <n v="23"/>
    <n v="15"/>
    <x v="33"/>
    <n v="28"/>
    <n v="-10"/>
    <n v="62"/>
    <n v="0"/>
    <n v="1"/>
    <n v="10"/>
  </r>
  <r>
    <x v="456"/>
    <n v="-10"/>
    <n v="62"/>
    <n v="52"/>
    <n v="28"/>
    <n v="17"/>
    <x v="31"/>
    <n v="17"/>
    <n v="-10"/>
    <n v="73"/>
    <n v="0"/>
    <n v="1"/>
    <n v="10"/>
  </r>
  <r>
    <x v="457"/>
    <n v="-10"/>
    <n v="73"/>
    <n v="63"/>
    <n v="17"/>
    <n v="22"/>
    <x v="17"/>
    <n v="25"/>
    <n v="-13"/>
    <n v="68"/>
    <n v="0"/>
    <n v="1"/>
    <n v="13"/>
  </r>
  <r>
    <x v="458"/>
    <n v="-13"/>
    <n v="68"/>
    <n v="55"/>
    <n v="25"/>
    <n v="23"/>
    <x v="6"/>
    <n v="19"/>
    <n v="-9"/>
    <n v="70"/>
    <n v="0"/>
    <n v="1"/>
    <n v="9"/>
  </r>
  <r>
    <x v="459"/>
    <n v="-9"/>
    <n v="70"/>
    <n v="61"/>
    <n v="19"/>
    <n v="28"/>
    <x v="23"/>
    <n v="30"/>
    <n v="-11"/>
    <n v="61"/>
    <n v="0"/>
    <n v="1"/>
    <n v="11"/>
  </r>
  <r>
    <x v="460"/>
    <n v="-11"/>
    <n v="61"/>
    <n v="50"/>
    <n v="30"/>
    <n v="17"/>
    <x v="39"/>
    <n v="20"/>
    <n v="-14"/>
    <n v="74"/>
    <n v="0"/>
    <n v="1"/>
    <n v="14"/>
  </r>
  <r>
    <x v="461"/>
    <n v="-14"/>
    <n v="74"/>
    <n v="60"/>
    <n v="20"/>
    <n v="25"/>
    <x v="30"/>
    <n v="24"/>
    <n v="-13"/>
    <n v="69"/>
    <n v="0"/>
    <n v="1"/>
    <n v="13"/>
  </r>
  <r>
    <x v="462"/>
    <n v="-13"/>
    <n v="69"/>
    <n v="56"/>
    <n v="24"/>
    <n v="19"/>
    <x v="39"/>
    <n v="20"/>
    <n v="-14"/>
    <n v="74"/>
    <n v="0"/>
    <n v="1"/>
    <n v="14"/>
  </r>
  <r>
    <x v="463"/>
    <n v="-14"/>
    <n v="74"/>
    <n v="60"/>
    <n v="20"/>
    <n v="30"/>
    <x v="8"/>
    <n v="21"/>
    <n v="-5"/>
    <n v="64"/>
    <n v="0"/>
    <n v="1"/>
    <n v="5"/>
  </r>
  <r>
    <x v="464"/>
    <n v="-5"/>
    <n v="64"/>
    <n v="59"/>
    <n v="21"/>
    <n v="20"/>
    <x v="26"/>
    <n v="23"/>
    <n v="-8"/>
    <n v="65"/>
    <n v="0"/>
    <n v="1"/>
    <n v="8"/>
  </r>
  <r>
    <x v="465"/>
    <n v="-8"/>
    <n v="65"/>
    <n v="57"/>
    <n v="23"/>
    <n v="24"/>
    <x v="8"/>
    <n v="21"/>
    <n v="-5"/>
    <n v="64"/>
    <n v="0"/>
    <n v="1"/>
    <n v="5"/>
  </r>
  <r>
    <x v="466"/>
    <n v="-5"/>
    <n v="64"/>
    <n v="59"/>
    <n v="21"/>
    <n v="20"/>
    <x v="26"/>
    <n v="21"/>
    <n v="-6"/>
    <n v="65"/>
    <n v="0"/>
    <n v="1"/>
    <n v="6"/>
  </r>
  <r>
    <x v="467"/>
    <n v="-6"/>
    <n v="65"/>
    <n v="59"/>
    <n v="21"/>
    <n v="21"/>
    <x v="26"/>
    <n v="21"/>
    <n v="-6"/>
    <n v="65"/>
    <n v="0"/>
    <n v="1"/>
    <n v="6"/>
  </r>
  <r>
    <x v="468"/>
    <n v="-6"/>
    <n v="65"/>
    <n v="59"/>
    <n v="21"/>
    <n v="23"/>
    <x v="22"/>
    <n v="13"/>
    <n v="4"/>
    <n v="63"/>
    <n v="0.4"/>
    <n v="0"/>
    <n v="0"/>
  </r>
  <r>
    <x v="469"/>
    <n v="4"/>
    <n v="63"/>
    <n v="67"/>
    <n v="13"/>
    <n v="21"/>
    <x v="27"/>
    <n v="15"/>
    <n v="10"/>
    <n v="55"/>
    <n v="1"/>
    <n v="0"/>
    <n v="0"/>
  </r>
  <r>
    <x v="470"/>
    <n v="10"/>
    <n v="55"/>
    <n v="65"/>
    <n v="15"/>
    <n v="21"/>
    <x v="10"/>
    <n v="11"/>
    <n v="20"/>
    <n v="49"/>
    <n v="2"/>
    <n v="0"/>
    <n v="0"/>
  </r>
  <r>
    <x v="471"/>
    <n v="20"/>
    <n v="49"/>
    <n v="69"/>
    <n v="11"/>
    <n v="21"/>
    <x v="34"/>
    <n v="23"/>
    <n v="18"/>
    <n v="39"/>
    <n v="1.8"/>
    <n v="0"/>
    <n v="0"/>
  </r>
  <r>
    <x v="472"/>
    <n v="18"/>
    <n v="39"/>
    <n v="57"/>
    <n v="23"/>
    <n v="13"/>
    <x v="10"/>
    <n v="18"/>
    <n v="13"/>
    <n v="49"/>
    <n v="1.3"/>
    <n v="0"/>
    <n v="0"/>
  </r>
  <r>
    <x v="473"/>
    <n v="13"/>
    <n v="49"/>
    <n v="62"/>
    <n v="18"/>
    <n v="15"/>
    <x v="25"/>
    <n v="17"/>
    <n v="11"/>
    <n v="52"/>
    <n v="1.1000000000000001"/>
    <n v="0"/>
    <n v="0"/>
  </r>
  <r>
    <x v="474"/>
    <n v="11"/>
    <n v="52"/>
    <n v="63"/>
    <n v="17"/>
    <n v="11"/>
    <x v="28"/>
    <n v="26"/>
    <n v="-4"/>
    <n v="58"/>
    <n v="0"/>
    <n v="1"/>
    <n v="4"/>
  </r>
  <r>
    <x v="475"/>
    <n v="-4"/>
    <n v="58"/>
    <n v="54"/>
    <n v="26"/>
    <n v="23"/>
    <x v="23"/>
    <n v="22"/>
    <n v="-3"/>
    <n v="61"/>
    <n v="0"/>
    <n v="1"/>
    <n v="3"/>
  </r>
  <r>
    <x v="476"/>
    <n v="-3"/>
    <n v="61"/>
    <n v="58"/>
    <n v="22"/>
    <n v="18"/>
    <x v="26"/>
    <n v="25"/>
    <n v="-10"/>
    <n v="65"/>
    <n v="0"/>
    <n v="1"/>
    <n v="10"/>
  </r>
  <r>
    <x v="477"/>
    <n v="-10"/>
    <n v="65"/>
    <n v="55"/>
    <n v="25"/>
    <n v="17"/>
    <x v="31"/>
    <n v="21"/>
    <n v="-14"/>
    <n v="73"/>
    <n v="0"/>
    <n v="1"/>
    <n v="14"/>
  </r>
  <r>
    <x v="478"/>
    <n v="-14"/>
    <n v="73"/>
    <n v="59"/>
    <n v="21"/>
    <n v="26"/>
    <x v="17"/>
    <n v="20"/>
    <n v="-8"/>
    <n v="68"/>
    <n v="0"/>
    <n v="1"/>
    <n v="8"/>
  </r>
  <r>
    <x v="479"/>
    <n v="-8"/>
    <n v="68"/>
    <n v="60"/>
    <n v="20"/>
    <n v="22"/>
    <x v="7"/>
    <n v="19"/>
    <n v="-5"/>
    <n v="66"/>
    <n v="0"/>
    <n v="1"/>
    <n v="5"/>
  </r>
  <r>
    <x v="480"/>
    <n v="-5"/>
    <n v="66"/>
    <n v="61"/>
    <n v="19"/>
    <n v="25"/>
    <x v="4"/>
    <n v="21"/>
    <n v="-1"/>
    <n v="60"/>
    <n v="0"/>
    <n v="1"/>
    <n v="1"/>
  </r>
  <r>
    <x v="481"/>
    <n v="-1"/>
    <n v="60"/>
    <n v="59"/>
    <n v="21"/>
    <n v="21"/>
    <x v="4"/>
    <n v="13"/>
    <n v="7"/>
    <n v="60"/>
    <n v="0.70000000000000007"/>
    <n v="0"/>
    <n v="0"/>
  </r>
  <r>
    <x v="482"/>
    <n v="7"/>
    <n v="60"/>
    <n v="67"/>
    <n v="13"/>
    <n v="20"/>
    <x v="12"/>
    <n v="20"/>
    <n v="7"/>
    <n v="53"/>
    <n v="0.70000000000000007"/>
    <n v="0"/>
    <n v="0"/>
  </r>
  <r>
    <x v="483"/>
    <n v="7"/>
    <n v="53"/>
    <n v="60"/>
    <n v="20"/>
    <n v="19"/>
    <x v="16"/>
    <n v="19"/>
    <n v="7"/>
    <n v="54"/>
    <n v="0.70000000000000007"/>
    <n v="0"/>
    <n v="0"/>
  </r>
  <r>
    <x v="484"/>
    <n v="7"/>
    <n v="54"/>
    <n v="61"/>
    <n v="19"/>
    <n v="21"/>
    <x v="25"/>
    <n v="19"/>
    <n v="9"/>
    <n v="52"/>
    <n v="0.9"/>
    <n v="0"/>
    <n v="0"/>
  </r>
  <r>
    <x v="485"/>
    <n v="9"/>
    <n v="52"/>
    <n v="61"/>
    <n v="19"/>
    <n v="13"/>
    <x v="28"/>
    <n v="20"/>
    <n v="2"/>
    <n v="58"/>
    <n v="0.2"/>
    <n v="0"/>
    <n v="0"/>
  </r>
  <r>
    <x v="486"/>
    <n v="2"/>
    <n v="58"/>
    <n v="60"/>
    <n v="20"/>
    <n v="20"/>
    <x v="28"/>
    <n v="18"/>
    <n v="4"/>
    <n v="58"/>
    <n v="0.4"/>
    <n v="0"/>
    <n v="0"/>
  </r>
  <r>
    <x v="487"/>
    <n v="4"/>
    <n v="58"/>
    <n v="62"/>
    <n v="18"/>
    <n v="19"/>
    <x v="24"/>
    <n v="26"/>
    <n v="-3"/>
    <n v="57"/>
    <n v="0"/>
    <n v="1"/>
    <n v="3"/>
  </r>
  <r>
    <x v="488"/>
    <n v="-3"/>
    <n v="57"/>
    <n v="54"/>
    <n v="26"/>
    <n v="19"/>
    <x v="8"/>
    <n v="15"/>
    <n v="1"/>
    <n v="64"/>
    <n v="0.1"/>
    <n v="0"/>
    <n v="0"/>
  </r>
  <r>
    <x v="489"/>
    <n v="1"/>
    <n v="64"/>
    <n v="65"/>
    <n v="15"/>
    <n v="20"/>
    <x v="5"/>
    <n v="22"/>
    <n v="-1"/>
    <n v="59"/>
    <n v="0"/>
    <n v="1"/>
    <n v="1"/>
  </r>
  <r>
    <x v="490"/>
    <n v="-1"/>
    <n v="59"/>
    <n v="58"/>
    <n v="22"/>
    <n v="18"/>
    <x v="22"/>
    <n v="26"/>
    <n v="-9"/>
    <n v="63"/>
    <n v="0"/>
    <n v="1"/>
    <n v="9"/>
  </r>
  <r>
    <x v="491"/>
    <n v="-9"/>
    <n v="63"/>
    <n v="54"/>
    <n v="26"/>
    <n v="26"/>
    <x v="22"/>
    <n v="25"/>
    <n v="-8"/>
    <n v="63"/>
    <n v="0"/>
    <n v="1"/>
    <n v="8"/>
  </r>
  <r>
    <x v="492"/>
    <n v="-8"/>
    <n v="63"/>
    <n v="55"/>
    <n v="25"/>
    <n v="15"/>
    <x v="31"/>
    <n v="24"/>
    <n v="-17"/>
    <n v="73"/>
    <n v="0"/>
    <n v="1"/>
    <n v="17"/>
  </r>
  <r>
    <x v="493"/>
    <n v="-17"/>
    <n v="73"/>
    <n v="56"/>
    <n v="24"/>
    <n v="22"/>
    <x v="44"/>
    <n v="18"/>
    <n v="-13"/>
    <n v="75"/>
    <n v="0"/>
    <n v="1"/>
    <n v="13"/>
  </r>
  <r>
    <x v="494"/>
    <n v="-13"/>
    <n v="75"/>
    <n v="62"/>
    <n v="18"/>
    <n v="26"/>
    <x v="21"/>
    <n v="22"/>
    <n v="-9"/>
    <n v="67"/>
    <n v="0"/>
    <n v="1"/>
    <n v="9"/>
  </r>
  <r>
    <x v="495"/>
    <n v="-9"/>
    <n v="67"/>
    <n v="58"/>
    <n v="22"/>
    <n v="25"/>
    <x v="8"/>
    <n v="25"/>
    <n v="-9"/>
    <n v="64"/>
    <n v="0"/>
    <n v="1"/>
    <n v="9"/>
  </r>
  <r>
    <x v="496"/>
    <n v="-9"/>
    <n v="64"/>
    <n v="55"/>
    <n v="25"/>
    <n v="24"/>
    <x v="26"/>
    <n v="16"/>
    <n v="-1"/>
    <n v="65"/>
    <n v="0"/>
    <n v="1"/>
    <n v="1"/>
  </r>
  <r>
    <x v="497"/>
    <n v="-1"/>
    <n v="65"/>
    <n v="64"/>
    <n v="16"/>
    <n v="18"/>
    <x v="22"/>
    <n v="23"/>
    <n v="-6"/>
    <n v="63"/>
    <n v="0"/>
    <n v="1"/>
    <n v="6"/>
  </r>
  <r>
    <x v="498"/>
    <n v="-6"/>
    <n v="63"/>
    <n v="57"/>
    <n v="23"/>
    <n v="22"/>
    <x v="8"/>
    <n v="20"/>
    <n v="-4"/>
    <n v="64"/>
    <n v="0"/>
    <n v="1"/>
    <n v="4"/>
  </r>
  <r>
    <x v="499"/>
    <n v="-4"/>
    <n v="64"/>
    <n v="60"/>
    <n v="20"/>
    <n v="25"/>
    <x v="5"/>
    <n v="23"/>
    <n v="-2"/>
    <n v="59"/>
    <n v="0"/>
    <n v="1"/>
    <n v="2"/>
  </r>
  <r>
    <x v="500"/>
    <n v="-2"/>
    <n v="59"/>
    <n v="57"/>
    <n v="23"/>
    <n v="16"/>
    <x v="7"/>
    <n v="19"/>
    <n v="-5"/>
    <n v="66"/>
    <n v="0"/>
    <n v="1"/>
    <n v="5"/>
  </r>
  <r>
    <x v="501"/>
    <n v="-5"/>
    <n v="66"/>
    <n v="61"/>
    <n v="19"/>
    <n v="23"/>
    <x v="33"/>
    <n v="17"/>
    <n v="1"/>
    <n v="62"/>
    <n v="0.1"/>
    <n v="0"/>
    <n v="0"/>
  </r>
  <r>
    <x v="502"/>
    <n v="1"/>
    <n v="62"/>
    <n v="63"/>
    <n v="17"/>
    <n v="20"/>
    <x v="5"/>
    <n v="24"/>
    <n v="-3"/>
    <n v="59"/>
    <n v="0"/>
    <n v="1"/>
    <n v="3"/>
  </r>
  <r>
    <x v="503"/>
    <n v="-3"/>
    <n v="59"/>
    <n v="56"/>
    <n v="24"/>
    <n v="23"/>
    <x v="4"/>
    <n v="17"/>
    <n v="3"/>
    <n v="60"/>
    <n v="0.30000000000000004"/>
    <n v="0"/>
    <n v="0"/>
  </r>
  <r>
    <x v="504"/>
    <n v="3"/>
    <n v="60"/>
    <n v="63"/>
    <n v="17"/>
    <n v="19"/>
    <x v="28"/>
    <n v="21"/>
    <n v="1"/>
    <n v="58"/>
    <n v="0.1"/>
    <n v="0"/>
    <n v="0"/>
  </r>
  <r>
    <x v="505"/>
    <n v="1"/>
    <n v="58"/>
    <n v="59"/>
    <n v="21"/>
    <n v="17"/>
    <x v="33"/>
    <n v="22"/>
    <n v="-4"/>
    <n v="62"/>
    <n v="0"/>
    <n v="1"/>
    <n v="4"/>
  </r>
  <r>
    <x v="506"/>
    <n v="-4"/>
    <n v="62"/>
    <n v="58"/>
    <n v="22"/>
    <n v="24"/>
    <x v="4"/>
    <n v="12"/>
    <n v="8"/>
    <n v="60"/>
    <n v="0.8"/>
    <n v="0"/>
    <n v="0"/>
  </r>
  <r>
    <x v="507"/>
    <n v="8"/>
    <n v="60"/>
    <n v="68"/>
    <n v="12"/>
    <n v="17"/>
    <x v="27"/>
    <n v="19"/>
    <n v="6"/>
    <n v="55"/>
    <n v="0.60000000000000009"/>
    <n v="0"/>
    <n v="0"/>
  </r>
  <r>
    <x v="508"/>
    <n v="6"/>
    <n v="55"/>
    <n v="61"/>
    <n v="19"/>
    <n v="21"/>
    <x v="12"/>
    <n v="15"/>
    <n v="12"/>
    <n v="53"/>
    <n v="1.2000000000000002"/>
    <n v="0"/>
    <n v="0"/>
  </r>
  <r>
    <x v="509"/>
    <n v="12"/>
    <n v="53"/>
    <n v="65"/>
    <n v="15"/>
    <n v="22"/>
    <x v="38"/>
    <n v="19"/>
    <n v="15"/>
    <n v="46"/>
    <n v="1.5"/>
    <n v="0"/>
    <n v="0"/>
  </r>
  <r>
    <x v="510"/>
    <n v="15"/>
    <n v="46"/>
    <n v="61"/>
    <n v="19"/>
    <n v="12"/>
    <x v="12"/>
    <n v="28"/>
    <n v="-1"/>
    <n v="53"/>
    <n v="0"/>
    <n v="1"/>
    <n v="1"/>
  </r>
  <r>
    <x v="511"/>
    <n v="-1"/>
    <n v="53"/>
    <n v="52"/>
    <n v="28"/>
    <n v="19"/>
    <x v="33"/>
    <n v="19"/>
    <n v="-1"/>
    <n v="62"/>
    <n v="0"/>
    <n v="1"/>
    <n v="1"/>
  </r>
  <r>
    <x v="512"/>
    <n v="-1"/>
    <n v="62"/>
    <n v="61"/>
    <n v="19"/>
    <n v="15"/>
    <x v="7"/>
    <n v="20"/>
    <n v="-6"/>
    <n v="66"/>
    <n v="0"/>
    <n v="1"/>
    <n v="6"/>
  </r>
  <r>
    <x v="513"/>
    <n v="-6"/>
    <n v="66"/>
    <n v="60"/>
    <n v="20"/>
    <n v="19"/>
    <x v="21"/>
    <n v="21"/>
    <n v="-8"/>
    <n v="67"/>
    <n v="0"/>
    <n v="1"/>
    <n v="8"/>
  </r>
  <r>
    <x v="514"/>
    <n v="-8"/>
    <n v="67"/>
    <n v="59"/>
    <n v="21"/>
    <n v="28"/>
    <x v="4"/>
    <n v="19"/>
    <n v="1"/>
    <n v="60"/>
    <n v="0.1"/>
    <n v="0"/>
    <n v="0"/>
  </r>
  <r>
    <x v="515"/>
    <n v="1"/>
    <n v="60"/>
    <n v="61"/>
    <n v="19"/>
    <n v="19"/>
    <x v="4"/>
    <n v="29"/>
    <n v="-9"/>
    <n v="60"/>
    <n v="0"/>
    <n v="1"/>
    <n v="9"/>
  </r>
  <r>
    <x v="516"/>
    <n v="-9"/>
    <n v="60"/>
    <n v="51"/>
    <n v="29"/>
    <n v="20"/>
    <x v="30"/>
    <n v="18"/>
    <n v="-7"/>
    <n v="69"/>
    <n v="0"/>
    <n v="1"/>
    <n v="7"/>
  </r>
  <r>
    <x v="517"/>
    <n v="-7"/>
    <n v="69"/>
    <n v="62"/>
    <n v="18"/>
    <n v="21"/>
    <x v="7"/>
    <n v="15"/>
    <n v="-1"/>
    <n v="66"/>
    <n v="0"/>
    <n v="1"/>
    <n v="1"/>
  </r>
  <r>
    <x v="518"/>
    <n v="-1"/>
    <n v="66"/>
    <n v="65"/>
    <n v="15"/>
    <n v="19"/>
    <x v="33"/>
    <n v="27"/>
    <n v="-9"/>
    <n v="62"/>
    <n v="0"/>
    <n v="1"/>
    <n v="9"/>
  </r>
  <r>
    <x v="519"/>
    <n v="-9"/>
    <n v="62"/>
    <n v="53"/>
    <n v="27"/>
    <n v="29"/>
    <x v="4"/>
    <n v="21"/>
    <n v="-1"/>
    <n v="60"/>
    <n v="0"/>
    <n v="1"/>
    <n v="1"/>
  </r>
  <r>
    <x v="520"/>
    <n v="-1"/>
    <n v="60"/>
    <n v="59"/>
    <n v="21"/>
    <n v="18"/>
    <x v="22"/>
    <n v="22"/>
    <n v="-5"/>
    <n v="63"/>
    <n v="0"/>
    <n v="1"/>
    <n v="5"/>
  </r>
  <r>
    <x v="521"/>
    <n v="-5"/>
    <n v="63"/>
    <n v="58"/>
    <n v="22"/>
    <n v="15"/>
    <x v="6"/>
    <n v="22"/>
    <n v="-12"/>
    <n v="70"/>
    <n v="0"/>
    <n v="1"/>
    <n v="12"/>
  </r>
  <r>
    <x v="522"/>
    <n v="-12"/>
    <n v="70"/>
    <n v="58"/>
    <n v="22"/>
    <n v="27"/>
    <x v="26"/>
    <n v="21"/>
    <n v="-6"/>
    <n v="65"/>
    <n v="0"/>
    <n v="1"/>
    <n v="6"/>
  </r>
  <r>
    <x v="523"/>
    <n v="-6"/>
    <n v="65"/>
    <n v="59"/>
    <n v="21"/>
    <n v="21"/>
    <x v="26"/>
    <n v="17"/>
    <n v="-2"/>
    <n v="65"/>
    <n v="0"/>
    <n v="1"/>
    <n v="2"/>
  </r>
  <r>
    <x v="524"/>
    <n v="-2"/>
    <n v="65"/>
    <n v="63"/>
    <n v="17"/>
    <n v="22"/>
    <x v="4"/>
    <n v="16"/>
    <n v="4"/>
    <n v="60"/>
    <n v="0.4"/>
    <n v="0"/>
    <n v="0"/>
  </r>
  <r>
    <x v="525"/>
    <n v="4"/>
    <n v="60"/>
    <n v="64"/>
    <n v="16"/>
    <n v="22"/>
    <x v="16"/>
    <n v="22"/>
    <n v="4"/>
    <n v="54"/>
    <n v="0.4"/>
    <n v="0"/>
    <n v="0"/>
  </r>
  <r>
    <x v="526"/>
    <n v="4"/>
    <n v="54"/>
    <n v="58"/>
    <n v="22"/>
    <n v="21"/>
    <x v="27"/>
    <n v="18"/>
    <n v="7"/>
    <n v="55"/>
    <n v="0.70000000000000007"/>
    <n v="0"/>
    <n v="0"/>
  </r>
  <r>
    <x v="527"/>
    <n v="7"/>
    <n v="55"/>
    <n v="62"/>
    <n v="18"/>
    <n v="17"/>
    <x v="32"/>
    <n v="20"/>
    <n v="4"/>
    <n v="56"/>
    <n v="0.4"/>
    <n v="0"/>
    <n v="0"/>
  </r>
  <r>
    <x v="528"/>
    <n v="4"/>
    <n v="56"/>
    <n v="60"/>
    <n v="20"/>
    <n v="16"/>
    <x v="4"/>
    <n v="31"/>
    <n v="-11"/>
    <n v="60"/>
    <n v="0"/>
    <n v="1"/>
    <n v="11"/>
  </r>
  <r>
    <x v="529"/>
    <n v="-11"/>
    <n v="60"/>
    <n v="49"/>
    <n v="31"/>
    <n v="22"/>
    <x v="30"/>
    <n v="16"/>
    <n v="-5"/>
    <n v="69"/>
    <n v="0"/>
    <n v="1"/>
    <n v="5"/>
  </r>
  <r>
    <x v="530"/>
    <n v="-5"/>
    <n v="69"/>
    <n v="64"/>
    <n v="16"/>
    <n v="18"/>
    <x v="21"/>
    <n v="20"/>
    <n v="-7"/>
    <n v="67"/>
    <n v="0"/>
    <n v="1"/>
    <n v="7"/>
  </r>
  <r>
    <x v="531"/>
    <n v="-7"/>
    <n v="67"/>
    <n v="60"/>
    <n v="20"/>
    <n v="20"/>
    <x v="21"/>
    <n v="26"/>
    <n v="-13"/>
    <n v="67"/>
    <n v="0"/>
    <n v="1"/>
    <n v="13"/>
  </r>
  <r>
    <x v="532"/>
    <n v="-13"/>
    <n v="67"/>
    <n v="54"/>
    <n v="26"/>
    <n v="31"/>
    <x v="33"/>
    <n v="14"/>
    <n v="4"/>
    <n v="62"/>
    <n v="0.4"/>
    <n v="0"/>
    <n v="0"/>
  </r>
  <r>
    <x v="533"/>
    <n v="4"/>
    <n v="62"/>
    <n v="66"/>
    <n v="14"/>
    <n v="16"/>
    <x v="4"/>
    <n v="15"/>
    <n v="5"/>
    <n v="60"/>
    <n v="0.5"/>
    <n v="0"/>
    <n v="0"/>
  </r>
  <r>
    <x v="534"/>
    <n v="5"/>
    <n v="60"/>
    <n v="65"/>
    <n v="15"/>
    <n v="20"/>
    <x v="27"/>
    <n v="17"/>
    <n v="8"/>
    <n v="55"/>
    <n v="0.8"/>
    <n v="0"/>
    <n v="0"/>
  </r>
  <r>
    <x v="535"/>
    <n v="8"/>
    <n v="55"/>
    <n v="63"/>
    <n v="17"/>
    <n v="26"/>
    <x v="38"/>
    <n v="12"/>
    <n v="22"/>
    <n v="46"/>
    <n v="2.2000000000000002"/>
    <n v="0"/>
    <n v="0"/>
  </r>
  <r>
    <x v="536"/>
    <n v="22"/>
    <n v="46"/>
    <n v="68"/>
    <n v="12"/>
    <n v="14"/>
    <x v="45"/>
    <n v="22"/>
    <n v="14"/>
    <n v="44"/>
    <n v="1.4000000000000001"/>
    <n v="0"/>
    <n v="0"/>
  </r>
  <r>
    <x v="537"/>
    <n v="14"/>
    <n v="44"/>
    <n v="58"/>
    <n v="22"/>
    <n v="15"/>
    <x v="9"/>
    <n v="26"/>
    <n v="3"/>
    <n v="51"/>
    <n v="0.30000000000000004"/>
    <n v="0"/>
    <n v="0"/>
  </r>
  <r>
    <x v="538"/>
    <n v="3"/>
    <n v="51"/>
    <n v="54"/>
    <n v="26"/>
    <n v="17"/>
    <x v="4"/>
    <n v="20"/>
    <n v="0"/>
    <n v="60"/>
    <n v="0"/>
    <n v="0"/>
    <n v="0"/>
  </r>
  <r>
    <x v="539"/>
    <n v="0"/>
    <n v="60"/>
    <n v="60"/>
    <n v="20"/>
    <n v="12"/>
    <x v="17"/>
    <n v="14"/>
    <n v="-2"/>
    <n v="68"/>
    <n v="0"/>
    <n v="1"/>
    <n v="2"/>
  </r>
  <r>
    <x v="540"/>
    <n v="-2"/>
    <n v="68"/>
    <n v="66"/>
    <n v="14"/>
    <n v="22"/>
    <x v="4"/>
    <n v="27"/>
    <n v="-7"/>
    <n v="60"/>
    <n v="0"/>
    <n v="1"/>
    <n v="7"/>
  </r>
  <r>
    <x v="541"/>
    <n v="-7"/>
    <n v="60"/>
    <n v="53"/>
    <n v="27"/>
    <n v="26"/>
    <x v="23"/>
    <n v="14"/>
    <n v="5"/>
    <n v="61"/>
    <n v="0.5"/>
    <n v="0"/>
    <n v="0"/>
  </r>
  <r>
    <x v="542"/>
    <n v="5"/>
    <n v="61"/>
    <n v="66"/>
    <n v="14"/>
    <n v="20"/>
    <x v="27"/>
    <n v="22"/>
    <n v="3"/>
    <n v="55"/>
    <n v="0.30000000000000004"/>
    <n v="0"/>
    <n v="0"/>
  </r>
  <r>
    <x v="543"/>
    <n v="3"/>
    <n v="55"/>
    <n v="58"/>
    <n v="22"/>
    <n v="14"/>
    <x v="22"/>
    <n v="15"/>
    <n v="2"/>
    <n v="63"/>
    <n v="0.2"/>
    <n v="0"/>
    <n v="0"/>
  </r>
  <r>
    <x v="544"/>
    <n v="2"/>
    <n v="63"/>
    <n v="65"/>
    <n v="15"/>
    <n v="27"/>
    <x v="9"/>
    <n v="17"/>
    <n v="12"/>
    <n v="51"/>
    <n v="1.2000000000000002"/>
    <n v="0"/>
    <n v="0"/>
  </r>
  <r>
    <x v="545"/>
    <n v="12"/>
    <n v="51"/>
    <n v="63"/>
    <n v="17"/>
    <n v="14"/>
    <x v="16"/>
    <n v="19"/>
    <n v="7"/>
    <n v="54"/>
    <n v="0.70000000000000007"/>
    <n v="0"/>
    <n v="0"/>
  </r>
  <r>
    <x v="546"/>
    <n v="7"/>
    <n v="54"/>
    <n v="61"/>
    <n v="19"/>
    <n v="22"/>
    <x v="9"/>
    <n v="26"/>
    <n v="3"/>
    <n v="51"/>
    <n v="0.30000000000000004"/>
    <n v="0"/>
    <n v="0"/>
  </r>
  <r>
    <x v="547"/>
    <n v="3"/>
    <n v="51"/>
    <n v="54"/>
    <n v="26"/>
    <n v="15"/>
    <x v="33"/>
    <n v="22"/>
    <n v="-4"/>
    <n v="62"/>
    <n v="0"/>
    <n v="1"/>
    <n v="4"/>
  </r>
  <r>
    <x v="548"/>
    <n v="-4"/>
    <n v="62"/>
    <n v="58"/>
    <n v="22"/>
    <n v="17"/>
    <x v="21"/>
    <n v="21"/>
    <n v="-8"/>
    <n v="67"/>
    <n v="0"/>
    <n v="1"/>
    <n v="8"/>
  </r>
  <r>
    <x v="549"/>
    <n v="-8"/>
    <n v="67"/>
    <n v="59"/>
    <n v="21"/>
    <n v="19"/>
    <x v="30"/>
    <n v="17"/>
    <n v="-6"/>
    <n v="69"/>
    <n v="0"/>
    <n v="1"/>
    <n v="6"/>
  </r>
  <r>
    <x v="550"/>
    <n v="-6"/>
    <n v="69"/>
    <n v="63"/>
    <n v="17"/>
    <n v="26"/>
    <x v="4"/>
    <n v="15"/>
    <n v="5"/>
    <n v="60"/>
    <n v="0.5"/>
    <n v="0"/>
    <n v="0"/>
  </r>
  <r>
    <x v="551"/>
    <n v="5"/>
    <n v="60"/>
    <n v="65"/>
    <n v="15"/>
    <n v="22"/>
    <x v="12"/>
    <n v="11"/>
    <n v="16"/>
    <n v="53"/>
    <n v="1.6"/>
    <n v="0"/>
    <n v="0"/>
  </r>
  <r>
    <x v="552"/>
    <n v="16"/>
    <n v="53"/>
    <n v="69"/>
    <n v="11"/>
    <n v="21"/>
    <x v="51"/>
    <n v="18"/>
    <n v="19"/>
    <n v="43"/>
    <n v="1.9000000000000001"/>
    <n v="0"/>
    <n v="0"/>
  </r>
  <r>
    <x v="553"/>
    <n v="19"/>
    <n v="43"/>
    <n v="62"/>
    <n v="18"/>
    <n v="17"/>
    <x v="45"/>
    <n v="18"/>
    <n v="18"/>
    <n v="44"/>
    <n v="1.8"/>
    <n v="0"/>
    <n v="0"/>
  </r>
  <r>
    <x v="554"/>
    <n v="18"/>
    <n v="44"/>
    <n v="62"/>
    <n v="18"/>
    <n v="15"/>
    <x v="14"/>
    <n v="22"/>
    <n v="11"/>
    <n v="47"/>
    <n v="1.1000000000000001"/>
    <n v="0"/>
    <n v="0"/>
  </r>
  <r>
    <x v="555"/>
    <n v="11"/>
    <n v="47"/>
    <n v="58"/>
    <n v="22"/>
    <n v="11"/>
    <x v="28"/>
    <n v="17"/>
    <n v="5"/>
    <n v="58"/>
    <n v="0.5"/>
    <n v="0"/>
    <n v="0"/>
  </r>
  <r>
    <x v="556"/>
    <n v="5"/>
    <n v="58"/>
    <n v="63"/>
    <n v="17"/>
    <n v="18"/>
    <x v="24"/>
    <n v="20"/>
    <n v="3"/>
    <n v="57"/>
    <n v="0.30000000000000004"/>
    <n v="0"/>
    <n v="0"/>
  </r>
  <r>
    <x v="557"/>
    <n v="3"/>
    <n v="57"/>
    <n v="60"/>
    <n v="20"/>
    <n v="18"/>
    <x v="5"/>
    <n v="24"/>
    <n v="-3"/>
    <n v="59"/>
    <n v="0"/>
    <n v="1"/>
    <n v="3"/>
  </r>
  <r>
    <x v="558"/>
    <n v="-3"/>
    <n v="59"/>
    <n v="56"/>
    <n v="24"/>
    <n v="22"/>
    <x v="23"/>
    <n v="24"/>
    <n v="-5"/>
    <n v="61"/>
    <n v="0"/>
    <n v="1"/>
    <n v="5"/>
  </r>
  <r>
    <x v="559"/>
    <n v="-5"/>
    <n v="61"/>
    <n v="56"/>
    <n v="24"/>
    <n v="17"/>
    <x v="17"/>
    <n v="18"/>
    <n v="-6"/>
    <n v="68"/>
    <n v="0"/>
    <n v="1"/>
    <n v="6"/>
  </r>
  <r>
    <x v="560"/>
    <n v="-6"/>
    <n v="68"/>
    <n v="62"/>
    <n v="18"/>
    <n v="20"/>
    <x v="7"/>
    <n v="19"/>
    <n v="-5"/>
    <n v="66"/>
    <n v="0"/>
    <n v="1"/>
    <n v="5"/>
  </r>
  <r>
    <x v="561"/>
    <n v="-5"/>
    <n v="66"/>
    <n v="61"/>
    <n v="19"/>
    <n v="24"/>
    <x v="23"/>
    <n v="16"/>
    <n v="3"/>
    <n v="61"/>
    <n v="0.30000000000000004"/>
    <n v="0"/>
    <n v="0"/>
  </r>
  <r>
    <x v="562"/>
    <n v="3"/>
    <n v="61"/>
    <n v="64"/>
    <n v="16"/>
    <n v="24"/>
    <x v="12"/>
    <n v="24"/>
    <n v="3"/>
    <n v="53"/>
    <n v="0.30000000000000004"/>
    <n v="0"/>
    <n v="0"/>
  </r>
  <r>
    <x v="563"/>
    <n v="3"/>
    <n v="53"/>
    <n v="56"/>
    <n v="24"/>
    <n v="18"/>
    <x v="5"/>
    <n v="19"/>
    <n v="2"/>
    <n v="59"/>
    <n v="0.2"/>
    <n v="0"/>
    <n v="0"/>
  </r>
  <r>
    <x v="564"/>
    <n v="2"/>
    <n v="59"/>
    <n v="61"/>
    <n v="19"/>
    <n v="19"/>
    <x v="5"/>
    <n v="16"/>
    <n v="5"/>
    <n v="59"/>
    <n v="0.5"/>
    <n v="0"/>
    <n v="0"/>
  </r>
  <r>
    <x v="565"/>
    <n v="5"/>
    <n v="59"/>
    <n v="64"/>
    <n v="16"/>
    <n v="16"/>
    <x v="5"/>
    <n v="18"/>
    <n v="3"/>
    <n v="59"/>
    <n v="0.30000000000000004"/>
    <n v="0"/>
    <n v="0"/>
  </r>
  <r>
    <x v="566"/>
    <n v="3"/>
    <n v="59"/>
    <n v="62"/>
    <n v="18"/>
    <n v="24"/>
    <x v="12"/>
    <n v="28"/>
    <n v="-1"/>
    <n v="53"/>
    <n v="0"/>
    <n v="1"/>
    <n v="1"/>
  </r>
  <r>
    <x v="567"/>
    <n v="-1"/>
    <n v="53"/>
    <n v="52"/>
    <n v="28"/>
    <n v="19"/>
    <x v="33"/>
    <n v="17"/>
    <n v="1"/>
    <n v="62"/>
    <n v="0.1"/>
    <n v="0"/>
    <n v="0"/>
  </r>
  <r>
    <x v="568"/>
    <n v="1"/>
    <n v="62"/>
    <n v="63"/>
    <n v="17"/>
    <n v="16"/>
    <x v="22"/>
    <n v="19"/>
    <n v="-2"/>
    <n v="63"/>
    <n v="0"/>
    <n v="1"/>
    <n v="2"/>
  </r>
  <r>
    <x v="569"/>
    <n v="-2"/>
    <n v="63"/>
    <n v="61"/>
    <n v="19"/>
    <n v="18"/>
    <x v="8"/>
    <n v="14"/>
    <n v="2"/>
    <n v="64"/>
    <n v="0.2"/>
    <n v="0"/>
    <n v="0"/>
  </r>
  <r>
    <x v="570"/>
    <n v="2"/>
    <n v="64"/>
    <n v="66"/>
    <n v="14"/>
    <n v="28"/>
    <x v="13"/>
    <n v="22"/>
    <n v="8"/>
    <n v="50"/>
    <n v="0.8"/>
    <n v="0"/>
    <n v="0"/>
  </r>
  <r>
    <x v="571"/>
    <n v="8"/>
    <n v="50"/>
    <n v="58"/>
    <n v="22"/>
    <n v="17"/>
    <x v="27"/>
    <n v="15"/>
    <n v="10"/>
    <n v="55"/>
    <n v="1"/>
    <n v="0"/>
    <n v="0"/>
  </r>
  <r>
    <x v="572"/>
    <n v="10"/>
    <n v="55"/>
    <n v="65"/>
    <n v="15"/>
    <n v="19"/>
    <x v="9"/>
    <n v="14"/>
    <n v="15"/>
    <n v="51"/>
    <n v="1.5"/>
    <n v="0"/>
    <n v="0"/>
  </r>
  <r>
    <x v="573"/>
    <n v="15"/>
    <n v="51"/>
    <n v="66"/>
    <n v="14"/>
    <n v="14"/>
    <x v="9"/>
    <n v="16"/>
    <n v="13"/>
    <n v="51"/>
    <n v="1.3"/>
    <n v="0"/>
    <n v="0"/>
  </r>
  <r>
    <x v="574"/>
    <n v="13"/>
    <n v="51"/>
    <n v="64"/>
    <n v="16"/>
    <n v="22"/>
    <x v="11"/>
    <n v="19"/>
    <n v="16"/>
    <n v="45"/>
    <n v="1.6"/>
    <n v="0"/>
    <n v="0"/>
  </r>
  <r>
    <x v="575"/>
    <n v="16"/>
    <n v="45"/>
    <n v="61"/>
    <n v="19"/>
    <n v="15"/>
    <x v="10"/>
    <n v="21"/>
    <n v="10"/>
    <n v="49"/>
    <n v="1"/>
    <n v="0"/>
    <n v="0"/>
  </r>
  <r>
    <x v="576"/>
    <n v="10"/>
    <n v="49"/>
    <n v="59"/>
    <n v="21"/>
    <n v="14"/>
    <x v="32"/>
    <n v="13"/>
    <n v="11"/>
    <n v="56"/>
    <n v="1.1000000000000001"/>
    <n v="0"/>
    <n v="0"/>
  </r>
  <r>
    <x v="577"/>
    <n v="11"/>
    <n v="56"/>
    <n v="67"/>
    <n v="13"/>
    <n v="16"/>
    <x v="12"/>
    <n v="19"/>
    <n v="8"/>
    <n v="53"/>
    <n v="0.8"/>
    <n v="0"/>
    <n v="0"/>
  </r>
  <r>
    <x v="578"/>
    <n v="8"/>
    <n v="53"/>
    <n v="61"/>
    <n v="19"/>
    <n v="19"/>
    <x v="12"/>
    <n v="21"/>
    <n v="6"/>
    <n v="53"/>
    <n v="0.60000000000000009"/>
    <n v="0"/>
    <n v="0"/>
  </r>
  <r>
    <x v="579"/>
    <n v="6"/>
    <n v="53"/>
    <n v="59"/>
    <n v="21"/>
    <n v="21"/>
    <x v="12"/>
    <n v="21"/>
    <n v="6"/>
    <n v="53"/>
    <n v="0.60000000000000009"/>
    <n v="0"/>
    <n v="0"/>
  </r>
  <r>
    <x v="580"/>
    <n v="6"/>
    <n v="53"/>
    <n v="59"/>
    <n v="21"/>
    <n v="13"/>
    <x v="23"/>
    <n v="20"/>
    <n v="-1"/>
    <n v="61"/>
    <n v="0"/>
    <n v="1"/>
    <n v="1"/>
  </r>
  <r>
    <x v="581"/>
    <n v="-1"/>
    <n v="61"/>
    <n v="60"/>
    <n v="20"/>
    <n v="19"/>
    <x v="33"/>
    <n v="19"/>
    <n v="-1"/>
    <n v="62"/>
    <n v="0"/>
    <n v="1"/>
    <n v="1"/>
  </r>
  <r>
    <x v="582"/>
    <n v="-1"/>
    <n v="62"/>
    <n v="61"/>
    <n v="19"/>
    <n v="21"/>
    <x v="4"/>
    <n v="21"/>
    <n v="-1"/>
    <n v="60"/>
    <n v="0"/>
    <n v="1"/>
    <n v="1"/>
  </r>
  <r>
    <x v="583"/>
    <n v="-1"/>
    <n v="60"/>
    <n v="59"/>
    <n v="21"/>
    <n v="21"/>
    <x v="4"/>
    <n v="27"/>
    <n v="-7"/>
    <n v="60"/>
    <n v="0"/>
    <n v="1"/>
    <n v="7"/>
  </r>
  <r>
    <x v="584"/>
    <n v="-7"/>
    <n v="60"/>
    <n v="53"/>
    <n v="27"/>
    <n v="20"/>
    <x v="21"/>
    <n v="27"/>
    <n v="-14"/>
    <n v="67"/>
    <n v="0"/>
    <n v="1"/>
    <n v="14"/>
  </r>
  <r>
    <x v="585"/>
    <n v="-14"/>
    <n v="67"/>
    <n v="53"/>
    <n v="27"/>
    <n v="19"/>
    <x v="44"/>
    <n v="28"/>
    <n v="-23"/>
    <n v="75"/>
    <n v="0"/>
    <n v="1"/>
    <n v="23"/>
  </r>
  <r>
    <x v="586"/>
    <n v="-23"/>
    <n v="75"/>
    <n v="52"/>
    <n v="28"/>
    <n v="21"/>
    <x v="19"/>
    <n v="23"/>
    <n v="-25"/>
    <n v="82"/>
    <n v="0"/>
    <n v="1"/>
    <n v="23"/>
  </r>
  <r>
    <x v="587"/>
    <n v="-25"/>
    <n v="82"/>
    <n v="57"/>
    <n v="23"/>
    <n v="27"/>
    <x v="35"/>
    <n v="27"/>
    <n v="-25"/>
    <n v="78"/>
    <n v="0"/>
    <n v="1"/>
    <n v="25"/>
  </r>
  <r>
    <x v="588"/>
    <n v="-25"/>
    <n v="78"/>
    <n v="53"/>
    <n v="27"/>
    <n v="27"/>
    <x v="35"/>
    <n v="17"/>
    <n v="-15"/>
    <n v="78"/>
    <n v="0"/>
    <n v="1"/>
    <n v="15"/>
  </r>
  <r>
    <x v="589"/>
    <n v="-15"/>
    <n v="78"/>
    <n v="63"/>
    <n v="17"/>
    <n v="28"/>
    <x v="21"/>
    <n v="18"/>
    <n v="-5"/>
    <n v="67"/>
    <n v="0"/>
    <n v="1"/>
    <n v="5"/>
  </r>
  <r>
    <x v="590"/>
    <n v="-5"/>
    <n v="67"/>
    <n v="62"/>
    <n v="18"/>
    <n v="23"/>
    <x v="33"/>
    <n v="12"/>
    <n v="6"/>
    <n v="62"/>
    <n v="0.60000000000000009"/>
    <n v="0"/>
    <n v="0"/>
  </r>
  <r>
    <x v="591"/>
    <n v="6"/>
    <n v="62"/>
    <n v="68"/>
    <n v="12"/>
    <n v="27"/>
    <x v="14"/>
    <n v="24"/>
    <n v="9"/>
    <n v="47"/>
    <n v="0.9"/>
    <n v="0"/>
    <n v="0"/>
  </r>
  <r>
    <x v="592"/>
    <n v="9"/>
    <n v="47"/>
    <n v="56"/>
    <n v="24"/>
    <n v="17"/>
    <x v="16"/>
    <n v="17"/>
    <n v="9"/>
    <n v="54"/>
    <n v="0.9"/>
    <n v="0"/>
    <n v="0"/>
  </r>
  <r>
    <x v="593"/>
    <n v="9"/>
    <n v="54"/>
    <n v="63"/>
    <n v="17"/>
    <n v="18"/>
    <x v="12"/>
    <n v="19"/>
    <n v="8"/>
    <n v="53"/>
    <n v="0.8"/>
    <n v="0"/>
    <n v="0"/>
  </r>
  <r>
    <x v="594"/>
    <n v="8"/>
    <n v="53"/>
    <n v="61"/>
    <n v="19"/>
    <n v="12"/>
    <x v="4"/>
    <n v="18"/>
    <n v="2"/>
    <n v="60"/>
    <n v="0.2"/>
    <n v="0"/>
    <n v="0"/>
  </r>
  <r>
    <x v="595"/>
    <n v="2"/>
    <n v="60"/>
    <n v="62"/>
    <n v="18"/>
    <n v="24"/>
    <x v="16"/>
    <n v="18"/>
    <n v="8"/>
    <n v="54"/>
    <n v="0.8"/>
    <n v="0"/>
    <n v="0"/>
  </r>
  <r>
    <x v="596"/>
    <n v="8"/>
    <n v="54"/>
    <n v="62"/>
    <n v="18"/>
    <n v="17"/>
    <x v="27"/>
    <n v="21"/>
    <n v="4"/>
    <n v="55"/>
    <n v="0.4"/>
    <n v="0"/>
    <n v="0"/>
  </r>
  <r>
    <x v="597"/>
    <n v="4"/>
    <n v="55"/>
    <n v="59"/>
    <n v="21"/>
    <n v="19"/>
    <x v="24"/>
    <n v="26"/>
    <n v="-3"/>
    <n v="57"/>
    <n v="0"/>
    <n v="1"/>
    <n v="3"/>
  </r>
  <r>
    <x v="598"/>
    <n v="-3"/>
    <n v="57"/>
    <n v="54"/>
    <n v="26"/>
    <n v="18"/>
    <x v="26"/>
    <n v="20"/>
    <n v="-5"/>
    <n v="65"/>
    <n v="0"/>
    <n v="1"/>
    <n v="5"/>
  </r>
  <r>
    <x v="599"/>
    <n v="-5"/>
    <n v="65"/>
    <n v="60"/>
    <n v="20"/>
    <n v="18"/>
    <x v="21"/>
    <n v="20"/>
    <n v="-7"/>
    <n v="67"/>
    <n v="0"/>
    <n v="1"/>
    <n v="7"/>
  </r>
  <r>
    <x v="600"/>
    <n v="-7"/>
    <n v="67"/>
    <n v="60"/>
    <n v="20"/>
    <n v="21"/>
    <x v="7"/>
    <n v="12"/>
    <n v="2"/>
    <n v="66"/>
    <n v="0.2"/>
    <n v="0"/>
    <n v="0"/>
  </r>
  <r>
    <x v="601"/>
    <n v="2"/>
    <n v="66"/>
    <n v="68"/>
    <n v="12"/>
    <n v="26"/>
    <x v="25"/>
    <n v="19"/>
    <n v="9"/>
    <n v="52"/>
    <n v="0.9"/>
    <n v="0"/>
    <n v="0"/>
  </r>
  <r>
    <x v="602"/>
    <n v="9"/>
    <n v="52"/>
    <n v="61"/>
    <n v="19"/>
    <n v="20"/>
    <x v="9"/>
    <n v="25"/>
    <n v="4"/>
    <n v="51"/>
    <n v="0.4"/>
    <n v="0"/>
    <n v="0"/>
  </r>
  <r>
    <x v="603"/>
    <n v="4"/>
    <n v="51"/>
    <n v="55"/>
    <n v="25"/>
    <n v="20"/>
    <x v="32"/>
    <n v="13"/>
    <n v="11"/>
    <n v="56"/>
    <n v="1.1000000000000001"/>
    <n v="0"/>
    <n v="0"/>
  </r>
  <r>
    <x v="604"/>
    <n v="11"/>
    <n v="56"/>
    <n v="67"/>
    <n v="13"/>
    <n v="12"/>
    <x v="24"/>
    <n v="24"/>
    <n v="-1"/>
    <n v="57"/>
    <n v="0"/>
    <n v="1"/>
    <n v="1"/>
  </r>
  <r>
    <x v="605"/>
    <n v="-1"/>
    <n v="57"/>
    <n v="56"/>
    <n v="24"/>
    <n v="19"/>
    <x v="33"/>
    <n v="18"/>
    <n v="0"/>
    <n v="62"/>
    <n v="0"/>
    <n v="0"/>
    <n v="0"/>
  </r>
  <r>
    <x v="606"/>
    <n v="0"/>
    <n v="62"/>
    <n v="62"/>
    <n v="18"/>
    <n v="25"/>
    <x v="27"/>
    <n v="16"/>
    <n v="9"/>
    <n v="55"/>
    <n v="0.9"/>
    <n v="0"/>
    <n v="0"/>
  </r>
  <r>
    <x v="607"/>
    <n v="9"/>
    <n v="55"/>
    <n v="64"/>
    <n v="16"/>
    <n v="13"/>
    <x v="28"/>
    <n v="16"/>
    <n v="6"/>
    <n v="58"/>
    <n v="0.60000000000000009"/>
    <n v="0"/>
    <n v="0"/>
  </r>
  <r>
    <x v="608"/>
    <n v="6"/>
    <n v="58"/>
    <n v="64"/>
    <n v="16"/>
    <n v="24"/>
    <x v="13"/>
    <n v="14"/>
    <n v="16"/>
    <n v="50"/>
    <n v="1.6"/>
    <n v="0"/>
    <n v="0"/>
  </r>
  <r>
    <x v="609"/>
    <n v="16"/>
    <n v="50"/>
    <n v="66"/>
    <n v="14"/>
    <n v="18"/>
    <x v="38"/>
    <n v="25"/>
    <n v="9"/>
    <n v="46"/>
    <n v="0.9"/>
    <n v="0"/>
    <n v="0"/>
  </r>
  <r>
    <x v="610"/>
    <n v="9"/>
    <n v="46"/>
    <n v="55"/>
    <n v="25"/>
    <n v="16"/>
    <x v="27"/>
    <n v="19"/>
    <n v="6"/>
    <n v="55"/>
    <n v="0.60000000000000009"/>
    <n v="0"/>
    <n v="0"/>
  </r>
  <r>
    <x v="611"/>
    <n v="6"/>
    <n v="55"/>
    <n v="61"/>
    <n v="19"/>
    <n v="16"/>
    <x v="28"/>
    <n v="20"/>
    <n v="2"/>
    <n v="58"/>
    <n v="0.2"/>
    <n v="0"/>
    <n v="0"/>
  </r>
  <r>
    <x v="612"/>
    <n v="2"/>
    <n v="58"/>
    <n v="60"/>
    <n v="20"/>
    <n v="14"/>
    <x v="8"/>
    <n v="22"/>
    <n v="-6"/>
    <n v="64"/>
    <n v="0"/>
    <n v="1"/>
    <n v="6"/>
  </r>
  <r>
    <x v="613"/>
    <n v="-6"/>
    <n v="64"/>
    <n v="58"/>
    <n v="22"/>
    <n v="25"/>
    <x v="23"/>
    <n v="20"/>
    <n v="-1"/>
    <n v="61"/>
    <n v="0"/>
    <n v="1"/>
    <n v="1"/>
  </r>
  <r>
    <x v="614"/>
    <n v="-1"/>
    <n v="61"/>
    <n v="60"/>
    <n v="20"/>
    <n v="19"/>
    <x v="33"/>
    <n v="16"/>
    <n v="2"/>
    <n v="62"/>
    <n v="0.2"/>
    <n v="0"/>
    <n v="0"/>
  </r>
  <r>
    <x v="615"/>
    <n v="2"/>
    <n v="62"/>
    <n v="64"/>
    <n v="16"/>
    <n v="20"/>
    <x v="28"/>
    <n v="11"/>
    <n v="11"/>
    <n v="58"/>
    <n v="1.1000000000000001"/>
    <n v="0"/>
    <n v="0"/>
  </r>
  <r>
    <x v="616"/>
    <n v="11"/>
    <n v="58"/>
    <n v="69"/>
    <n v="11"/>
    <n v="22"/>
    <x v="14"/>
    <n v="18"/>
    <n v="15"/>
    <n v="47"/>
    <n v="1.5"/>
    <n v="0"/>
    <n v="0"/>
  </r>
  <r>
    <x v="617"/>
    <n v="15"/>
    <n v="47"/>
    <n v="62"/>
    <n v="18"/>
    <n v="20"/>
    <x v="11"/>
    <n v="19"/>
    <n v="16"/>
    <n v="45"/>
    <n v="1.6"/>
    <n v="0"/>
    <n v="0"/>
  </r>
  <r>
    <x v="618"/>
    <n v="16"/>
    <n v="45"/>
    <n v="61"/>
    <n v="19"/>
    <n v="16"/>
    <x v="15"/>
    <n v="19"/>
    <n v="13"/>
    <n v="48"/>
    <n v="1.3"/>
    <n v="0"/>
    <n v="0"/>
  </r>
  <r>
    <x v="619"/>
    <n v="13"/>
    <n v="48"/>
    <n v="61"/>
    <n v="19"/>
    <n v="11"/>
    <x v="32"/>
    <n v="16"/>
    <n v="8"/>
    <n v="56"/>
    <n v="0.8"/>
    <n v="0"/>
    <n v="0"/>
  </r>
  <r>
    <x v="620"/>
    <n v="8"/>
    <n v="56"/>
    <n v="64"/>
    <n v="16"/>
    <n v="18"/>
    <x v="16"/>
    <n v="17"/>
    <n v="9"/>
    <n v="54"/>
    <n v="0.9"/>
    <n v="0"/>
    <n v="0"/>
  </r>
  <r>
    <x v="621"/>
    <n v="9"/>
    <n v="54"/>
    <n v="63"/>
    <n v="17"/>
    <n v="19"/>
    <x v="25"/>
    <n v="23"/>
    <n v="5"/>
    <n v="52"/>
    <n v="0.5"/>
    <n v="0"/>
    <n v="0"/>
  </r>
  <r>
    <x v="622"/>
    <n v="5"/>
    <n v="52"/>
    <n v="57"/>
    <n v="23"/>
    <n v="19"/>
    <x v="32"/>
    <n v="14"/>
    <n v="10"/>
    <n v="56"/>
    <n v="1"/>
    <n v="0"/>
    <n v="0"/>
  </r>
  <r>
    <x v="623"/>
    <n v="10"/>
    <n v="56"/>
    <n v="66"/>
    <n v="14"/>
    <n v="16"/>
    <x v="16"/>
    <n v="26"/>
    <n v="0"/>
    <n v="54"/>
    <n v="0"/>
    <n v="0"/>
    <n v="0"/>
  </r>
  <r>
    <x v="624"/>
    <n v="0"/>
    <n v="54"/>
    <n v="54"/>
    <n v="26"/>
    <n v="17"/>
    <x v="22"/>
    <n v="22"/>
    <n v="-5"/>
    <n v="63"/>
    <n v="0"/>
    <n v="1"/>
    <n v="5"/>
  </r>
  <r>
    <x v="625"/>
    <n v="-5"/>
    <n v="63"/>
    <n v="58"/>
    <n v="22"/>
    <n v="23"/>
    <x v="33"/>
    <n v="22"/>
    <n v="-4"/>
    <n v="62"/>
    <n v="0"/>
    <n v="1"/>
    <n v="4"/>
  </r>
  <r>
    <x v="626"/>
    <n v="-4"/>
    <n v="62"/>
    <n v="58"/>
    <n v="22"/>
    <n v="14"/>
    <x v="6"/>
    <n v="13"/>
    <n v="-3"/>
    <n v="70"/>
    <n v="0"/>
    <n v="1"/>
    <n v="3"/>
  </r>
  <r>
    <x v="627"/>
    <n v="-3"/>
    <n v="70"/>
    <n v="67"/>
    <n v="13"/>
    <n v="26"/>
    <x v="24"/>
    <n v="18"/>
    <n v="5"/>
    <n v="57"/>
    <n v="0.5"/>
    <n v="0"/>
    <n v="0"/>
  </r>
  <r>
    <x v="628"/>
    <n v="5"/>
    <n v="57"/>
    <n v="62"/>
    <n v="18"/>
    <n v="22"/>
    <x v="12"/>
    <n v="25"/>
    <n v="2"/>
    <n v="53"/>
    <n v="0.2"/>
    <n v="0"/>
    <n v="0"/>
  </r>
  <r>
    <x v="629"/>
    <n v="2"/>
    <n v="53"/>
    <n v="55"/>
    <n v="25"/>
    <n v="22"/>
    <x v="32"/>
    <n v="22"/>
    <n v="2"/>
    <n v="56"/>
    <n v="0.2"/>
    <n v="0"/>
    <n v="0"/>
  </r>
  <r>
    <x v="630"/>
    <n v="2"/>
    <n v="56"/>
    <n v="58"/>
    <n v="22"/>
    <n v="13"/>
    <x v="26"/>
    <n v="16"/>
    <n v="-1"/>
    <n v="65"/>
    <n v="0"/>
    <n v="1"/>
    <n v="1"/>
  </r>
  <r>
    <x v="631"/>
    <n v="-1"/>
    <n v="65"/>
    <n v="64"/>
    <n v="16"/>
    <n v="18"/>
    <x v="22"/>
    <n v="16"/>
    <n v="1"/>
    <n v="63"/>
    <n v="0.1"/>
    <n v="0"/>
    <n v="0"/>
  </r>
  <r>
    <x v="632"/>
    <n v="1"/>
    <n v="63"/>
    <n v="64"/>
    <n v="16"/>
    <n v="25"/>
    <x v="16"/>
    <n v="27"/>
    <n v="-1"/>
    <n v="54"/>
    <n v="0"/>
    <n v="1"/>
    <n v="1"/>
  </r>
  <r>
    <x v="633"/>
    <n v="-1"/>
    <n v="54"/>
    <n v="53"/>
    <n v="27"/>
    <n v="22"/>
    <x v="5"/>
    <n v="16"/>
    <n v="5"/>
    <n v="59"/>
    <n v="0.5"/>
    <n v="0"/>
    <n v="0"/>
  </r>
  <r>
    <x v="634"/>
    <n v="5"/>
    <n v="59"/>
    <n v="64"/>
    <n v="16"/>
    <n v="16"/>
    <x v="5"/>
    <n v="23"/>
    <n v="-2"/>
    <n v="59"/>
    <n v="0"/>
    <n v="1"/>
    <n v="2"/>
  </r>
  <r>
    <x v="635"/>
    <n v="-2"/>
    <n v="59"/>
    <n v="57"/>
    <n v="23"/>
    <n v="16"/>
    <x v="7"/>
    <n v="28"/>
    <n v="-14"/>
    <n v="66"/>
    <n v="0"/>
    <n v="1"/>
    <n v="14"/>
  </r>
  <r>
    <x v="636"/>
    <n v="-14"/>
    <n v="66"/>
    <n v="52"/>
    <n v="28"/>
    <n v="27"/>
    <x v="21"/>
    <n v="11"/>
    <n v="2"/>
    <n v="67"/>
    <n v="0.2"/>
    <n v="0"/>
    <n v="0"/>
  </r>
  <r>
    <x v="637"/>
    <n v="2"/>
    <n v="67"/>
    <n v="69"/>
    <n v="11"/>
    <n v="16"/>
    <x v="33"/>
    <n v="15"/>
    <n v="3"/>
    <n v="62"/>
    <n v="0.30000000000000004"/>
    <n v="0"/>
    <n v="0"/>
  </r>
  <r>
    <x v="638"/>
    <n v="3"/>
    <n v="62"/>
    <n v="65"/>
    <n v="15"/>
    <n v="23"/>
    <x v="16"/>
    <n v="23"/>
    <n v="3"/>
    <n v="54"/>
    <n v="0.30000000000000004"/>
    <n v="0"/>
    <n v="0"/>
  </r>
  <r>
    <x v="639"/>
    <n v="3"/>
    <n v="54"/>
    <n v="57"/>
    <n v="23"/>
    <n v="28"/>
    <x v="10"/>
    <n v="24"/>
    <n v="7"/>
    <n v="49"/>
    <n v="0.70000000000000007"/>
    <n v="0"/>
    <n v="0"/>
  </r>
  <r>
    <x v="640"/>
    <n v="7"/>
    <n v="49"/>
    <n v="56"/>
    <n v="24"/>
    <n v="11"/>
    <x v="33"/>
    <n v="17"/>
    <n v="1"/>
    <n v="62"/>
    <n v="0.1"/>
    <n v="0"/>
    <n v="0"/>
  </r>
  <r>
    <x v="641"/>
    <n v="1"/>
    <n v="62"/>
    <n v="63"/>
    <n v="17"/>
    <n v="15"/>
    <x v="8"/>
    <n v="23"/>
    <n v="-7"/>
    <n v="64"/>
    <n v="0"/>
    <n v="1"/>
    <n v="7"/>
  </r>
  <r>
    <x v="642"/>
    <n v="-7"/>
    <n v="64"/>
    <n v="57"/>
    <n v="23"/>
    <n v="23"/>
    <x v="8"/>
    <n v="20"/>
    <n v="-4"/>
    <n v="64"/>
    <n v="0"/>
    <n v="1"/>
    <n v="4"/>
  </r>
  <r>
    <x v="643"/>
    <n v="-4"/>
    <n v="64"/>
    <n v="60"/>
    <n v="20"/>
    <n v="24"/>
    <x v="4"/>
    <n v="18"/>
    <n v="2"/>
    <n v="60"/>
    <n v="0.2"/>
    <n v="0"/>
    <n v="0"/>
  </r>
  <r>
    <x v="644"/>
    <n v="2"/>
    <n v="60"/>
    <n v="62"/>
    <n v="18"/>
    <n v="17"/>
    <x v="23"/>
    <n v="17"/>
    <n v="2"/>
    <n v="61"/>
    <n v="0.2"/>
    <n v="0"/>
    <n v="0"/>
  </r>
  <r>
    <x v="645"/>
    <n v="2"/>
    <n v="61"/>
    <n v="63"/>
    <n v="17"/>
    <n v="23"/>
    <x v="27"/>
    <n v="18"/>
    <n v="7"/>
    <n v="55"/>
    <n v="0.70000000000000007"/>
    <n v="0"/>
    <n v="0"/>
  </r>
  <r>
    <x v="646"/>
    <n v="7"/>
    <n v="55"/>
    <n v="62"/>
    <n v="18"/>
    <n v="20"/>
    <x v="12"/>
    <n v="22"/>
    <n v="5"/>
    <n v="53"/>
    <n v="0.5"/>
    <n v="0"/>
    <n v="0"/>
  </r>
  <r>
    <x v="647"/>
    <n v="5"/>
    <n v="53"/>
    <n v="58"/>
    <n v="22"/>
    <n v="18"/>
    <x v="24"/>
    <n v="17"/>
    <n v="6"/>
    <n v="57"/>
    <n v="0.60000000000000009"/>
    <n v="0"/>
    <n v="0"/>
  </r>
  <r>
    <x v="648"/>
    <n v="6"/>
    <n v="57"/>
    <n v="63"/>
    <n v="17"/>
    <n v="17"/>
    <x v="24"/>
    <n v="26"/>
    <n v="-3"/>
    <n v="57"/>
    <n v="0"/>
    <n v="1"/>
    <n v="3"/>
  </r>
  <r>
    <x v="649"/>
    <n v="-3"/>
    <n v="57"/>
    <n v="54"/>
    <n v="26"/>
    <n v="18"/>
    <x v="26"/>
    <n v="14"/>
    <n v="1"/>
    <n v="65"/>
    <n v="0.1"/>
    <n v="0"/>
    <n v="0"/>
  </r>
  <r>
    <x v="650"/>
    <n v="1"/>
    <n v="65"/>
    <n v="66"/>
    <n v="14"/>
    <n v="22"/>
    <x v="24"/>
    <n v="20"/>
    <n v="3"/>
    <n v="57"/>
    <n v="0.30000000000000004"/>
    <n v="0"/>
    <n v="0"/>
  </r>
  <r>
    <x v="651"/>
    <n v="3"/>
    <n v="57"/>
    <n v="60"/>
    <n v="20"/>
    <n v="17"/>
    <x v="4"/>
    <n v="23"/>
    <n v="-3"/>
    <n v="60"/>
    <n v="0"/>
    <n v="1"/>
    <n v="3"/>
  </r>
  <r>
    <x v="652"/>
    <n v="-3"/>
    <n v="60"/>
    <n v="57"/>
    <n v="23"/>
    <n v="26"/>
    <x v="24"/>
    <n v="20"/>
    <n v="3"/>
    <n v="57"/>
    <n v="0.30000000000000004"/>
    <n v="0"/>
    <n v="0"/>
  </r>
  <r>
    <x v="653"/>
    <n v="3"/>
    <n v="57"/>
    <n v="60"/>
    <n v="20"/>
    <n v="14"/>
    <x v="22"/>
    <n v="19"/>
    <n v="-2"/>
    <n v="63"/>
    <n v="0"/>
    <n v="1"/>
    <n v="2"/>
  </r>
  <r>
    <x v="654"/>
    <n v="-2"/>
    <n v="63"/>
    <n v="61"/>
    <n v="19"/>
    <n v="20"/>
    <x v="33"/>
    <n v="20"/>
    <n v="-2"/>
    <n v="62"/>
    <n v="0"/>
    <n v="1"/>
    <n v="2"/>
  </r>
  <r>
    <x v="655"/>
    <n v="-2"/>
    <n v="62"/>
    <n v="60"/>
    <n v="20"/>
    <n v="23"/>
    <x v="5"/>
    <n v="19"/>
    <n v="2"/>
    <n v="59"/>
    <n v="0.2"/>
    <n v="0"/>
    <n v="0"/>
  </r>
  <r>
    <x v="656"/>
    <n v="2"/>
    <n v="59"/>
    <n v="61"/>
    <n v="19"/>
    <n v="20"/>
    <x v="28"/>
    <n v="18"/>
    <n v="4"/>
    <n v="58"/>
    <n v="0.4"/>
    <n v="0"/>
    <n v="0"/>
  </r>
  <r>
    <x v="657"/>
    <n v="4"/>
    <n v="58"/>
    <n v="62"/>
    <n v="18"/>
    <n v="19"/>
    <x v="24"/>
    <n v="20"/>
    <n v="3"/>
    <n v="57"/>
    <n v="0.30000000000000004"/>
    <n v="0"/>
    <n v="0"/>
  </r>
  <r>
    <x v="658"/>
    <n v="3"/>
    <n v="57"/>
    <n v="60"/>
    <n v="20"/>
    <n v="20"/>
    <x v="24"/>
    <n v="25"/>
    <n v="-2"/>
    <n v="57"/>
    <n v="0"/>
    <n v="1"/>
    <n v="2"/>
  </r>
  <r>
    <x v="659"/>
    <n v="-2"/>
    <n v="57"/>
    <n v="55"/>
    <n v="25"/>
    <n v="19"/>
    <x v="22"/>
    <n v="15"/>
    <n v="2"/>
    <n v="63"/>
    <n v="0.2"/>
    <n v="0"/>
    <n v="0"/>
  </r>
  <r>
    <x v="660"/>
    <n v="2"/>
    <n v="63"/>
    <n v="65"/>
    <n v="15"/>
    <n v="18"/>
    <x v="4"/>
    <n v="19"/>
    <n v="1"/>
    <n v="60"/>
    <n v="0.1"/>
    <n v="0"/>
    <n v="0"/>
  </r>
  <r>
    <x v="661"/>
    <n v="1"/>
    <n v="60"/>
    <n v="61"/>
    <n v="19"/>
    <n v="20"/>
    <x v="5"/>
    <n v="18"/>
    <n v="3"/>
    <n v="59"/>
    <n v="0.30000000000000004"/>
    <n v="0"/>
    <n v="0"/>
  </r>
  <r>
    <x v="662"/>
    <n v="3"/>
    <n v="59"/>
    <n v="62"/>
    <n v="18"/>
    <n v="25"/>
    <x v="25"/>
    <n v="25"/>
    <n v="3"/>
    <n v="52"/>
    <n v="0.30000000000000004"/>
    <n v="0"/>
    <n v="0"/>
  </r>
  <r>
    <x v="663"/>
    <n v="3"/>
    <n v="52"/>
    <n v="55"/>
    <n v="25"/>
    <n v="15"/>
    <x v="33"/>
    <n v="15"/>
    <n v="3"/>
    <n v="62"/>
    <n v="0.30000000000000004"/>
    <n v="0"/>
    <n v="0"/>
  </r>
  <r>
    <x v="664"/>
    <n v="3"/>
    <n v="62"/>
    <n v="65"/>
    <n v="15"/>
    <n v="19"/>
    <x v="28"/>
    <n v="20"/>
    <n v="2"/>
    <n v="58"/>
    <n v="0.2"/>
    <n v="0"/>
    <n v="0"/>
  </r>
  <r>
    <x v="665"/>
    <n v="2"/>
    <n v="58"/>
    <n v="60"/>
    <n v="20"/>
    <n v="18"/>
    <x v="4"/>
    <n v="19"/>
    <n v="1"/>
    <n v="60"/>
    <n v="0.1"/>
    <n v="0"/>
    <n v="0"/>
  </r>
  <r>
    <x v="666"/>
    <n v="1"/>
    <n v="60"/>
    <n v="61"/>
    <n v="19"/>
    <n v="25"/>
    <x v="16"/>
    <n v="22"/>
    <n v="4"/>
    <n v="54"/>
    <n v="0.4"/>
    <n v="0"/>
    <n v="0"/>
  </r>
  <r>
    <x v="667"/>
    <n v="4"/>
    <n v="54"/>
    <n v="58"/>
    <n v="22"/>
    <n v="15"/>
    <x v="23"/>
    <n v="19"/>
    <n v="0"/>
    <n v="61"/>
    <n v="0"/>
    <n v="0"/>
    <n v="0"/>
  </r>
  <r>
    <x v="668"/>
    <n v="0"/>
    <n v="61"/>
    <n v="61"/>
    <n v="19"/>
    <n v="20"/>
    <x v="4"/>
    <n v="32"/>
    <n v="-12"/>
    <n v="60"/>
    <n v="0"/>
    <n v="1"/>
    <n v="12"/>
  </r>
  <r>
    <x v="669"/>
    <n v="-12"/>
    <n v="60"/>
    <n v="48"/>
    <n v="32"/>
    <n v="19"/>
    <x v="31"/>
    <n v="27"/>
    <n v="-20"/>
    <n v="73"/>
    <n v="0"/>
    <n v="1"/>
    <n v="20"/>
  </r>
  <r>
    <x v="670"/>
    <n v="-20"/>
    <n v="73"/>
    <n v="53"/>
    <n v="27"/>
    <n v="22"/>
    <x v="35"/>
    <n v="19"/>
    <n v="-17"/>
    <n v="78"/>
    <n v="0"/>
    <n v="1"/>
    <n v="17"/>
  </r>
  <r>
    <x v="671"/>
    <n v="-17"/>
    <n v="78"/>
    <n v="61"/>
    <n v="19"/>
    <n v="19"/>
    <x v="35"/>
    <n v="18"/>
    <n v="-16"/>
    <n v="78"/>
    <n v="0"/>
    <n v="1"/>
    <n v="16"/>
  </r>
  <r>
    <x v="672"/>
    <n v="-16"/>
    <n v="78"/>
    <n v="62"/>
    <n v="18"/>
    <n v="32"/>
    <x v="8"/>
    <n v="25"/>
    <n v="-9"/>
    <n v="64"/>
    <n v="0"/>
    <n v="1"/>
    <n v="9"/>
  </r>
  <r>
    <x v="673"/>
    <n v="-9"/>
    <n v="64"/>
    <n v="55"/>
    <n v="25"/>
    <n v="27"/>
    <x v="33"/>
    <n v="18"/>
    <n v="0"/>
    <n v="62"/>
    <n v="0"/>
    <n v="0"/>
    <n v="0"/>
  </r>
  <r>
    <x v="674"/>
    <n v="0"/>
    <n v="62"/>
    <n v="62"/>
    <n v="18"/>
    <n v="19"/>
    <x v="23"/>
    <n v="17"/>
    <n v="2"/>
    <n v="61"/>
    <n v="0.2"/>
    <n v="0"/>
    <n v="0"/>
  </r>
  <r>
    <x v="675"/>
    <n v="2"/>
    <n v="61"/>
    <n v="63"/>
    <n v="17"/>
    <n v="18"/>
    <x v="4"/>
    <n v="20"/>
    <n v="0"/>
    <n v="60"/>
    <n v="0"/>
    <n v="0"/>
    <n v="0"/>
  </r>
  <r>
    <x v="676"/>
    <n v="0"/>
    <n v="60"/>
    <n v="60"/>
    <n v="20"/>
    <n v="25"/>
    <x v="27"/>
    <n v="21"/>
    <n v="4"/>
    <n v="55"/>
    <n v="0.4"/>
    <n v="0"/>
    <n v="0"/>
  </r>
  <r>
    <x v="677"/>
    <n v="4"/>
    <n v="55"/>
    <n v="59"/>
    <n v="21"/>
    <n v="18"/>
    <x v="28"/>
    <n v="18"/>
    <n v="4"/>
    <n v="58"/>
    <n v="0.4"/>
    <n v="0"/>
    <n v="0"/>
  </r>
  <r>
    <x v="678"/>
    <n v="4"/>
    <n v="58"/>
    <n v="62"/>
    <n v="18"/>
    <n v="17"/>
    <x v="5"/>
    <n v="19"/>
    <n v="2"/>
    <n v="59"/>
    <n v="0.2"/>
    <n v="0"/>
    <n v="0"/>
  </r>
  <r>
    <x v="679"/>
    <n v="2"/>
    <n v="59"/>
    <n v="61"/>
    <n v="19"/>
    <n v="20"/>
    <x v="28"/>
    <n v="16"/>
    <n v="6"/>
    <n v="58"/>
    <n v="0.60000000000000009"/>
    <n v="0"/>
    <n v="0"/>
  </r>
  <r>
    <x v="680"/>
    <n v="6"/>
    <n v="58"/>
    <n v="64"/>
    <n v="16"/>
    <n v="21"/>
    <x v="12"/>
    <n v="17"/>
    <n v="10"/>
    <n v="53"/>
    <n v="1"/>
    <n v="0"/>
    <n v="0"/>
  </r>
  <r>
    <x v="681"/>
    <n v="10"/>
    <n v="53"/>
    <n v="63"/>
    <n v="17"/>
    <n v="18"/>
    <x v="25"/>
    <n v="23"/>
    <n v="5"/>
    <n v="52"/>
    <n v="0.5"/>
    <n v="0"/>
    <n v="0"/>
  </r>
  <r>
    <x v="682"/>
    <n v="5"/>
    <n v="52"/>
    <n v="57"/>
    <n v="23"/>
    <n v="19"/>
    <x v="32"/>
    <n v="24"/>
    <n v="0"/>
    <n v="56"/>
    <n v="0"/>
    <n v="0"/>
    <n v="0"/>
  </r>
  <r>
    <x v="683"/>
    <n v="0"/>
    <n v="56"/>
    <n v="56"/>
    <n v="24"/>
    <n v="16"/>
    <x v="8"/>
    <n v="16"/>
    <n v="0"/>
    <n v="64"/>
    <n v="0"/>
    <n v="0"/>
    <n v="0"/>
  </r>
  <r>
    <x v="684"/>
    <n v="0"/>
    <n v="64"/>
    <n v="64"/>
    <n v="16"/>
    <n v="17"/>
    <x v="22"/>
    <n v="27"/>
    <n v="-10"/>
    <n v="63"/>
    <n v="0"/>
    <n v="1"/>
    <n v="10"/>
  </r>
  <r>
    <x v="685"/>
    <n v="-10"/>
    <n v="63"/>
    <n v="53"/>
    <n v="27"/>
    <n v="23"/>
    <x v="21"/>
    <n v="18"/>
    <n v="-5"/>
    <n v="67"/>
    <n v="0"/>
    <n v="1"/>
    <n v="5"/>
  </r>
  <r>
    <x v="686"/>
    <n v="-5"/>
    <n v="67"/>
    <n v="62"/>
    <n v="18"/>
    <n v="24"/>
    <x v="23"/>
    <n v="24"/>
    <n v="-5"/>
    <n v="61"/>
    <n v="0"/>
    <n v="1"/>
    <n v="5"/>
  </r>
  <r>
    <x v="687"/>
    <n v="-5"/>
    <n v="61"/>
    <n v="56"/>
    <n v="24"/>
    <n v="16"/>
    <x v="30"/>
    <n v="17"/>
    <n v="-6"/>
    <n v="69"/>
    <n v="0"/>
    <n v="1"/>
    <n v="6"/>
  </r>
  <r>
    <x v="688"/>
    <n v="-6"/>
    <n v="69"/>
    <n v="63"/>
    <n v="17"/>
    <n v="27"/>
    <x v="5"/>
    <n v="17"/>
    <n v="4"/>
    <n v="59"/>
    <n v="0.4"/>
    <n v="0"/>
    <n v="0"/>
  </r>
  <r>
    <x v="689"/>
    <n v="4"/>
    <n v="59"/>
    <n v="63"/>
    <n v="17"/>
    <n v="18"/>
    <x v="28"/>
    <n v="17"/>
    <n v="5"/>
    <n v="58"/>
    <n v="0.5"/>
    <n v="0"/>
    <n v="0"/>
  </r>
  <r>
    <x v="690"/>
    <n v="5"/>
    <n v="58"/>
    <n v="63"/>
    <n v="17"/>
    <n v="24"/>
    <x v="9"/>
    <n v="19"/>
    <n v="10"/>
    <n v="51"/>
    <n v="1"/>
    <n v="0"/>
    <n v="0"/>
  </r>
  <r>
    <x v="691"/>
    <n v="10"/>
    <n v="51"/>
    <n v="61"/>
    <n v="19"/>
    <n v="17"/>
    <x v="12"/>
    <n v="11"/>
    <n v="16"/>
    <n v="53"/>
    <n v="1.6"/>
    <n v="0"/>
    <n v="0"/>
  </r>
  <r>
    <x v="692"/>
    <n v="16"/>
    <n v="53"/>
    <n v="69"/>
    <n v="11"/>
    <n v="17"/>
    <x v="14"/>
    <n v="18"/>
    <n v="15"/>
    <n v="47"/>
    <n v="1.5"/>
    <n v="0"/>
    <n v="0"/>
  </r>
  <r>
    <x v="693"/>
    <n v="15"/>
    <n v="47"/>
    <n v="62"/>
    <n v="18"/>
    <n v="17"/>
    <x v="15"/>
    <n v="15"/>
    <n v="17"/>
    <n v="48"/>
    <n v="1.7000000000000002"/>
    <n v="0"/>
    <n v="0"/>
  </r>
  <r>
    <x v="694"/>
    <n v="17"/>
    <n v="48"/>
    <n v="65"/>
    <n v="15"/>
    <n v="19"/>
    <x v="45"/>
    <n v="19"/>
    <n v="17"/>
    <n v="44"/>
    <n v="1.7000000000000002"/>
    <n v="0"/>
    <n v="0"/>
  </r>
  <r>
    <x v="695"/>
    <n v="17"/>
    <n v="44"/>
    <n v="61"/>
    <n v="19"/>
    <n v="11"/>
    <x v="25"/>
    <n v="16"/>
    <n v="12"/>
    <n v="52"/>
    <n v="1.2000000000000002"/>
    <n v="0"/>
    <n v="0"/>
  </r>
  <r>
    <x v="696"/>
    <n v="12"/>
    <n v="52"/>
    <n v="64"/>
    <n v="16"/>
    <n v="18"/>
    <x v="13"/>
    <n v="22"/>
    <n v="8"/>
    <n v="50"/>
    <n v="0.8"/>
    <n v="0"/>
    <n v="0"/>
  </r>
  <r>
    <x v="697"/>
    <n v="8"/>
    <n v="50"/>
    <n v="58"/>
    <n v="22"/>
    <n v="15"/>
    <x v="24"/>
    <n v="14"/>
    <n v="9"/>
    <n v="57"/>
    <n v="0.9"/>
    <n v="0"/>
    <n v="0"/>
  </r>
  <r>
    <x v="698"/>
    <n v="9"/>
    <n v="57"/>
    <n v="66"/>
    <n v="14"/>
    <n v="19"/>
    <x v="25"/>
    <n v="24"/>
    <n v="4"/>
    <n v="52"/>
    <n v="0.4"/>
    <n v="0"/>
    <n v="0"/>
  </r>
  <r>
    <x v="699"/>
    <n v="4"/>
    <n v="52"/>
    <n v="56"/>
    <n v="24"/>
    <n v="16"/>
    <x v="4"/>
    <n v="24"/>
    <n v="-4"/>
    <n v="60"/>
    <n v="0"/>
    <n v="1"/>
    <n v="4"/>
  </r>
  <r>
    <x v="700"/>
    <n v="-4"/>
    <n v="60"/>
    <n v="56"/>
    <n v="24"/>
    <n v="22"/>
    <x v="33"/>
    <n v="18"/>
    <n v="0"/>
    <n v="62"/>
    <n v="0"/>
    <n v="0"/>
    <n v="0"/>
  </r>
  <r>
    <x v="701"/>
    <n v="0"/>
    <n v="62"/>
    <n v="62"/>
    <n v="18"/>
    <n v="14"/>
    <x v="7"/>
    <n v="21"/>
    <n v="-7"/>
    <n v="66"/>
    <n v="0"/>
    <n v="1"/>
    <n v="7"/>
  </r>
  <r>
    <x v="702"/>
    <n v="-7"/>
    <n v="66"/>
    <n v="59"/>
    <n v="21"/>
    <n v="24"/>
    <x v="22"/>
    <n v="26"/>
    <n v="-9"/>
    <n v="63"/>
    <n v="0"/>
    <n v="1"/>
    <n v="9"/>
  </r>
  <r>
    <x v="703"/>
    <n v="-9"/>
    <n v="63"/>
    <n v="54"/>
    <n v="26"/>
    <n v="24"/>
    <x v="26"/>
    <n v="23"/>
    <n v="-8"/>
    <n v="65"/>
    <n v="0"/>
    <n v="1"/>
    <n v="8"/>
  </r>
  <r>
    <x v="704"/>
    <n v="-8"/>
    <n v="65"/>
    <n v="57"/>
    <n v="23"/>
    <n v="18"/>
    <x v="6"/>
    <n v="23"/>
    <n v="-13"/>
    <n v="70"/>
    <n v="0"/>
    <n v="1"/>
    <n v="13"/>
  </r>
  <r>
    <x v="705"/>
    <n v="-13"/>
    <n v="70"/>
    <n v="57"/>
    <n v="23"/>
    <n v="21"/>
    <x v="29"/>
    <n v="17"/>
    <n v="-9"/>
    <n v="72"/>
    <n v="0"/>
    <n v="1"/>
    <n v="9"/>
  </r>
  <r>
    <x v="706"/>
    <n v="-9"/>
    <n v="72"/>
    <n v="63"/>
    <n v="17"/>
    <n v="26"/>
    <x v="22"/>
    <n v="14"/>
    <n v="3"/>
    <n v="63"/>
    <n v="0.30000000000000004"/>
    <n v="0"/>
    <n v="0"/>
  </r>
  <r>
    <x v="707"/>
    <n v="3"/>
    <n v="63"/>
    <n v="66"/>
    <n v="14"/>
    <n v="23"/>
    <x v="16"/>
    <n v="15"/>
    <n v="11"/>
    <n v="54"/>
    <n v="1.1000000000000001"/>
    <n v="0"/>
    <n v="0"/>
  </r>
  <r>
    <x v="708"/>
    <n v="11"/>
    <n v="54"/>
    <n v="65"/>
    <n v="15"/>
    <n v="23"/>
    <x v="38"/>
    <n v="25"/>
    <n v="9"/>
    <n v="46"/>
    <n v="0.9"/>
    <n v="0"/>
    <n v="0"/>
  </r>
  <r>
    <x v="709"/>
    <n v="9"/>
    <n v="46"/>
    <n v="55"/>
    <n v="25"/>
    <n v="17"/>
    <x v="16"/>
    <n v="21"/>
    <n v="5"/>
    <n v="54"/>
    <n v="0.5"/>
    <n v="0"/>
    <n v="0"/>
  </r>
  <r>
    <x v="710"/>
    <n v="5"/>
    <n v="54"/>
    <n v="59"/>
    <n v="21"/>
    <n v="14"/>
    <x v="23"/>
    <n v="9"/>
    <n v="10"/>
    <n v="61"/>
    <n v="1"/>
    <n v="0"/>
    <n v="0"/>
  </r>
  <r>
    <x v="711"/>
    <n v="10"/>
    <n v="61"/>
    <n v="71"/>
    <n v="9"/>
    <n v="15"/>
    <x v="27"/>
    <n v="15"/>
    <n v="10"/>
    <n v="55"/>
    <n v="1"/>
    <n v="0"/>
    <n v="0"/>
  </r>
  <r>
    <x v="712"/>
    <n v="10"/>
    <n v="55"/>
    <n v="65"/>
    <n v="15"/>
    <n v="25"/>
    <x v="11"/>
    <n v="22"/>
    <n v="13"/>
    <n v="45"/>
    <n v="1.3"/>
    <n v="0"/>
    <n v="0"/>
  </r>
  <r>
    <x v="713"/>
    <n v="13"/>
    <n v="45"/>
    <n v="58"/>
    <n v="22"/>
    <n v="21"/>
    <x v="38"/>
    <n v="13"/>
    <n v="21"/>
    <n v="46"/>
    <n v="2.1"/>
    <n v="0"/>
    <n v="0"/>
  </r>
  <r>
    <x v="714"/>
    <n v="21"/>
    <n v="46"/>
    <n v="67"/>
    <n v="13"/>
    <n v="9"/>
    <x v="13"/>
    <n v="18"/>
    <n v="12"/>
    <n v="50"/>
    <n v="1.2000000000000002"/>
    <n v="0"/>
    <n v="0"/>
  </r>
  <r>
    <x v="715"/>
    <n v="12"/>
    <n v="50"/>
    <n v="62"/>
    <n v="18"/>
    <n v="15"/>
    <x v="12"/>
    <n v="9"/>
    <n v="18"/>
    <n v="53"/>
    <n v="1.8"/>
    <n v="0"/>
    <n v="0"/>
  </r>
  <r>
    <x v="716"/>
    <n v="18"/>
    <n v="53"/>
    <n v="71"/>
    <n v="9"/>
    <n v="22"/>
    <x v="46"/>
    <n v="22"/>
    <n v="18"/>
    <n v="40"/>
    <n v="1.8"/>
    <n v="0"/>
    <n v="0"/>
  </r>
  <r>
    <x v="717"/>
    <n v="18"/>
    <n v="40"/>
    <n v="58"/>
    <n v="22"/>
    <n v="13"/>
    <x v="10"/>
    <n v="22"/>
    <n v="9"/>
    <n v="49"/>
    <n v="0.9"/>
    <n v="0"/>
    <n v="0"/>
  </r>
  <r>
    <x v="718"/>
    <n v="9"/>
    <n v="49"/>
    <n v="58"/>
    <n v="22"/>
    <n v="18"/>
    <x v="12"/>
    <n v="29"/>
    <n v="-2"/>
    <n v="53"/>
    <n v="0"/>
    <n v="1"/>
    <n v="2"/>
  </r>
  <r>
    <x v="719"/>
    <n v="-2"/>
    <n v="53"/>
    <n v="51"/>
    <n v="29"/>
    <n v="9"/>
    <x v="31"/>
    <n v="16"/>
    <n v="-9"/>
    <n v="73"/>
    <n v="0"/>
    <n v="1"/>
    <n v="9"/>
  </r>
  <r>
    <x v="720"/>
    <n v="-9"/>
    <n v="73"/>
    <n v="64"/>
    <n v="16"/>
    <n v="22"/>
    <x v="21"/>
    <n v="23"/>
    <n v="-10"/>
    <n v="67"/>
    <n v="0"/>
    <n v="1"/>
    <n v="10"/>
  </r>
  <r>
    <x v="721"/>
    <n v="-10"/>
    <n v="67"/>
    <n v="57"/>
    <n v="23"/>
    <n v="22"/>
    <x v="17"/>
    <n v="15"/>
    <n v="-3"/>
    <n v="68"/>
    <n v="0"/>
    <n v="1"/>
    <n v="3"/>
  </r>
  <r>
    <x v="722"/>
    <n v="-3"/>
    <n v="68"/>
    <n v="65"/>
    <n v="15"/>
    <n v="29"/>
    <x v="16"/>
    <n v="20"/>
    <n v="6"/>
    <n v="54"/>
    <n v="0.60000000000000009"/>
    <n v="0"/>
    <n v="0"/>
  </r>
  <r>
    <x v="723"/>
    <n v="6"/>
    <n v="54"/>
    <n v="60"/>
    <n v="20"/>
    <n v="16"/>
    <x v="28"/>
    <n v="25"/>
    <n v="-3"/>
    <n v="58"/>
    <n v="0"/>
    <n v="1"/>
    <n v="3"/>
  </r>
  <r>
    <x v="724"/>
    <n v="-3"/>
    <n v="58"/>
    <n v="55"/>
    <n v="25"/>
    <n v="23"/>
    <x v="4"/>
    <n v="14"/>
    <n v="6"/>
    <n v="60"/>
    <n v="0.60000000000000009"/>
    <n v="0"/>
    <n v="0"/>
  </r>
  <r>
    <x v="725"/>
    <n v="6"/>
    <n v="60"/>
    <n v="66"/>
    <n v="14"/>
    <n v="15"/>
    <x v="5"/>
    <n v="17"/>
    <n v="4"/>
    <n v="59"/>
    <n v="0.4"/>
    <n v="0"/>
    <n v="0"/>
  </r>
  <r>
    <x v="726"/>
    <n v="4"/>
    <n v="59"/>
    <n v="63"/>
    <n v="17"/>
    <n v="20"/>
    <x v="32"/>
    <n v="27"/>
    <n v="-3"/>
    <n v="56"/>
    <n v="0"/>
    <n v="1"/>
    <n v="3"/>
  </r>
  <r>
    <x v="727"/>
    <n v="-3"/>
    <n v="56"/>
    <n v="53"/>
    <n v="27"/>
    <n v="25"/>
    <x v="28"/>
    <n v="28"/>
    <n v="-6"/>
    <n v="58"/>
    <n v="0"/>
    <n v="1"/>
    <n v="6"/>
  </r>
  <r>
    <x v="728"/>
    <n v="-6"/>
    <n v="58"/>
    <n v="52"/>
    <n v="28"/>
    <n v="14"/>
    <x v="29"/>
    <n v="20"/>
    <n v="-12"/>
    <n v="72"/>
    <n v="0"/>
    <n v="1"/>
    <n v="12"/>
  </r>
  <r>
    <x v="729"/>
    <n v="-12"/>
    <n v="72"/>
    <n v="60"/>
    <n v="20"/>
    <n v="17"/>
    <x v="44"/>
    <n v="28"/>
    <n v="-23"/>
    <n v="75"/>
    <n v="0"/>
    <n v="1"/>
    <n v="23"/>
  </r>
  <r>
    <x v="730"/>
    <n v="-23"/>
    <n v="75"/>
    <n v="52"/>
    <n v="28"/>
    <n v="27"/>
    <x v="37"/>
    <n v="10"/>
    <n v="-6"/>
    <n v="76"/>
    <n v="0"/>
    <n v="1"/>
    <n v="6"/>
  </r>
  <r>
    <x v="731"/>
    <n v="-6"/>
    <n v="76"/>
    <n v="70"/>
    <n v="10"/>
    <n v="28"/>
    <x v="28"/>
    <n v="17"/>
    <n v="5"/>
    <n v="58"/>
    <n v="0.5"/>
    <n v="0"/>
    <n v="0"/>
  </r>
  <r>
    <x v="732"/>
    <n v="5"/>
    <n v="58"/>
    <n v="63"/>
    <n v="17"/>
    <n v="20"/>
    <x v="27"/>
    <n v="21"/>
    <n v="4"/>
    <n v="55"/>
    <n v="0.4"/>
    <n v="0"/>
    <n v="0"/>
  </r>
  <r>
    <x v="733"/>
    <n v="4"/>
    <n v="55"/>
    <n v="59"/>
    <n v="21"/>
    <n v="28"/>
    <x v="15"/>
    <n v="28"/>
    <n v="4"/>
    <n v="48"/>
    <n v="0.4"/>
    <n v="0"/>
    <n v="0"/>
  </r>
  <r>
    <x v="734"/>
    <n v="4"/>
    <n v="48"/>
    <n v="52"/>
    <n v="28"/>
    <n v="10"/>
    <x v="7"/>
    <n v="23"/>
    <n v="-9"/>
    <n v="66"/>
    <n v="0"/>
    <n v="1"/>
    <n v="9"/>
  </r>
  <r>
    <x v="735"/>
    <n v="-9"/>
    <n v="66"/>
    <n v="57"/>
    <n v="23"/>
    <n v="17"/>
    <x v="29"/>
    <n v="23"/>
    <n v="-15"/>
    <n v="72"/>
    <n v="0"/>
    <n v="1"/>
    <n v="15"/>
  </r>
  <r>
    <x v="736"/>
    <n v="-15"/>
    <n v="72"/>
    <n v="57"/>
    <n v="23"/>
    <n v="21"/>
    <x v="39"/>
    <n v="26"/>
    <n v="-20"/>
    <n v="74"/>
    <n v="0"/>
    <n v="1"/>
    <n v="20"/>
  </r>
  <r>
    <x v="737"/>
    <n v="-20"/>
    <n v="74"/>
    <n v="54"/>
    <n v="26"/>
    <n v="28"/>
    <x v="29"/>
    <n v="30"/>
    <n v="-22"/>
    <n v="72"/>
    <n v="0"/>
    <n v="1"/>
    <n v="22"/>
  </r>
  <r>
    <x v="738"/>
    <n v="-22"/>
    <n v="72"/>
    <n v="50"/>
    <n v="30"/>
    <n v="23"/>
    <x v="43"/>
    <n v="17"/>
    <n v="-16"/>
    <n v="79"/>
    <n v="0"/>
    <n v="1"/>
    <n v="16"/>
  </r>
  <r>
    <x v="739"/>
    <n v="-16"/>
    <n v="79"/>
    <n v="63"/>
    <n v="17"/>
    <n v="23"/>
    <x v="31"/>
    <n v="15"/>
    <n v="-8"/>
    <n v="73"/>
    <n v="0"/>
    <n v="1"/>
    <n v="8"/>
  </r>
  <r>
    <x v="740"/>
    <n v="-8"/>
    <n v="73"/>
    <n v="65"/>
    <n v="15"/>
    <n v="26"/>
    <x v="33"/>
    <n v="21"/>
    <n v="-3"/>
    <n v="62"/>
    <n v="0"/>
    <n v="1"/>
    <n v="3"/>
  </r>
  <r>
    <x v="741"/>
    <n v="-3"/>
    <n v="62"/>
    <n v="59"/>
    <n v="21"/>
    <n v="30"/>
    <x v="12"/>
    <n v="29"/>
    <n v="-2"/>
    <n v="53"/>
    <n v="0"/>
    <n v="1"/>
    <n v="2"/>
  </r>
  <r>
    <x v="742"/>
    <n v="-2"/>
    <n v="53"/>
    <n v="51"/>
    <n v="29"/>
    <n v="17"/>
    <x v="26"/>
    <n v="14"/>
    <n v="1"/>
    <n v="65"/>
    <n v="0.1"/>
    <n v="0"/>
    <n v="0"/>
  </r>
  <r>
    <x v="743"/>
    <n v="1"/>
    <n v="65"/>
    <n v="66"/>
    <n v="14"/>
    <n v="15"/>
    <x v="8"/>
    <n v="26"/>
    <n v="-10"/>
    <n v="64"/>
    <n v="0"/>
    <n v="1"/>
    <n v="10"/>
  </r>
  <r>
    <x v="744"/>
    <n v="-10"/>
    <n v="64"/>
    <n v="54"/>
    <n v="26"/>
    <n v="21"/>
    <x v="30"/>
    <n v="16"/>
    <n v="-5"/>
    <n v="69"/>
    <n v="0"/>
    <n v="1"/>
    <n v="5"/>
  </r>
  <r>
    <x v="745"/>
    <n v="-5"/>
    <n v="69"/>
    <n v="64"/>
    <n v="16"/>
    <n v="29"/>
    <x v="32"/>
    <n v="13"/>
    <n v="11"/>
    <n v="56"/>
    <n v="1.1000000000000001"/>
    <n v="0"/>
    <n v="0"/>
  </r>
  <r>
    <x v="746"/>
    <n v="11"/>
    <n v="56"/>
    <n v="67"/>
    <n v="13"/>
    <n v="14"/>
    <x v="27"/>
    <n v="20"/>
    <n v="5"/>
    <n v="55"/>
    <n v="0.5"/>
    <n v="0"/>
    <n v="0"/>
  </r>
  <r>
    <x v="747"/>
    <n v="5"/>
    <n v="55"/>
    <n v="60"/>
    <n v="20"/>
    <n v="26"/>
    <x v="10"/>
    <n v="18"/>
    <n v="13"/>
    <n v="49"/>
    <n v="1.3"/>
    <n v="0"/>
    <n v="0"/>
  </r>
  <r>
    <x v="748"/>
    <n v="13"/>
    <n v="49"/>
    <n v="62"/>
    <n v="18"/>
    <n v="16"/>
    <x v="9"/>
    <n v="23"/>
    <n v="6"/>
    <n v="51"/>
    <n v="0.60000000000000009"/>
    <n v="0"/>
    <n v="0"/>
  </r>
  <r>
    <x v="749"/>
    <n v="6"/>
    <n v="51"/>
    <n v="57"/>
    <n v="23"/>
    <n v="13"/>
    <x v="23"/>
    <n v="21"/>
    <n v="-2"/>
    <n v="61"/>
    <n v="0"/>
    <n v="1"/>
    <n v="2"/>
  </r>
  <r>
    <x v="750"/>
    <n v="-2"/>
    <n v="61"/>
    <n v="59"/>
    <n v="21"/>
    <n v="20"/>
    <x v="33"/>
    <n v="15"/>
    <n v="3"/>
    <n v="62"/>
    <n v="0.30000000000000004"/>
    <n v="0"/>
    <n v="0"/>
  </r>
  <r>
    <x v="751"/>
    <n v="3"/>
    <n v="62"/>
    <n v="65"/>
    <n v="15"/>
    <n v="18"/>
    <x v="5"/>
    <n v="16"/>
    <n v="5"/>
    <n v="59"/>
    <n v="0.5"/>
    <n v="0"/>
    <n v="0"/>
  </r>
  <r>
    <x v="752"/>
    <n v="5"/>
    <n v="59"/>
    <n v="64"/>
    <n v="16"/>
    <n v="23"/>
    <x v="25"/>
    <n v="12"/>
    <n v="16"/>
    <n v="52"/>
    <n v="1.6"/>
    <n v="0"/>
    <n v="0"/>
  </r>
  <r>
    <x v="753"/>
    <n v="16"/>
    <n v="52"/>
    <n v="68"/>
    <n v="12"/>
    <n v="21"/>
    <x v="51"/>
    <n v="20"/>
    <n v="17"/>
    <n v="43"/>
    <n v="1.7000000000000002"/>
    <n v="0"/>
    <n v="0"/>
  </r>
  <r>
    <x v="754"/>
    <n v="17"/>
    <n v="43"/>
    <n v="60"/>
    <n v="20"/>
    <n v="15"/>
    <x v="15"/>
    <n v="21"/>
    <n v="11"/>
    <n v="48"/>
    <n v="1.1000000000000001"/>
    <n v="0"/>
    <n v="0"/>
  </r>
  <r>
    <x v="755"/>
    <n v="11"/>
    <n v="48"/>
    <n v="59"/>
    <n v="21"/>
    <n v="16"/>
    <x v="12"/>
    <n v="22"/>
    <n v="5"/>
    <n v="53"/>
    <n v="0.5"/>
    <n v="0"/>
    <n v="0"/>
  </r>
  <r>
    <x v="756"/>
    <n v="5"/>
    <n v="53"/>
    <n v="58"/>
    <n v="22"/>
    <n v="12"/>
    <x v="22"/>
    <n v="19"/>
    <n v="-2"/>
    <n v="63"/>
    <n v="0"/>
    <n v="1"/>
    <n v="2"/>
  </r>
  <r>
    <x v="757"/>
    <n v="-2"/>
    <n v="63"/>
    <n v="61"/>
    <n v="19"/>
    <n v="20"/>
    <x v="33"/>
    <n v="17"/>
    <n v="1"/>
    <n v="62"/>
    <n v="0.1"/>
    <n v="0"/>
    <n v="0"/>
  </r>
  <r>
    <x v="758"/>
    <n v="1"/>
    <n v="62"/>
    <n v="63"/>
    <n v="17"/>
    <n v="21"/>
    <x v="28"/>
    <n v="21"/>
    <n v="1"/>
    <n v="58"/>
    <n v="0.1"/>
    <n v="0"/>
    <n v="0"/>
  </r>
  <r>
    <x v="759"/>
    <n v="1"/>
    <n v="58"/>
    <n v="59"/>
    <n v="21"/>
    <n v="22"/>
    <x v="24"/>
    <n v="20"/>
    <n v="3"/>
    <n v="57"/>
    <n v="0.30000000000000004"/>
    <n v="0"/>
    <n v="0"/>
  </r>
  <r>
    <x v="760"/>
    <n v="3"/>
    <n v="57"/>
    <n v="60"/>
    <n v="20"/>
    <n v="19"/>
    <x v="28"/>
    <n v="22"/>
    <n v="0"/>
    <n v="58"/>
    <n v="0"/>
    <n v="0"/>
    <n v="0"/>
  </r>
  <r>
    <x v="761"/>
    <n v="0"/>
    <n v="58"/>
    <n v="58"/>
    <n v="22"/>
    <n v="17"/>
    <x v="22"/>
    <n v="18"/>
    <n v="-1"/>
    <n v="63"/>
    <n v="0"/>
    <n v="1"/>
    <n v="1"/>
  </r>
  <r>
    <x v="762"/>
    <n v="-1"/>
    <n v="63"/>
    <n v="62"/>
    <n v="18"/>
    <n v="21"/>
    <x v="4"/>
    <n v="14"/>
    <n v="6"/>
    <n v="60"/>
    <n v="0.60000000000000009"/>
    <n v="0"/>
    <n v="0"/>
  </r>
  <r>
    <x v="763"/>
    <n v="6"/>
    <n v="60"/>
    <n v="66"/>
    <n v="14"/>
    <n v="20"/>
    <x v="16"/>
    <n v="18"/>
    <n v="8"/>
    <n v="54"/>
    <n v="0.8"/>
    <n v="0"/>
    <n v="0"/>
  </r>
  <r>
    <x v="764"/>
    <n v="8"/>
    <n v="54"/>
    <n v="62"/>
    <n v="18"/>
    <n v="22"/>
    <x v="13"/>
    <n v="21"/>
    <n v="9"/>
    <n v="50"/>
    <n v="0.9"/>
    <n v="0"/>
    <n v="0"/>
  </r>
  <r>
    <x v="765"/>
    <n v="9"/>
    <n v="50"/>
    <n v="59"/>
    <n v="21"/>
    <n v="18"/>
    <x v="12"/>
    <n v="26"/>
    <n v="1"/>
    <n v="53"/>
    <n v="0.1"/>
    <n v="0"/>
    <n v="0"/>
  </r>
  <r>
    <x v="766"/>
    <n v="1"/>
    <n v="53"/>
    <n v="54"/>
    <n v="26"/>
    <n v="14"/>
    <x v="26"/>
    <n v="23"/>
    <n v="-8"/>
    <n v="65"/>
    <n v="0"/>
    <n v="1"/>
    <n v="8"/>
  </r>
  <r>
    <x v="767"/>
    <n v="-8"/>
    <n v="65"/>
    <n v="57"/>
    <n v="23"/>
    <n v="18"/>
    <x v="6"/>
    <n v="15"/>
    <n v="-5"/>
    <n v="70"/>
    <n v="0"/>
    <n v="1"/>
    <n v="5"/>
  </r>
  <r>
    <x v="768"/>
    <n v="-5"/>
    <n v="70"/>
    <n v="65"/>
    <n v="15"/>
    <n v="21"/>
    <x v="8"/>
    <n v="16"/>
    <n v="0"/>
    <n v="64"/>
    <n v="0"/>
    <n v="0"/>
    <n v="0"/>
  </r>
  <r>
    <x v="769"/>
    <n v="0"/>
    <n v="64"/>
    <n v="64"/>
    <n v="16"/>
    <n v="26"/>
    <x v="16"/>
    <n v="24"/>
    <n v="2"/>
    <n v="54"/>
    <n v="0.2"/>
    <n v="0"/>
    <n v="0"/>
  </r>
  <r>
    <x v="770"/>
    <n v="2"/>
    <n v="54"/>
    <n v="56"/>
    <n v="24"/>
    <n v="23"/>
    <x v="27"/>
    <n v="17"/>
    <n v="8"/>
    <n v="55"/>
    <n v="0.8"/>
    <n v="0"/>
    <n v="0"/>
  </r>
  <r>
    <x v="771"/>
    <n v="8"/>
    <n v="55"/>
    <n v="63"/>
    <n v="17"/>
    <n v="15"/>
    <x v="24"/>
    <n v="19"/>
    <n v="4"/>
    <n v="57"/>
    <n v="0.4"/>
    <n v="0"/>
    <n v="0"/>
  </r>
  <r>
    <x v="772"/>
    <n v="4"/>
    <n v="57"/>
    <n v="61"/>
    <n v="19"/>
    <n v="16"/>
    <x v="4"/>
    <n v="21"/>
    <n v="-1"/>
    <n v="60"/>
    <n v="0"/>
    <n v="1"/>
    <n v="1"/>
  </r>
  <r>
    <x v="773"/>
    <n v="-1"/>
    <n v="60"/>
    <n v="59"/>
    <n v="21"/>
    <n v="24"/>
    <x v="24"/>
    <n v="24"/>
    <n v="-1"/>
    <n v="57"/>
    <n v="0"/>
    <n v="1"/>
    <n v="1"/>
  </r>
  <r>
    <x v="774"/>
    <n v="-1"/>
    <n v="57"/>
    <n v="56"/>
    <n v="24"/>
    <n v="17"/>
    <x v="8"/>
    <n v="22"/>
    <n v="-6"/>
    <n v="64"/>
    <n v="0"/>
    <n v="1"/>
    <n v="6"/>
  </r>
  <r>
    <x v="775"/>
    <n v="-6"/>
    <n v="64"/>
    <n v="58"/>
    <n v="22"/>
    <n v="19"/>
    <x v="21"/>
    <n v="22"/>
    <n v="-9"/>
    <n v="67"/>
    <n v="0"/>
    <n v="1"/>
    <n v="9"/>
  </r>
  <r>
    <x v="776"/>
    <n v="-9"/>
    <n v="67"/>
    <n v="58"/>
    <n v="22"/>
    <n v="21"/>
    <x v="17"/>
    <n v="21"/>
    <n v="-9"/>
    <n v="68"/>
    <n v="0"/>
    <n v="1"/>
    <n v="9"/>
  </r>
  <r>
    <x v="777"/>
    <n v="-9"/>
    <n v="68"/>
    <n v="59"/>
    <n v="21"/>
    <n v="24"/>
    <x v="26"/>
    <n v="21"/>
    <n v="-6"/>
    <n v="65"/>
    <n v="0"/>
    <n v="1"/>
    <n v="6"/>
  </r>
  <r>
    <x v="778"/>
    <n v="-6"/>
    <n v="65"/>
    <n v="59"/>
    <n v="21"/>
    <n v="22"/>
    <x v="8"/>
    <n v="21"/>
    <n v="-5"/>
    <n v="64"/>
    <n v="0"/>
    <n v="1"/>
    <n v="5"/>
  </r>
  <r>
    <x v="779"/>
    <n v="-5"/>
    <n v="64"/>
    <n v="59"/>
    <n v="21"/>
    <n v="22"/>
    <x v="22"/>
    <n v="20"/>
    <n v="-3"/>
    <n v="63"/>
    <n v="0"/>
    <n v="1"/>
    <n v="3"/>
  </r>
  <r>
    <x v="780"/>
    <n v="-3"/>
    <n v="63"/>
    <n v="60"/>
    <n v="20"/>
    <n v="21"/>
    <x v="33"/>
    <n v="28"/>
    <n v="-10"/>
    <n v="62"/>
    <n v="0"/>
    <n v="1"/>
    <n v="10"/>
  </r>
  <r>
    <x v="781"/>
    <n v="-10"/>
    <n v="62"/>
    <n v="52"/>
    <n v="28"/>
    <n v="21"/>
    <x v="30"/>
    <n v="9"/>
    <n v="2"/>
    <n v="69"/>
    <n v="0.2"/>
    <n v="0"/>
    <n v="0"/>
  </r>
  <r>
    <x v="782"/>
    <n v="2"/>
    <n v="69"/>
    <n v="71"/>
    <n v="9"/>
    <n v="21"/>
    <x v="24"/>
    <n v="18"/>
    <n v="5"/>
    <n v="57"/>
    <n v="0.5"/>
    <n v="0"/>
    <n v="0"/>
  </r>
  <r>
    <x v="783"/>
    <n v="5"/>
    <n v="57"/>
    <n v="62"/>
    <n v="18"/>
    <n v="20"/>
    <x v="27"/>
    <n v="18"/>
    <n v="7"/>
    <n v="55"/>
    <n v="0.70000000000000007"/>
    <n v="0"/>
    <n v="0"/>
  </r>
  <r>
    <x v="784"/>
    <n v="7"/>
    <n v="55"/>
    <n v="62"/>
    <n v="18"/>
    <n v="28"/>
    <x v="11"/>
    <n v="17"/>
    <n v="18"/>
    <n v="45"/>
    <n v="1.8"/>
    <n v="0"/>
    <n v="0"/>
  </r>
  <r>
    <x v="785"/>
    <n v="18"/>
    <n v="45"/>
    <n v="63"/>
    <n v="17"/>
    <n v="9"/>
    <x v="12"/>
    <n v="17"/>
    <n v="10"/>
    <n v="53"/>
    <n v="1"/>
    <n v="0"/>
    <n v="0"/>
  </r>
  <r>
    <x v="786"/>
    <n v="10"/>
    <n v="53"/>
    <n v="63"/>
    <n v="17"/>
    <n v="18"/>
    <x v="25"/>
    <n v="27"/>
    <n v="1"/>
    <n v="52"/>
    <n v="0.1"/>
    <n v="0"/>
    <n v="0"/>
  </r>
  <r>
    <x v="787"/>
    <n v="1"/>
    <n v="52"/>
    <n v="53"/>
    <n v="27"/>
    <n v="18"/>
    <x v="23"/>
    <n v="27"/>
    <n v="-8"/>
    <n v="61"/>
    <n v="0"/>
    <n v="1"/>
    <n v="8"/>
  </r>
  <r>
    <x v="788"/>
    <n v="-8"/>
    <n v="61"/>
    <n v="53"/>
    <n v="27"/>
    <n v="17"/>
    <x v="20"/>
    <n v="29"/>
    <n v="-20"/>
    <n v="71"/>
    <n v="0"/>
    <n v="1"/>
    <n v="20"/>
  </r>
  <r>
    <x v="789"/>
    <n v="-20"/>
    <n v="71"/>
    <n v="51"/>
    <n v="29"/>
    <n v="17"/>
    <x v="42"/>
    <n v="24"/>
    <n v="-27"/>
    <n v="83"/>
    <n v="0"/>
    <n v="1"/>
    <n v="24"/>
  </r>
  <r>
    <x v="790"/>
    <n v="-27"/>
    <n v="83"/>
    <n v="56"/>
    <n v="24"/>
    <n v="27"/>
    <x v="0"/>
    <n v="16"/>
    <n v="-16"/>
    <n v="80"/>
    <n v="0"/>
    <n v="1"/>
    <n v="16"/>
  </r>
  <r>
    <x v="791"/>
    <n v="-16"/>
    <n v="80"/>
    <n v="64"/>
    <n v="16"/>
    <n v="27"/>
    <x v="30"/>
    <n v="24"/>
    <n v="-13"/>
    <n v="69"/>
    <n v="0"/>
    <n v="1"/>
    <n v="13"/>
  </r>
  <r>
    <x v="792"/>
    <n v="-13"/>
    <n v="69"/>
    <n v="56"/>
    <n v="24"/>
    <n v="29"/>
    <x v="8"/>
    <n v="22"/>
    <n v="-6"/>
    <n v="64"/>
    <n v="0"/>
    <n v="1"/>
    <n v="6"/>
  </r>
  <r>
    <x v="793"/>
    <n v="-6"/>
    <n v="64"/>
    <n v="58"/>
    <n v="22"/>
    <n v="24"/>
    <x v="33"/>
    <n v="16"/>
    <n v="2"/>
    <n v="62"/>
    <n v="0.2"/>
    <n v="0"/>
    <n v="0"/>
  </r>
  <r>
    <x v="794"/>
    <n v="2"/>
    <n v="62"/>
    <n v="64"/>
    <n v="16"/>
    <n v="16"/>
    <x v="33"/>
    <n v="20"/>
    <n v="-2"/>
    <n v="62"/>
    <n v="0"/>
    <n v="1"/>
    <n v="2"/>
  </r>
  <r>
    <x v="795"/>
    <n v="-2"/>
    <n v="62"/>
    <n v="60"/>
    <n v="20"/>
    <n v="24"/>
    <x v="28"/>
    <n v="19"/>
    <n v="3"/>
    <n v="58"/>
    <n v="0.30000000000000004"/>
    <n v="0"/>
    <n v="0"/>
  </r>
  <r>
    <x v="796"/>
    <n v="3"/>
    <n v="58"/>
    <n v="61"/>
    <n v="19"/>
    <n v="22"/>
    <x v="27"/>
    <n v="24"/>
    <n v="1"/>
    <n v="55"/>
    <n v="0.1"/>
    <n v="0"/>
    <n v="0"/>
  </r>
  <r>
    <x v="797"/>
    <n v="1"/>
    <n v="55"/>
    <n v="56"/>
    <n v="24"/>
    <n v="16"/>
    <x v="22"/>
    <n v="15"/>
    <n v="2"/>
    <n v="63"/>
    <n v="0.2"/>
    <n v="0"/>
    <n v="0"/>
  </r>
  <r>
    <x v="798"/>
    <n v="2"/>
    <n v="63"/>
    <n v="65"/>
    <n v="15"/>
    <n v="20"/>
    <x v="28"/>
    <n v="15"/>
    <n v="7"/>
    <n v="58"/>
    <n v="0.70000000000000007"/>
    <n v="0"/>
    <n v="0"/>
  </r>
  <r>
    <x v="799"/>
    <n v="7"/>
    <n v="58"/>
    <n v="65"/>
    <n v="15"/>
    <n v="19"/>
    <x v="16"/>
    <n v="21"/>
    <n v="5"/>
    <n v="54"/>
    <n v="0.5"/>
    <n v="0"/>
    <n v="0"/>
  </r>
  <r>
    <x v="800"/>
    <n v="5"/>
    <n v="54"/>
    <n v="59"/>
    <n v="21"/>
    <n v="24"/>
    <x v="9"/>
    <n v="17"/>
    <n v="12"/>
    <n v="51"/>
    <n v="1.2000000000000002"/>
    <n v="0"/>
    <n v="0"/>
  </r>
  <r>
    <x v="801"/>
    <n v="12"/>
    <n v="51"/>
    <n v="63"/>
    <n v="17"/>
    <n v="15"/>
    <x v="12"/>
    <n v="22"/>
    <n v="5"/>
    <n v="53"/>
    <n v="0.5"/>
    <n v="0"/>
    <n v="0"/>
  </r>
  <r>
    <x v="802"/>
    <n v="5"/>
    <n v="53"/>
    <n v="58"/>
    <n v="22"/>
    <n v="15"/>
    <x v="4"/>
    <n v="20"/>
    <n v="0"/>
    <n v="60"/>
    <n v="0"/>
    <n v="0"/>
    <n v="0"/>
  </r>
  <r>
    <x v="803"/>
    <n v="0"/>
    <n v="60"/>
    <n v="60"/>
    <n v="20"/>
    <n v="21"/>
    <x v="5"/>
    <n v="22"/>
    <n v="-1"/>
    <n v="59"/>
    <n v="0"/>
    <n v="1"/>
    <n v="1"/>
  </r>
  <r>
    <x v="804"/>
    <n v="-1"/>
    <n v="59"/>
    <n v="58"/>
    <n v="22"/>
    <n v="17"/>
    <x v="8"/>
    <n v="20"/>
    <n v="-4"/>
    <n v="64"/>
    <n v="0"/>
    <n v="1"/>
    <n v="4"/>
  </r>
  <r>
    <x v="805"/>
    <n v="-4"/>
    <n v="64"/>
    <n v="60"/>
    <n v="20"/>
    <n v="22"/>
    <x v="33"/>
    <n v="23"/>
    <n v="-5"/>
    <n v="62"/>
    <n v="0"/>
    <n v="1"/>
    <n v="5"/>
  </r>
  <r>
    <x v="806"/>
    <n v="-5"/>
    <n v="62"/>
    <n v="57"/>
    <n v="23"/>
    <n v="20"/>
    <x v="26"/>
    <n v="21"/>
    <n v="-6"/>
    <n v="65"/>
    <n v="0"/>
    <n v="1"/>
    <n v="6"/>
  </r>
  <r>
    <x v="807"/>
    <n v="-6"/>
    <n v="65"/>
    <n v="59"/>
    <n v="21"/>
    <n v="22"/>
    <x v="8"/>
    <n v="18"/>
    <n v="-2"/>
    <n v="64"/>
    <n v="0"/>
    <n v="1"/>
    <n v="2"/>
  </r>
  <r>
    <x v="808"/>
    <n v="-2"/>
    <n v="64"/>
    <n v="62"/>
    <n v="18"/>
    <n v="20"/>
    <x v="33"/>
    <n v="15"/>
    <n v="3"/>
    <n v="62"/>
    <n v="0.30000000000000004"/>
    <n v="0"/>
    <n v="0"/>
  </r>
  <r>
    <x v="809"/>
    <n v="3"/>
    <n v="62"/>
    <n v="65"/>
    <n v="15"/>
    <n v="23"/>
    <x v="16"/>
    <n v="23"/>
    <n v="3"/>
    <n v="54"/>
    <n v="0.30000000000000004"/>
    <n v="0"/>
    <n v="0"/>
  </r>
  <r>
    <x v="810"/>
    <n v="3"/>
    <n v="54"/>
    <n v="57"/>
    <n v="23"/>
    <n v="21"/>
    <x v="32"/>
    <n v="21"/>
    <n v="3"/>
    <n v="56"/>
    <n v="0.30000000000000004"/>
    <n v="0"/>
    <n v="0"/>
  </r>
  <r>
    <x v="811"/>
    <n v="3"/>
    <n v="56"/>
    <n v="59"/>
    <n v="21"/>
    <n v="18"/>
    <x v="5"/>
    <n v="22"/>
    <n v="-1"/>
    <n v="59"/>
    <n v="0"/>
    <n v="1"/>
    <n v="1"/>
  </r>
  <r>
    <x v="812"/>
    <n v="-1"/>
    <n v="59"/>
    <n v="58"/>
    <n v="22"/>
    <n v="15"/>
    <x v="7"/>
    <n v="24"/>
    <n v="-10"/>
    <n v="66"/>
    <n v="0"/>
    <n v="1"/>
    <n v="10"/>
  </r>
  <r>
    <x v="813"/>
    <n v="-10"/>
    <n v="66"/>
    <n v="56"/>
    <n v="24"/>
    <n v="23"/>
    <x v="21"/>
    <n v="16"/>
    <n v="-3"/>
    <n v="67"/>
    <n v="0"/>
    <n v="1"/>
    <n v="3"/>
  </r>
  <r>
    <x v="814"/>
    <n v="-3"/>
    <n v="67"/>
    <n v="64"/>
    <n v="16"/>
    <n v="21"/>
    <x v="33"/>
    <n v="23"/>
    <n v="-5"/>
    <n v="62"/>
    <n v="0"/>
    <n v="1"/>
    <n v="5"/>
  </r>
  <r>
    <x v="815"/>
    <n v="-5"/>
    <n v="62"/>
    <n v="57"/>
    <n v="23"/>
    <n v="22"/>
    <x v="22"/>
    <n v="23"/>
    <n v="-6"/>
    <n v="63"/>
    <n v="0"/>
    <n v="1"/>
    <n v="6"/>
  </r>
  <r>
    <x v="816"/>
    <n v="-6"/>
    <n v="63"/>
    <n v="57"/>
    <n v="23"/>
    <n v="24"/>
    <x v="33"/>
    <n v="19"/>
    <n v="-1"/>
    <n v="62"/>
    <n v="0"/>
    <n v="1"/>
    <n v="1"/>
  </r>
  <r>
    <x v="817"/>
    <n v="-1"/>
    <n v="62"/>
    <n v="61"/>
    <n v="19"/>
    <n v="16"/>
    <x v="26"/>
    <n v="19"/>
    <n v="-4"/>
    <n v="65"/>
    <n v="0"/>
    <n v="1"/>
    <n v="4"/>
  </r>
  <r>
    <x v="818"/>
    <n v="-4"/>
    <n v="65"/>
    <n v="61"/>
    <n v="19"/>
    <n v="23"/>
    <x v="23"/>
    <n v="15"/>
    <n v="4"/>
    <n v="61"/>
    <n v="0.4"/>
    <n v="0"/>
    <n v="0"/>
  </r>
  <r>
    <x v="819"/>
    <n v="4"/>
    <n v="61"/>
    <n v="65"/>
    <n v="15"/>
    <n v="23"/>
    <x v="12"/>
    <n v="18"/>
    <n v="9"/>
    <n v="53"/>
    <n v="0.9"/>
    <n v="0"/>
    <n v="0"/>
  </r>
  <r>
    <x v="820"/>
    <n v="9"/>
    <n v="53"/>
    <n v="62"/>
    <n v="18"/>
    <n v="19"/>
    <x v="25"/>
    <n v="25"/>
    <n v="3"/>
    <n v="52"/>
    <n v="0.30000000000000004"/>
    <n v="0"/>
    <n v="0"/>
  </r>
  <r>
    <x v="821"/>
    <n v="3"/>
    <n v="52"/>
    <n v="55"/>
    <n v="25"/>
    <n v="19"/>
    <x v="28"/>
    <n v="26"/>
    <n v="-4"/>
    <n v="58"/>
    <n v="0"/>
    <n v="1"/>
    <n v="4"/>
  </r>
  <r>
    <x v="822"/>
    <n v="-4"/>
    <n v="58"/>
    <n v="54"/>
    <n v="26"/>
    <n v="15"/>
    <x v="30"/>
    <n v="22"/>
    <n v="-11"/>
    <n v="69"/>
    <n v="0"/>
    <n v="1"/>
    <n v="11"/>
  </r>
  <r>
    <x v="823"/>
    <n v="-11"/>
    <n v="69"/>
    <n v="58"/>
    <n v="22"/>
    <n v="18"/>
    <x v="31"/>
    <n v="18"/>
    <n v="-11"/>
    <n v="73"/>
    <n v="0"/>
    <n v="1"/>
    <n v="11"/>
  </r>
  <r>
    <x v="824"/>
    <n v="-11"/>
    <n v="73"/>
    <n v="62"/>
    <n v="18"/>
    <n v="25"/>
    <x v="7"/>
    <n v="27"/>
    <n v="-13"/>
    <n v="66"/>
    <n v="0"/>
    <n v="1"/>
    <n v="13"/>
  </r>
  <r>
    <x v="825"/>
    <n v="-13"/>
    <n v="66"/>
    <n v="53"/>
    <n v="27"/>
    <n v="26"/>
    <x v="21"/>
    <n v="29"/>
    <n v="-16"/>
    <n v="67"/>
    <n v="0"/>
    <n v="1"/>
    <n v="16"/>
  </r>
  <r>
    <x v="826"/>
    <n v="-16"/>
    <n v="67"/>
    <n v="51"/>
    <n v="29"/>
    <n v="22"/>
    <x v="39"/>
    <n v="22"/>
    <n v="-16"/>
    <n v="74"/>
    <n v="0"/>
    <n v="1"/>
    <n v="16"/>
  </r>
  <r>
    <x v="827"/>
    <n v="-16"/>
    <n v="74"/>
    <n v="58"/>
    <n v="22"/>
    <n v="18"/>
    <x v="35"/>
    <n v="23"/>
    <n v="-21"/>
    <n v="78"/>
    <n v="0"/>
    <n v="1"/>
    <n v="21"/>
  </r>
  <r>
    <x v="828"/>
    <n v="-21"/>
    <n v="78"/>
    <n v="57"/>
    <n v="23"/>
    <n v="27"/>
    <x v="39"/>
    <n v="9"/>
    <n v="-3"/>
    <n v="74"/>
    <n v="0"/>
    <n v="1"/>
    <n v="3"/>
  </r>
  <r>
    <x v="829"/>
    <n v="-3"/>
    <n v="74"/>
    <n v="71"/>
    <n v="9"/>
    <n v="29"/>
    <x v="16"/>
    <n v="20"/>
    <n v="6"/>
    <n v="54"/>
    <n v="0.60000000000000009"/>
    <n v="0"/>
    <n v="0"/>
  </r>
  <r>
    <x v="830"/>
    <n v="6"/>
    <n v="54"/>
    <n v="60"/>
    <n v="20"/>
    <n v="22"/>
    <x v="25"/>
    <n v="22"/>
    <n v="6"/>
    <n v="52"/>
    <n v="0.60000000000000009"/>
    <n v="0"/>
    <n v="0"/>
  </r>
  <r>
    <x v="831"/>
    <n v="6"/>
    <n v="52"/>
    <n v="58"/>
    <n v="22"/>
    <n v="23"/>
    <x v="9"/>
    <n v="26"/>
    <n v="3"/>
    <n v="51"/>
    <n v="0.30000000000000004"/>
    <n v="0"/>
    <n v="0"/>
  </r>
  <r>
    <x v="832"/>
    <n v="3"/>
    <n v="51"/>
    <n v="54"/>
    <n v="26"/>
    <n v="9"/>
    <x v="17"/>
    <n v="27"/>
    <n v="-15"/>
    <n v="68"/>
    <n v="0"/>
    <n v="1"/>
    <n v="15"/>
  </r>
  <r>
    <x v="833"/>
    <n v="-15"/>
    <n v="68"/>
    <n v="53"/>
    <n v="27"/>
    <n v="20"/>
    <x v="44"/>
    <n v="17"/>
    <n v="-12"/>
    <n v="75"/>
    <n v="0"/>
    <n v="1"/>
    <n v="12"/>
  </r>
  <r>
    <x v="834"/>
    <n v="-12"/>
    <n v="75"/>
    <n v="63"/>
    <n v="17"/>
    <n v="22"/>
    <x v="6"/>
    <n v="24"/>
    <n v="-14"/>
    <n v="70"/>
    <n v="0"/>
    <n v="1"/>
    <n v="14"/>
  </r>
  <r>
    <x v="835"/>
    <n v="-14"/>
    <n v="70"/>
    <n v="56"/>
    <n v="24"/>
    <n v="26"/>
    <x v="17"/>
    <n v="22"/>
    <n v="-10"/>
    <n v="68"/>
    <n v="0"/>
    <n v="1"/>
    <n v="10"/>
  </r>
  <r>
    <x v="836"/>
    <n v="-10"/>
    <n v="68"/>
    <n v="58"/>
    <n v="22"/>
    <n v="27"/>
    <x v="22"/>
    <n v="21"/>
    <n v="-4"/>
    <n v="63"/>
    <n v="0"/>
    <n v="1"/>
    <n v="4"/>
  </r>
  <r>
    <x v="837"/>
    <n v="-4"/>
    <n v="63"/>
    <n v="59"/>
    <n v="21"/>
    <n v="17"/>
    <x v="21"/>
    <n v="27"/>
    <n v="-14"/>
    <n v="67"/>
    <n v="0"/>
    <n v="1"/>
    <n v="14"/>
  </r>
  <r>
    <x v="838"/>
    <n v="-14"/>
    <n v="67"/>
    <n v="53"/>
    <n v="27"/>
    <n v="24"/>
    <x v="6"/>
    <n v="26"/>
    <n v="-16"/>
    <n v="70"/>
    <n v="0"/>
    <n v="1"/>
    <n v="16"/>
  </r>
  <r>
    <x v="839"/>
    <n v="-16"/>
    <n v="70"/>
    <n v="54"/>
    <n v="26"/>
    <n v="22"/>
    <x v="39"/>
    <n v="13"/>
    <n v="-7"/>
    <n v="74"/>
    <n v="0"/>
    <n v="1"/>
    <n v="7"/>
  </r>
  <r>
    <x v="840"/>
    <n v="-7"/>
    <n v="74"/>
    <n v="67"/>
    <n v="13"/>
    <n v="21"/>
    <x v="7"/>
    <n v="17"/>
    <n v="-3"/>
    <n v="66"/>
    <n v="0"/>
    <n v="1"/>
    <n v="3"/>
  </r>
  <r>
    <x v="841"/>
    <n v="-3"/>
    <n v="66"/>
    <n v="63"/>
    <n v="17"/>
    <n v="27"/>
    <x v="32"/>
    <n v="24"/>
    <n v="0"/>
    <n v="56"/>
    <n v="0"/>
    <n v="0"/>
    <n v="0"/>
  </r>
  <r>
    <x v="842"/>
    <n v="0"/>
    <n v="56"/>
    <n v="56"/>
    <n v="24"/>
    <n v="26"/>
    <x v="16"/>
    <n v="22"/>
    <n v="4"/>
    <n v="54"/>
    <n v="0.4"/>
    <n v="0"/>
    <n v="0"/>
  </r>
  <r>
    <x v="843"/>
    <n v="4"/>
    <n v="54"/>
    <n v="58"/>
    <n v="22"/>
    <n v="13"/>
    <x v="22"/>
    <n v="20"/>
    <n v="-3"/>
    <n v="63"/>
    <n v="0"/>
    <n v="1"/>
    <n v="3"/>
  </r>
  <r>
    <x v="844"/>
    <n v="-3"/>
    <n v="63"/>
    <n v="60"/>
    <n v="20"/>
    <n v="17"/>
    <x v="7"/>
    <n v="23"/>
    <n v="-9"/>
    <n v="66"/>
    <n v="0"/>
    <n v="1"/>
    <n v="9"/>
  </r>
  <r>
    <x v="845"/>
    <n v="-9"/>
    <n v="66"/>
    <n v="57"/>
    <n v="23"/>
    <n v="24"/>
    <x v="26"/>
    <n v="24"/>
    <n v="-9"/>
    <n v="65"/>
    <n v="0"/>
    <n v="1"/>
    <n v="9"/>
  </r>
  <r>
    <x v="846"/>
    <n v="-9"/>
    <n v="65"/>
    <n v="56"/>
    <n v="24"/>
    <n v="22"/>
    <x v="21"/>
    <n v="23"/>
    <n v="-10"/>
    <n v="67"/>
    <n v="0"/>
    <n v="1"/>
    <n v="10"/>
  </r>
  <r>
    <x v="847"/>
    <n v="-10"/>
    <n v="67"/>
    <n v="57"/>
    <n v="23"/>
    <n v="20"/>
    <x v="6"/>
    <n v="30"/>
    <n v="-20"/>
    <n v="70"/>
    <n v="0"/>
    <n v="1"/>
    <n v="20"/>
  </r>
  <r>
    <x v="848"/>
    <n v="-20"/>
    <n v="70"/>
    <n v="50"/>
    <n v="30"/>
    <n v="23"/>
    <x v="18"/>
    <n v="22"/>
    <n v="-19"/>
    <n v="77"/>
    <n v="0"/>
    <n v="1"/>
    <n v="19"/>
  </r>
  <r>
    <x v="849"/>
    <n v="-19"/>
    <n v="77"/>
    <n v="58"/>
    <n v="22"/>
    <n v="24"/>
    <x v="44"/>
    <n v="16"/>
    <n v="-11"/>
    <n v="75"/>
    <n v="0"/>
    <n v="1"/>
    <n v="11"/>
  </r>
  <r>
    <x v="850"/>
    <n v="-11"/>
    <n v="75"/>
    <n v="64"/>
    <n v="16"/>
    <n v="23"/>
    <x v="17"/>
    <n v="21"/>
    <n v="-9"/>
    <n v="68"/>
    <n v="0"/>
    <n v="1"/>
    <n v="9"/>
  </r>
  <r>
    <x v="851"/>
    <n v="-9"/>
    <n v="68"/>
    <n v="59"/>
    <n v="21"/>
    <n v="30"/>
    <x v="5"/>
    <n v="29"/>
    <n v="-8"/>
    <n v="59"/>
    <n v="0"/>
    <n v="1"/>
    <n v="8"/>
  </r>
  <r>
    <x v="852"/>
    <n v="-8"/>
    <n v="59"/>
    <n v="51"/>
    <n v="29"/>
    <n v="22"/>
    <x v="7"/>
    <n v="24"/>
    <n v="-10"/>
    <n v="66"/>
    <n v="0"/>
    <n v="1"/>
    <n v="10"/>
  </r>
  <r>
    <x v="853"/>
    <n v="-10"/>
    <n v="66"/>
    <n v="56"/>
    <n v="24"/>
    <n v="16"/>
    <x v="39"/>
    <n v="17"/>
    <n v="-11"/>
    <n v="74"/>
    <n v="0"/>
    <n v="1"/>
    <n v="11"/>
  </r>
  <r>
    <x v="854"/>
    <n v="-11"/>
    <n v="74"/>
    <n v="63"/>
    <n v="17"/>
    <n v="21"/>
    <x v="6"/>
    <n v="23"/>
    <n v="-13"/>
    <n v="70"/>
    <n v="0"/>
    <n v="1"/>
    <n v="13"/>
  </r>
  <r>
    <x v="855"/>
    <n v="-13"/>
    <n v="70"/>
    <n v="57"/>
    <n v="23"/>
    <n v="29"/>
    <x v="8"/>
    <n v="22"/>
    <n v="-6"/>
    <n v="64"/>
    <n v="0"/>
    <n v="1"/>
    <n v="6"/>
  </r>
  <r>
    <x v="856"/>
    <n v="-6"/>
    <n v="64"/>
    <n v="58"/>
    <n v="22"/>
    <n v="24"/>
    <x v="33"/>
    <n v="17"/>
    <n v="1"/>
    <n v="62"/>
    <n v="0.1"/>
    <n v="0"/>
    <n v="0"/>
  </r>
  <r>
    <x v="857"/>
    <n v="1"/>
    <n v="62"/>
    <n v="63"/>
    <n v="17"/>
    <n v="17"/>
    <x v="33"/>
    <n v="14"/>
    <n v="4"/>
    <n v="62"/>
    <n v="0.4"/>
    <n v="0"/>
    <n v="0"/>
  </r>
  <r>
    <x v="858"/>
    <n v="4"/>
    <n v="62"/>
    <n v="66"/>
    <n v="14"/>
    <n v="23"/>
    <x v="12"/>
    <n v="21"/>
    <n v="6"/>
    <n v="53"/>
    <n v="0.60000000000000009"/>
    <n v="0"/>
    <n v="0"/>
  </r>
  <r>
    <x v="859"/>
    <n v="6"/>
    <n v="53"/>
    <n v="59"/>
    <n v="21"/>
    <n v="22"/>
    <x v="25"/>
    <n v="14"/>
    <n v="14"/>
    <n v="52"/>
    <n v="1.4000000000000001"/>
    <n v="0"/>
    <n v="0"/>
  </r>
  <r>
    <x v="860"/>
    <n v="14"/>
    <n v="52"/>
    <n v="66"/>
    <n v="14"/>
    <n v="17"/>
    <x v="10"/>
    <n v="22"/>
    <n v="9"/>
    <n v="49"/>
    <n v="0.9"/>
    <n v="0"/>
    <n v="0"/>
  </r>
  <r>
    <x v="861"/>
    <n v="9"/>
    <n v="49"/>
    <n v="58"/>
    <n v="22"/>
    <n v="14"/>
    <x v="24"/>
    <n v="22"/>
    <n v="1"/>
    <n v="57"/>
    <n v="0.1"/>
    <n v="0"/>
    <n v="0"/>
  </r>
  <r>
    <x v="862"/>
    <n v="1"/>
    <n v="57"/>
    <n v="58"/>
    <n v="22"/>
    <n v="21"/>
    <x v="28"/>
    <n v="23"/>
    <n v="-1"/>
    <n v="58"/>
    <n v="0"/>
    <n v="1"/>
    <n v="1"/>
  </r>
  <r>
    <x v="863"/>
    <n v="-1"/>
    <n v="58"/>
    <n v="57"/>
    <n v="23"/>
    <n v="14"/>
    <x v="21"/>
    <n v="25"/>
    <n v="-12"/>
    <n v="67"/>
    <n v="0"/>
    <n v="1"/>
    <n v="12"/>
  </r>
  <r>
    <x v="864"/>
    <n v="-12"/>
    <n v="67"/>
    <n v="55"/>
    <n v="25"/>
    <n v="22"/>
    <x v="6"/>
    <n v="15"/>
    <n v="-5"/>
    <n v="70"/>
    <n v="0"/>
    <n v="1"/>
    <n v="5"/>
  </r>
  <r>
    <x v="865"/>
    <n v="-5"/>
    <n v="70"/>
    <n v="65"/>
    <n v="15"/>
    <n v="22"/>
    <x v="22"/>
    <n v="22"/>
    <n v="-5"/>
    <n v="63"/>
    <n v="0"/>
    <n v="1"/>
    <n v="5"/>
  </r>
  <r>
    <x v="866"/>
    <n v="-5"/>
    <n v="63"/>
    <n v="58"/>
    <n v="22"/>
    <n v="23"/>
    <x v="33"/>
    <n v="24"/>
    <n v="-6"/>
    <n v="62"/>
    <n v="0"/>
    <n v="1"/>
    <n v="6"/>
  </r>
  <r>
    <x v="867"/>
    <n v="-6"/>
    <n v="62"/>
    <n v="56"/>
    <n v="24"/>
    <n v="25"/>
    <x v="23"/>
    <n v="17"/>
    <n v="2"/>
    <n v="61"/>
    <n v="0.2"/>
    <n v="0"/>
    <n v="0"/>
  </r>
  <r>
    <x v="868"/>
    <n v="2"/>
    <n v="61"/>
    <n v="63"/>
    <n v="17"/>
    <n v="15"/>
    <x v="22"/>
    <n v="22"/>
    <n v="-5"/>
    <n v="63"/>
    <n v="0"/>
    <n v="1"/>
    <n v="5"/>
  </r>
  <r>
    <x v="869"/>
    <n v="-5"/>
    <n v="63"/>
    <n v="58"/>
    <n v="22"/>
    <n v="22"/>
    <x v="22"/>
    <n v="20"/>
    <n v="-3"/>
    <n v="63"/>
    <n v="0"/>
    <n v="1"/>
    <n v="3"/>
  </r>
  <r>
    <x v="870"/>
    <n v="-3"/>
    <n v="63"/>
    <n v="60"/>
    <n v="20"/>
    <n v="24"/>
    <x v="5"/>
    <n v="16"/>
    <n v="5"/>
    <n v="59"/>
    <n v="0.5"/>
    <n v="0"/>
    <n v="0"/>
  </r>
  <r>
    <x v="871"/>
    <n v="5"/>
    <n v="59"/>
    <n v="64"/>
    <n v="16"/>
    <n v="17"/>
    <x v="28"/>
    <n v="21"/>
    <n v="1"/>
    <n v="58"/>
    <n v="0.1"/>
    <n v="0"/>
    <n v="0"/>
  </r>
  <r>
    <x v="872"/>
    <n v="1"/>
    <n v="58"/>
    <n v="59"/>
    <n v="21"/>
    <n v="22"/>
    <x v="24"/>
    <n v="23"/>
    <n v="0"/>
    <n v="57"/>
    <n v="0"/>
    <n v="0"/>
    <n v="0"/>
  </r>
  <r>
    <x v="873"/>
    <n v="0"/>
    <n v="57"/>
    <n v="57"/>
    <n v="23"/>
    <n v="20"/>
    <x v="4"/>
    <n v="17"/>
    <n v="3"/>
    <n v="60"/>
    <n v="0.30000000000000004"/>
    <n v="0"/>
    <n v="0"/>
  </r>
  <r>
    <x v="874"/>
    <n v="3"/>
    <n v="60"/>
    <n v="63"/>
    <n v="17"/>
    <n v="16"/>
    <x v="23"/>
    <n v="26"/>
    <n v="-7"/>
    <n v="61"/>
    <n v="0"/>
    <n v="1"/>
    <n v="7"/>
  </r>
  <r>
    <x v="875"/>
    <n v="-7"/>
    <n v="61"/>
    <n v="54"/>
    <n v="26"/>
    <n v="21"/>
    <x v="7"/>
    <n v="12"/>
    <n v="2"/>
    <n v="66"/>
    <n v="0.2"/>
    <n v="0"/>
    <n v="0"/>
  </r>
  <r>
    <x v="876"/>
    <n v="2"/>
    <n v="66"/>
    <n v="68"/>
    <n v="12"/>
    <n v="23"/>
    <x v="27"/>
    <n v="18"/>
    <n v="7"/>
    <n v="55"/>
    <n v="0.70000000000000007"/>
    <n v="0"/>
    <n v="0"/>
  </r>
  <r>
    <x v="877"/>
    <n v="7"/>
    <n v="55"/>
    <n v="62"/>
    <n v="18"/>
    <n v="17"/>
    <x v="32"/>
    <n v="23"/>
    <n v="1"/>
    <n v="56"/>
    <n v="0.1"/>
    <n v="0"/>
    <n v="0"/>
  </r>
  <r>
    <x v="878"/>
    <n v="1"/>
    <n v="56"/>
    <n v="57"/>
    <n v="23"/>
    <n v="26"/>
    <x v="12"/>
    <n v="15"/>
    <n v="12"/>
    <n v="53"/>
    <n v="1.2000000000000002"/>
    <n v="0"/>
    <n v="0"/>
  </r>
  <r>
    <x v="879"/>
    <n v="12"/>
    <n v="53"/>
    <n v="65"/>
    <n v="15"/>
    <n v="12"/>
    <x v="32"/>
    <n v="24"/>
    <n v="0"/>
    <n v="56"/>
    <n v="0"/>
    <n v="0"/>
    <n v="0"/>
  </r>
  <r>
    <x v="880"/>
    <n v="0"/>
    <n v="56"/>
    <n v="56"/>
    <n v="24"/>
    <n v="18"/>
    <x v="33"/>
    <n v="20"/>
    <n v="-2"/>
    <n v="62"/>
    <n v="0"/>
    <n v="1"/>
    <n v="2"/>
  </r>
  <r>
    <x v="881"/>
    <n v="-2"/>
    <n v="62"/>
    <n v="60"/>
    <n v="20"/>
    <n v="23"/>
    <x v="5"/>
    <n v="24"/>
    <n v="-3"/>
    <n v="59"/>
    <n v="0"/>
    <n v="1"/>
    <n v="3"/>
  </r>
  <r>
    <x v="882"/>
    <n v="-3"/>
    <n v="59"/>
    <n v="56"/>
    <n v="24"/>
    <n v="15"/>
    <x v="17"/>
    <n v="28"/>
    <n v="-16"/>
    <n v="68"/>
    <n v="0"/>
    <n v="1"/>
    <n v="16"/>
  </r>
  <r>
    <x v="883"/>
    <n v="-16"/>
    <n v="68"/>
    <n v="52"/>
    <n v="28"/>
    <n v="24"/>
    <x v="29"/>
    <n v="11"/>
    <n v="-3"/>
    <n v="72"/>
    <n v="0"/>
    <n v="1"/>
    <n v="3"/>
  </r>
  <r>
    <x v="884"/>
    <n v="-3"/>
    <n v="72"/>
    <n v="69"/>
    <n v="11"/>
    <n v="20"/>
    <x v="22"/>
    <n v="20"/>
    <n v="-3"/>
    <n v="63"/>
    <n v="0"/>
    <n v="1"/>
    <n v="3"/>
  </r>
  <r>
    <x v="885"/>
    <n v="-3"/>
    <n v="63"/>
    <n v="60"/>
    <n v="20"/>
    <n v="24"/>
    <x v="5"/>
    <n v="24"/>
    <n v="-3"/>
    <n v="59"/>
    <n v="0"/>
    <n v="1"/>
    <n v="3"/>
  </r>
  <r>
    <x v="886"/>
    <n v="-3"/>
    <n v="59"/>
    <n v="56"/>
    <n v="24"/>
    <n v="28"/>
    <x v="27"/>
    <n v="22"/>
    <n v="3"/>
    <n v="55"/>
    <n v="0.30000000000000004"/>
    <n v="0"/>
    <n v="0"/>
  </r>
  <r>
    <x v="887"/>
    <n v="3"/>
    <n v="55"/>
    <n v="58"/>
    <n v="22"/>
    <n v="11"/>
    <x v="7"/>
    <n v="30"/>
    <n v="-16"/>
    <n v="66"/>
    <n v="0"/>
    <n v="1"/>
    <n v="16"/>
  </r>
  <r>
    <x v="888"/>
    <n v="-16"/>
    <n v="66"/>
    <n v="50"/>
    <n v="30"/>
    <n v="20"/>
    <x v="37"/>
    <n v="22"/>
    <n v="-18"/>
    <n v="76"/>
    <n v="0"/>
    <n v="1"/>
    <n v="18"/>
  </r>
  <r>
    <x v="889"/>
    <n v="-18"/>
    <n v="76"/>
    <n v="58"/>
    <n v="22"/>
    <n v="24"/>
    <x v="39"/>
    <n v="23"/>
    <n v="-17"/>
    <n v="74"/>
    <n v="0"/>
    <n v="1"/>
    <n v="17"/>
  </r>
  <r>
    <x v="890"/>
    <n v="-17"/>
    <n v="74"/>
    <n v="57"/>
    <n v="23"/>
    <n v="22"/>
    <x v="44"/>
    <n v="21"/>
    <n v="-16"/>
    <n v="75"/>
    <n v="0"/>
    <n v="1"/>
    <n v="16"/>
  </r>
  <r>
    <x v="891"/>
    <n v="-16"/>
    <n v="75"/>
    <n v="59"/>
    <n v="21"/>
    <n v="30"/>
    <x v="7"/>
    <n v="13"/>
    <n v="1"/>
    <n v="66"/>
    <n v="0.1"/>
    <n v="0"/>
    <n v="0"/>
  </r>
  <r>
    <x v="892"/>
    <n v="1"/>
    <n v="66"/>
    <n v="67"/>
    <n v="13"/>
    <n v="22"/>
    <x v="24"/>
    <n v="17"/>
    <n v="6"/>
    <n v="57"/>
    <n v="0.60000000000000009"/>
    <n v="0"/>
    <n v="0"/>
  </r>
  <r>
    <x v="893"/>
    <n v="6"/>
    <n v="57"/>
    <n v="63"/>
    <n v="17"/>
    <n v="23"/>
    <x v="9"/>
    <n v="18"/>
    <n v="11"/>
    <n v="51"/>
    <n v="1.1000000000000001"/>
    <n v="0"/>
    <n v="0"/>
  </r>
  <r>
    <x v="894"/>
    <n v="11"/>
    <n v="51"/>
    <n v="62"/>
    <n v="18"/>
    <n v="21"/>
    <x v="15"/>
    <n v="18"/>
    <n v="14"/>
    <n v="48"/>
    <n v="1.4000000000000001"/>
    <n v="0"/>
    <n v="0"/>
  </r>
  <r>
    <x v="895"/>
    <n v="14"/>
    <n v="48"/>
    <n v="62"/>
    <n v="18"/>
    <n v="13"/>
    <x v="12"/>
    <n v="34"/>
    <n v="-7"/>
    <n v="53"/>
    <n v="0"/>
    <n v="1"/>
    <n v="7"/>
  </r>
  <r>
    <x v="896"/>
    <n v="-7"/>
    <n v="53"/>
    <n v="46"/>
    <n v="34"/>
    <n v="17"/>
    <x v="6"/>
    <n v="18"/>
    <n v="-8"/>
    <n v="70"/>
    <n v="0"/>
    <n v="1"/>
    <n v="8"/>
  </r>
  <r>
    <x v="897"/>
    <n v="-8"/>
    <n v="70"/>
    <n v="62"/>
    <n v="18"/>
    <n v="18"/>
    <x v="6"/>
    <n v="20"/>
    <n v="-10"/>
    <n v="70"/>
    <n v="0"/>
    <n v="1"/>
    <n v="10"/>
  </r>
  <r>
    <x v="898"/>
    <n v="-10"/>
    <n v="70"/>
    <n v="60"/>
    <n v="20"/>
    <n v="18"/>
    <x v="29"/>
    <n v="19"/>
    <n v="-11"/>
    <n v="72"/>
    <n v="0"/>
    <n v="1"/>
    <n v="11"/>
  </r>
  <r>
    <x v="899"/>
    <n v="-11"/>
    <n v="72"/>
    <n v="61"/>
    <n v="19"/>
    <n v="34"/>
    <x v="24"/>
    <n v="30"/>
    <n v="-7"/>
    <n v="57"/>
    <n v="0"/>
    <n v="1"/>
    <n v="7"/>
  </r>
  <r>
    <x v="900"/>
    <n v="-7"/>
    <n v="57"/>
    <n v="50"/>
    <n v="30"/>
    <n v="18"/>
    <x v="30"/>
    <n v="19"/>
    <n v="-8"/>
    <n v="69"/>
    <n v="0"/>
    <n v="1"/>
    <n v="8"/>
  </r>
  <r>
    <x v="901"/>
    <n v="-8"/>
    <n v="69"/>
    <n v="61"/>
    <n v="19"/>
    <n v="20"/>
    <x v="17"/>
    <n v="23"/>
    <n v="-11"/>
    <n v="68"/>
    <n v="0"/>
    <n v="1"/>
    <n v="11"/>
  </r>
  <r>
    <x v="902"/>
    <n v="-11"/>
    <n v="68"/>
    <n v="57"/>
    <n v="23"/>
    <n v="19"/>
    <x v="29"/>
    <n v="10"/>
    <n v="-2"/>
    <n v="72"/>
    <n v="0"/>
    <n v="1"/>
    <n v="2"/>
  </r>
  <r>
    <x v="903"/>
    <n v="-2"/>
    <n v="72"/>
    <n v="70"/>
    <n v="10"/>
    <n v="30"/>
    <x v="25"/>
    <n v="16"/>
    <n v="12"/>
    <n v="52"/>
    <n v="1.2000000000000002"/>
    <n v="0"/>
    <n v="0"/>
  </r>
  <r>
    <x v="904"/>
    <n v="12"/>
    <n v="52"/>
    <n v="64"/>
    <n v="16"/>
    <n v="19"/>
    <x v="10"/>
    <n v="29"/>
    <n v="2"/>
    <n v="49"/>
    <n v="0.2"/>
    <n v="0"/>
    <n v="0"/>
  </r>
  <r>
    <x v="905"/>
    <n v="2"/>
    <n v="49"/>
    <n v="51"/>
    <n v="29"/>
    <n v="23"/>
    <x v="27"/>
    <n v="17"/>
    <n v="8"/>
    <n v="55"/>
    <n v="0.8"/>
    <n v="0"/>
    <n v="0"/>
  </r>
  <r>
    <x v="906"/>
    <n v="8"/>
    <n v="55"/>
    <n v="63"/>
    <n v="17"/>
    <n v="10"/>
    <x v="33"/>
    <n v="30"/>
    <n v="-12"/>
    <n v="62"/>
    <n v="0"/>
    <n v="1"/>
    <n v="12"/>
  </r>
  <r>
    <x v="907"/>
    <n v="-12"/>
    <n v="62"/>
    <n v="50"/>
    <n v="30"/>
    <n v="16"/>
    <x v="37"/>
    <n v="9"/>
    <n v="-5"/>
    <n v="76"/>
    <n v="0"/>
    <n v="1"/>
    <n v="5"/>
  </r>
  <r>
    <x v="908"/>
    <n v="-5"/>
    <n v="76"/>
    <n v="71"/>
    <n v="9"/>
    <n v="29"/>
    <x v="32"/>
    <n v="13"/>
    <n v="11"/>
    <n v="56"/>
    <n v="1.1000000000000001"/>
    <n v="0"/>
    <n v="0"/>
  </r>
  <r>
    <x v="909"/>
    <n v="11"/>
    <n v="56"/>
    <n v="67"/>
    <n v="13"/>
    <n v="17"/>
    <x v="25"/>
    <n v="23"/>
    <n v="5"/>
    <n v="52"/>
    <n v="0.5"/>
    <n v="0"/>
    <n v="0"/>
  </r>
  <r>
    <x v="910"/>
    <n v="5"/>
    <n v="52"/>
    <n v="57"/>
    <n v="23"/>
    <n v="30"/>
    <x v="11"/>
    <n v="22"/>
    <n v="13"/>
    <n v="45"/>
    <n v="1.3"/>
    <n v="0"/>
    <n v="0"/>
  </r>
  <r>
    <x v="911"/>
    <n v="13"/>
    <n v="45"/>
    <n v="58"/>
    <n v="22"/>
    <n v="9"/>
    <x v="28"/>
    <n v="10"/>
    <n v="12"/>
    <n v="58"/>
    <n v="1.2000000000000002"/>
    <n v="0"/>
    <n v="0"/>
  </r>
  <r>
    <x v="912"/>
    <n v="12"/>
    <n v="58"/>
    <n v="70"/>
    <n v="10"/>
    <n v="13"/>
    <x v="27"/>
    <n v="19"/>
    <n v="6"/>
    <n v="55"/>
    <n v="0.60000000000000009"/>
    <n v="0"/>
    <n v="0"/>
  </r>
  <r>
    <x v="913"/>
    <n v="6"/>
    <n v="55"/>
    <n v="61"/>
    <n v="19"/>
    <n v="23"/>
    <x v="9"/>
    <n v="23"/>
    <n v="6"/>
    <n v="51"/>
    <n v="0.60000000000000009"/>
    <n v="0"/>
    <n v="0"/>
  </r>
  <r>
    <x v="914"/>
    <n v="6"/>
    <n v="51"/>
    <n v="57"/>
    <n v="23"/>
    <n v="22"/>
    <x v="25"/>
    <n v="13"/>
    <n v="15"/>
    <n v="52"/>
    <n v="1.5"/>
    <n v="0"/>
    <n v="0"/>
  </r>
  <r>
    <x v="915"/>
    <n v="15"/>
    <n v="52"/>
    <n v="67"/>
    <n v="13"/>
    <n v="10"/>
    <x v="27"/>
    <n v="17"/>
    <n v="8"/>
    <n v="55"/>
    <n v="0.8"/>
    <n v="0"/>
    <n v="0"/>
  </r>
  <r>
    <x v="916"/>
    <n v="8"/>
    <n v="55"/>
    <n v="63"/>
    <n v="17"/>
    <n v="19"/>
    <x v="12"/>
    <n v="19"/>
    <n v="8"/>
    <n v="53"/>
    <n v="0.8"/>
    <n v="0"/>
    <n v="0"/>
  </r>
  <r>
    <x v="917"/>
    <n v="8"/>
    <n v="53"/>
    <n v="61"/>
    <n v="19"/>
    <n v="23"/>
    <x v="10"/>
    <n v="18"/>
    <n v="13"/>
    <n v="49"/>
    <n v="1.3"/>
    <n v="0"/>
    <n v="0"/>
  </r>
  <r>
    <x v="918"/>
    <n v="13"/>
    <n v="49"/>
    <n v="62"/>
    <n v="18"/>
    <n v="13"/>
    <x v="16"/>
    <n v="17"/>
    <n v="9"/>
    <n v="54"/>
    <n v="0.9"/>
    <n v="0"/>
    <n v="0"/>
  </r>
  <r>
    <x v="919"/>
    <n v="9"/>
    <n v="54"/>
    <n v="63"/>
    <n v="17"/>
    <n v="17"/>
    <x v="16"/>
    <n v="27"/>
    <n v="-1"/>
    <n v="54"/>
    <n v="0"/>
    <n v="1"/>
    <n v="1"/>
  </r>
  <r>
    <x v="920"/>
    <n v="-1"/>
    <n v="54"/>
    <n v="53"/>
    <n v="27"/>
    <n v="19"/>
    <x v="33"/>
    <n v="26"/>
    <n v="-8"/>
    <n v="62"/>
    <n v="0"/>
    <n v="1"/>
    <n v="8"/>
  </r>
  <r>
    <x v="921"/>
    <n v="-8"/>
    <n v="62"/>
    <n v="54"/>
    <n v="26"/>
    <n v="18"/>
    <x v="6"/>
    <n v="19"/>
    <n v="-9"/>
    <n v="70"/>
    <n v="0"/>
    <n v="1"/>
    <n v="9"/>
  </r>
  <r>
    <x v="922"/>
    <n v="-9"/>
    <n v="70"/>
    <n v="61"/>
    <n v="19"/>
    <n v="17"/>
    <x v="29"/>
    <n v="20"/>
    <n v="-12"/>
    <n v="72"/>
    <n v="0"/>
    <n v="1"/>
    <n v="12"/>
  </r>
  <r>
    <x v="923"/>
    <n v="-12"/>
    <n v="72"/>
    <n v="60"/>
    <n v="20"/>
    <n v="27"/>
    <x v="26"/>
    <n v="21"/>
    <n v="-6"/>
    <n v="65"/>
    <n v="0"/>
    <n v="1"/>
    <n v="6"/>
  </r>
  <r>
    <x v="924"/>
    <n v="-6"/>
    <n v="65"/>
    <n v="59"/>
    <n v="21"/>
    <n v="26"/>
    <x v="4"/>
    <n v="14"/>
    <n v="6"/>
    <n v="60"/>
    <n v="0.60000000000000009"/>
    <n v="0"/>
    <n v="0"/>
  </r>
  <r>
    <x v="925"/>
    <n v="6"/>
    <n v="60"/>
    <n v="66"/>
    <n v="14"/>
    <n v="19"/>
    <x v="27"/>
    <n v="11"/>
    <n v="14"/>
    <n v="55"/>
    <n v="1.4000000000000001"/>
    <n v="0"/>
    <n v="0"/>
  </r>
  <r>
    <x v="926"/>
    <n v="14"/>
    <n v="55"/>
    <n v="69"/>
    <n v="11"/>
    <n v="20"/>
    <x v="38"/>
    <n v="18"/>
    <n v="16"/>
    <n v="46"/>
    <n v="1.6"/>
    <n v="0"/>
    <n v="0"/>
  </r>
  <r>
    <x v="927"/>
    <n v="16"/>
    <n v="46"/>
    <n v="62"/>
    <n v="18"/>
    <n v="21"/>
    <x v="51"/>
    <n v="26"/>
    <n v="11"/>
    <n v="43"/>
    <n v="1.1000000000000001"/>
    <n v="0"/>
    <n v="0"/>
  </r>
  <r>
    <x v="928"/>
    <n v="11"/>
    <n v="43"/>
    <n v="54"/>
    <n v="26"/>
    <n v="14"/>
    <x v="27"/>
    <n v="21"/>
    <n v="4"/>
    <n v="55"/>
    <n v="0.4"/>
    <n v="0"/>
    <n v="0"/>
  </r>
  <r>
    <x v="929"/>
    <n v="4"/>
    <n v="55"/>
    <n v="59"/>
    <n v="21"/>
    <n v="11"/>
    <x v="26"/>
    <n v="26"/>
    <n v="-11"/>
    <n v="65"/>
    <n v="0"/>
    <n v="1"/>
    <n v="11"/>
  </r>
  <r>
    <x v="930"/>
    <n v="-11"/>
    <n v="65"/>
    <n v="54"/>
    <n v="26"/>
    <n v="18"/>
    <x v="31"/>
    <n v="22"/>
    <n v="-15"/>
    <n v="73"/>
    <n v="0"/>
    <n v="1"/>
    <n v="15"/>
  </r>
  <r>
    <x v="931"/>
    <n v="-15"/>
    <n v="73"/>
    <n v="58"/>
    <n v="22"/>
    <n v="26"/>
    <x v="30"/>
    <n v="20"/>
    <n v="-9"/>
    <n v="69"/>
    <n v="0"/>
    <n v="1"/>
    <n v="9"/>
  </r>
  <r>
    <x v="932"/>
    <n v="-9"/>
    <n v="69"/>
    <n v="60"/>
    <n v="20"/>
    <n v="21"/>
    <x v="17"/>
    <n v="21"/>
    <n v="-9"/>
    <n v="68"/>
    <n v="0"/>
    <n v="1"/>
    <n v="9"/>
  </r>
  <r>
    <x v="933"/>
    <n v="-9"/>
    <n v="68"/>
    <n v="59"/>
    <n v="21"/>
    <n v="26"/>
    <x v="22"/>
    <n v="20"/>
    <n v="-3"/>
    <n v="63"/>
    <n v="0"/>
    <n v="1"/>
    <n v="3"/>
  </r>
  <r>
    <x v="934"/>
    <n v="-3"/>
    <n v="63"/>
    <n v="60"/>
    <n v="20"/>
    <n v="22"/>
    <x v="23"/>
    <n v="15"/>
    <n v="4"/>
    <n v="61"/>
    <n v="0.4"/>
    <n v="0"/>
    <n v="0"/>
  </r>
  <r>
    <x v="935"/>
    <n v="4"/>
    <n v="61"/>
    <n v="65"/>
    <n v="15"/>
    <n v="20"/>
    <x v="32"/>
    <n v="20"/>
    <n v="4"/>
    <n v="56"/>
    <n v="0.4"/>
    <n v="0"/>
    <n v="0"/>
  </r>
  <r>
    <x v="936"/>
    <n v="4"/>
    <n v="56"/>
    <n v="60"/>
    <n v="20"/>
    <n v="21"/>
    <x v="27"/>
    <n v="15"/>
    <n v="10"/>
    <n v="55"/>
    <n v="1"/>
    <n v="0"/>
    <n v="0"/>
  </r>
  <r>
    <x v="937"/>
    <n v="10"/>
    <n v="55"/>
    <n v="65"/>
    <n v="15"/>
    <n v="20"/>
    <x v="13"/>
    <n v="12"/>
    <n v="18"/>
    <n v="50"/>
    <n v="1.8"/>
    <n v="0"/>
    <n v="0"/>
  </r>
  <r>
    <x v="938"/>
    <n v="18"/>
    <n v="50"/>
    <n v="68"/>
    <n v="12"/>
    <n v="15"/>
    <x v="14"/>
    <n v="14"/>
    <n v="19"/>
    <n v="47"/>
    <n v="1.9000000000000001"/>
    <n v="0"/>
    <n v="0"/>
  </r>
  <r>
    <x v="939"/>
    <n v="19"/>
    <n v="47"/>
    <n v="66"/>
    <n v="14"/>
    <n v="20"/>
    <x v="52"/>
    <n v="16"/>
    <n v="23"/>
    <n v="41"/>
    <n v="2.3000000000000003"/>
    <n v="0"/>
    <n v="0"/>
  </r>
  <r>
    <x v="940"/>
    <n v="23"/>
    <n v="41"/>
    <n v="64"/>
    <n v="16"/>
    <n v="15"/>
    <x v="40"/>
    <n v="21"/>
    <n v="17"/>
    <n v="42"/>
    <n v="1.7000000000000002"/>
    <n v="0"/>
    <n v="0"/>
  </r>
  <r>
    <x v="941"/>
    <n v="17"/>
    <n v="42"/>
    <n v="59"/>
    <n v="21"/>
    <n v="12"/>
    <x v="9"/>
    <n v="25"/>
    <n v="4"/>
    <n v="51"/>
    <n v="0.4"/>
    <n v="0"/>
    <n v="0"/>
  </r>
  <r>
    <x v="942"/>
    <n v="4"/>
    <n v="51"/>
    <n v="55"/>
    <n v="25"/>
    <n v="14"/>
    <x v="33"/>
    <n v="24"/>
    <n v="-6"/>
    <n v="62"/>
    <n v="0"/>
    <n v="1"/>
    <n v="6"/>
  </r>
  <r>
    <x v="943"/>
    <n v="-6"/>
    <n v="62"/>
    <n v="56"/>
    <n v="24"/>
    <n v="16"/>
    <x v="6"/>
    <n v="19"/>
    <n v="-9"/>
    <n v="70"/>
    <n v="0"/>
    <n v="1"/>
    <n v="9"/>
  </r>
  <r>
    <x v="944"/>
    <n v="-9"/>
    <n v="70"/>
    <n v="61"/>
    <n v="19"/>
    <n v="21"/>
    <x v="17"/>
    <n v="23"/>
    <n v="-11"/>
    <n v="68"/>
    <n v="0"/>
    <n v="1"/>
    <n v="11"/>
  </r>
  <r>
    <x v="945"/>
    <n v="-11"/>
    <n v="68"/>
    <n v="57"/>
    <n v="23"/>
    <n v="25"/>
    <x v="7"/>
    <n v="22"/>
    <n v="-8"/>
    <n v="66"/>
    <n v="0"/>
    <n v="1"/>
    <n v="8"/>
  </r>
  <r>
    <x v="946"/>
    <n v="-8"/>
    <n v="66"/>
    <n v="58"/>
    <n v="22"/>
    <n v="24"/>
    <x v="8"/>
    <n v="14"/>
    <n v="2"/>
    <n v="64"/>
    <n v="0.2"/>
    <n v="0"/>
    <n v="0"/>
  </r>
  <r>
    <x v="947"/>
    <n v="2"/>
    <n v="64"/>
    <n v="66"/>
    <n v="14"/>
    <n v="19"/>
    <x v="5"/>
    <n v="20"/>
    <n v="1"/>
    <n v="59"/>
    <n v="0.1"/>
    <n v="0"/>
    <n v="0"/>
  </r>
  <r>
    <x v="948"/>
    <n v="1"/>
    <n v="59"/>
    <n v="60"/>
    <n v="20"/>
    <n v="23"/>
    <x v="32"/>
    <n v="19"/>
    <n v="5"/>
    <n v="56"/>
    <n v="0.5"/>
    <n v="0"/>
    <n v="0"/>
  </r>
  <r>
    <x v="949"/>
    <n v="5"/>
    <n v="56"/>
    <n v="61"/>
    <n v="19"/>
    <n v="22"/>
    <x v="12"/>
    <n v="21"/>
    <n v="6"/>
    <n v="53"/>
    <n v="0.60000000000000009"/>
    <n v="0"/>
    <n v="0"/>
  </r>
  <r>
    <x v="950"/>
    <n v="6"/>
    <n v="53"/>
    <n v="59"/>
    <n v="21"/>
    <n v="14"/>
    <x v="4"/>
    <n v="24"/>
    <n v="-4"/>
    <n v="60"/>
    <n v="0"/>
    <n v="1"/>
    <n v="4"/>
  </r>
  <r>
    <x v="951"/>
    <n v="-4"/>
    <n v="60"/>
    <n v="56"/>
    <n v="24"/>
    <n v="20"/>
    <x v="8"/>
    <n v="19"/>
    <n v="-3"/>
    <n v="64"/>
    <n v="0"/>
    <n v="1"/>
    <n v="3"/>
  </r>
  <r>
    <x v="952"/>
    <n v="-3"/>
    <n v="64"/>
    <n v="61"/>
    <n v="19"/>
    <n v="19"/>
    <x v="8"/>
    <n v="14"/>
    <n v="2"/>
    <n v="64"/>
    <n v="0.2"/>
    <n v="0"/>
    <n v="0"/>
  </r>
  <r>
    <x v="953"/>
    <n v="2"/>
    <n v="64"/>
    <n v="66"/>
    <n v="14"/>
    <n v="21"/>
    <x v="24"/>
    <n v="15"/>
    <n v="8"/>
    <n v="57"/>
    <n v="0.8"/>
    <n v="0"/>
    <n v="0"/>
  </r>
  <r>
    <x v="954"/>
    <n v="8"/>
    <n v="57"/>
    <n v="65"/>
    <n v="15"/>
    <n v="24"/>
    <x v="15"/>
    <n v="17"/>
    <n v="15"/>
    <n v="48"/>
    <n v="1.5"/>
    <n v="0"/>
    <n v="0"/>
  </r>
  <r>
    <x v="955"/>
    <n v="15"/>
    <n v="48"/>
    <n v="63"/>
    <n v="17"/>
    <n v="19"/>
    <x v="38"/>
    <n v="18"/>
    <n v="16"/>
    <n v="46"/>
    <n v="1.6"/>
    <n v="0"/>
    <n v="0"/>
  </r>
  <r>
    <x v="956"/>
    <n v="16"/>
    <n v="46"/>
    <n v="62"/>
    <n v="18"/>
    <n v="14"/>
    <x v="13"/>
    <n v="14"/>
    <n v="16"/>
    <n v="50"/>
    <n v="1.6"/>
    <n v="0"/>
    <n v="0"/>
  </r>
  <r>
    <x v="957"/>
    <n v="16"/>
    <n v="50"/>
    <n v="66"/>
    <n v="14"/>
    <n v="15"/>
    <x v="10"/>
    <n v="22"/>
    <n v="9"/>
    <n v="49"/>
    <n v="0.9"/>
    <n v="0"/>
    <n v="0"/>
  </r>
  <r>
    <x v="958"/>
    <n v="9"/>
    <n v="49"/>
    <n v="58"/>
    <n v="22"/>
    <n v="17"/>
    <x v="16"/>
    <n v="27"/>
    <n v="-1"/>
    <n v="54"/>
    <n v="0"/>
    <n v="1"/>
    <n v="1"/>
  </r>
  <r>
    <x v="959"/>
    <n v="-1"/>
    <n v="54"/>
    <n v="53"/>
    <n v="27"/>
    <n v="18"/>
    <x v="22"/>
    <n v="16"/>
    <n v="1"/>
    <n v="63"/>
    <n v="0.1"/>
    <n v="0"/>
    <n v="0"/>
  </r>
  <r>
    <x v="960"/>
    <n v="1"/>
    <n v="63"/>
    <n v="64"/>
    <n v="16"/>
    <n v="14"/>
    <x v="26"/>
    <n v="14"/>
    <n v="1"/>
    <n v="65"/>
    <n v="0.1"/>
    <n v="0"/>
    <n v="0"/>
  </r>
  <r>
    <x v="961"/>
    <n v="1"/>
    <n v="65"/>
    <n v="66"/>
    <n v="14"/>
    <n v="22"/>
    <x v="24"/>
    <n v="13"/>
    <n v="10"/>
    <n v="57"/>
    <n v="1"/>
    <n v="0"/>
    <n v="0"/>
  </r>
  <r>
    <x v="962"/>
    <n v="10"/>
    <n v="57"/>
    <n v="67"/>
    <n v="13"/>
    <n v="27"/>
    <x v="51"/>
    <n v="27"/>
    <n v="10"/>
    <n v="43"/>
    <n v="1"/>
    <n v="0"/>
    <n v="0"/>
  </r>
  <r>
    <x v="963"/>
    <n v="10"/>
    <n v="43"/>
    <n v="53"/>
    <n v="27"/>
    <n v="16"/>
    <x v="16"/>
    <n v="24"/>
    <n v="2"/>
    <n v="54"/>
    <n v="0.2"/>
    <n v="0"/>
    <n v="0"/>
  </r>
  <r>
    <x v="964"/>
    <n v="2"/>
    <n v="54"/>
    <n v="56"/>
    <n v="24"/>
    <n v="14"/>
    <x v="8"/>
    <n v="25"/>
    <n v="-9"/>
    <n v="64"/>
    <n v="0"/>
    <n v="1"/>
    <n v="9"/>
  </r>
  <r>
    <x v="965"/>
    <n v="-9"/>
    <n v="64"/>
    <n v="55"/>
    <n v="25"/>
    <n v="13"/>
    <x v="37"/>
    <n v="24"/>
    <n v="-20"/>
    <n v="76"/>
    <n v="0"/>
    <n v="1"/>
    <n v="20"/>
  </r>
  <r>
    <x v="966"/>
    <n v="-20"/>
    <n v="76"/>
    <n v="56"/>
    <n v="24"/>
    <n v="27"/>
    <x v="31"/>
    <n v="27"/>
    <n v="-20"/>
    <n v="73"/>
    <n v="0"/>
    <n v="1"/>
    <n v="20"/>
  </r>
  <r>
    <x v="967"/>
    <n v="-20"/>
    <n v="73"/>
    <n v="53"/>
    <n v="27"/>
    <n v="24"/>
    <x v="37"/>
    <n v="17"/>
    <n v="-13"/>
    <n v="76"/>
    <n v="0"/>
    <n v="1"/>
    <n v="13"/>
  </r>
  <r>
    <x v="968"/>
    <n v="-13"/>
    <n v="76"/>
    <n v="63"/>
    <n v="17"/>
    <n v="25"/>
    <x v="17"/>
    <n v="23"/>
    <n v="-11"/>
    <n v="68"/>
    <n v="0"/>
    <n v="1"/>
    <n v="11"/>
  </r>
  <r>
    <x v="969"/>
    <n v="-11"/>
    <n v="68"/>
    <n v="57"/>
    <n v="23"/>
    <n v="24"/>
    <x v="21"/>
    <n v="26"/>
    <n v="-13"/>
    <n v="67"/>
    <n v="0"/>
    <n v="1"/>
    <n v="13"/>
  </r>
  <r>
    <x v="970"/>
    <n v="-13"/>
    <n v="67"/>
    <n v="54"/>
    <n v="26"/>
    <n v="27"/>
    <x v="7"/>
    <n v="24"/>
    <n v="-10"/>
    <n v="66"/>
    <n v="0"/>
    <n v="1"/>
    <n v="10"/>
  </r>
  <r>
    <x v="971"/>
    <n v="-10"/>
    <n v="66"/>
    <n v="56"/>
    <n v="24"/>
    <n v="17"/>
    <x v="31"/>
    <n v="32"/>
    <n v="-25"/>
    <n v="73"/>
    <n v="0"/>
    <n v="1"/>
    <n v="25"/>
  </r>
  <r>
    <x v="972"/>
    <n v="-25"/>
    <n v="73"/>
    <n v="48"/>
    <n v="32"/>
    <n v="23"/>
    <x v="19"/>
    <n v="29"/>
    <n v="-31"/>
    <n v="82"/>
    <n v="0"/>
    <n v="1"/>
    <n v="29"/>
  </r>
  <r>
    <x v="973"/>
    <n v="-31"/>
    <n v="82"/>
    <n v="51"/>
    <n v="29"/>
    <n v="26"/>
    <x v="36"/>
    <n v="23"/>
    <n v="-28"/>
    <n v="85"/>
    <n v="0"/>
    <n v="1"/>
    <n v="23"/>
  </r>
  <r>
    <x v="974"/>
    <n v="-28"/>
    <n v="85"/>
    <n v="57"/>
    <n v="23"/>
    <n v="24"/>
    <x v="53"/>
    <n v="21"/>
    <n v="-25"/>
    <n v="84"/>
    <n v="0"/>
    <n v="1"/>
    <n v="21"/>
  </r>
  <r>
    <x v="975"/>
    <n v="-25"/>
    <n v="84"/>
    <n v="59"/>
    <n v="21"/>
    <n v="32"/>
    <x v="31"/>
    <n v="16"/>
    <n v="-9"/>
    <n v="73"/>
    <n v="0"/>
    <n v="1"/>
    <n v="9"/>
  </r>
  <r>
    <x v="976"/>
    <n v="-9"/>
    <n v="73"/>
    <n v="64"/>
    <n v="16"/>
    <n v="29"/>
    <x v="4"/>
    <n v="25"/>
    <n v="-5"/>
    <n v="60"/>
    <n v="0"/>
    <n v="1"/>
    <n v="5"/>
  </r>
  <r>
    <x v="977"/>
    <n v="-5"/>
    <n v="60"/>
    <n v="55"/>
    <n v="25"/>
    <n v="23"/>
    <x v="33"/>
    <n v="26"/>
    <n v="-8"/>
    <n v="62"/>
    <n v="0"/>
    <n v="1"/>
    <n v="8"/>
  </r>
  <r>
    <x v="978"/>
    <n v="-8"/>
    <n v="62"/>
    <n v="54"/>
    <n v="26"/>
    <n v="21"/>
    <x v="21"/>
    <n v="21"/>
    <n v="-8"/>
    <n v="67"/>
    <n v="0"/>
    <n v="1"/>
    <n v="8"/>
  </r>
  <r>
    <x v="979"/>
    <n v="-8"/>
    <n v="67"/>
    <n v="59"/>
    <n v="21"/>
    <n v="16"/>
    <x v="29"/>
    <n v="16"/>
    <n v="-8"/>
    <n v="72"/>
    <n v="0"/>
    <n v="1"/>
    <n v="8"/>
  </r>
  <r>
    <x v="980"/>
    <n v="-8"/>
    <n v="72"/>
    <n v="64"/>
    <n v="16"/>
    <n v="25"/>
    <x v="22"/>
    <n v="35"/>
    <n v="-18"/>
    <n v="63"/>
    <n v="0"/>
    <n v="1"/>
    <n v="18"/>
  </r>
  <r>
    <x v="981"/>
    <n v="-18"/>
    <n v="63"/>
    <n v="45"/>
    <n v="35"/>
    <n v="26"/>
    <x v="29"/>
    <n v="15"/>
    <n v="-7"/>
    <n v="72"/>
    <n v="0"/>
    <n v="1"/>
    <n v="7"/>
  </r>
  <r>
    <x v="982"/>
    <n v="-7"/>
    <n v="72"/>
    <n v="65"/>
    <n v="15"/>
    <n v="21"/>
    <x v="7"/>
    <n v="17"/>
    <n v="-3"/>
    <n v="66"/>
    <n v="0"/>
    <n v="1"/>
    <n v="3"/>
  </r>
  <r>
    <x v="983"/>
    <n v="-3"/>
    <n v="66"/>
    <n v="63"/>
    <n v="17"/>
    <n v="16"/>
    <x v="21"/>
    <n v="21"/>
    <n v="-8"/>
    <n v="67"/>
    <n v="0"/>
    <n v="1"/>
    <n v="8"/>
  </r>
  <r>
    <x v="984"/>
    <n v="-8"/>
    <n v="67"/>
    <n v="59"/>
    <n v="21"/>
    <n v="35"/>
    <x v="12"/>
    <n v="24"/>
    <n v="3"/>
    <n v="53"/>
    <n v="0.30000000000000004"/>
    <n v="0"/>
    <n v="0"/>
  </r>
  <r>
    <x v="985"/>
    <n v="3"/>
    <n v="53"/>
    <n v="56"/>
    <n v="24"/>
    <n v="15"/>
    <x v="33"/>
    <n v="16"/>
    <n v="2"/>
    <n v="62"/>
    <n v="0.2"/>
    <n v="0"/>
    <n v="0"/>
  </r>
  <r>
    <x v="986"/>
    <n v="2"/>
    <n v="62"/>
    <n v="64"/>
    <n v="16"/>
    <n v="17"/>
    <x v="23"/>
    <n v="27"/>
    <n v="-8"/>
    <n v="61"/>
    <n v="0"/>
    <n v="1"/>
    <n v="8"/>
  </r>
  <r>
    <x v="987"/>
    <n v="-8"/>
    <n v="61"/>
    <n v="53"/>
    <n v="27"/>
    <n v="21"/>
    <x v="21"/>
    <n v="21"/>
    <n v="-8"/>
    <n v="67"/>
    <n v="0"/>
    <n v="1"/>
    <n v="8"/>
  </r>
  <r>
    <x v="988"/>
    <n v="-8"/>
    <n v="67"/>
    <n v="59"/>
    <n v="21"/>
    <n v="24"/>
    <x v="8"/>
    <n v="21"/>
    <n v="-5"/>
    <n v="64"/>
    <n v="0"/>
    <n v="1"/>
    <n v="5"/>
  </r>
  <r>
    <x v="989"/>
    <n v="-5"/>
    <n v="64"/>
    <n v="59"/>
    <n v="21"/>
    <n v="16"/>
    <x v="30"/>
    <n v="20"/>
    <n v="-9"/>
    <n v="69"/>
    <n v="0"/>
    <n v="1"/>
    <n v="9"/>
  </r>
  <r>
    <x v="990"/>
    <n v="-9"/>
    <n v="69"/>
    <n v="60"/>
    <n v="20"/>
    <n v="27"/>
    <x v="33"/>
    <n v="13"/>
    <n v="5"/>
    <n v="62"/>
    <n v="0.5"/>
    <n v="0"/>
    <n v="0"/>
  </r>
  <r>
    <x v="991"/>
    <n v="5"/>
    <n v="62"/>
    <n v="67"/>
    <n v="13"/>
    <n v="21"/>
    <x v="16"/>
    <n v="24"/>
    <n v="2"/>
    <n v="54"/>
    <n v="0.2"/>
    <n v="0"/>
    <n v="0"/>
  </r>
  <r>
    <x v="992"/>
    <n v="2"/>
    <n v="54"/>
    <n v="56"/>
    <n v="24"/>
    <n v="21"/>
    <x v="24"/>
    <n v="19"/>
    <n v="4"/>
    <n v="57"/>
    <n v="0.4"/>
    <n v="0"/>
    <n v="0"/>
  </r>
  <r>
    <x v="993"/>
    <n v="4"/>
    <n v="57"/>
    <n v="61"/>
    <n v="19"/>
    <n v="20"/>
    <x v="32"/>
    <n v="13"/>
    <n v="11"/>
    <n v="56"/>
    <n v="1.1000000000000001"/>
    <n v="0"/>
    <n v="0"/>
  </r>
  <r>
    <x v="994"/>
    <n v="11"/>
    <n v="56"/>
    <n v="67"/>
    <n v="13"/>
    <n v="13"/>
    <x v="32"/>
    <n v="12"/>
    <n v="12"/>
    <n v="56"/>
    <n v="1.2000000000000002"/>
    <n v="0"/>
    <n v="0"/>
  </r>
  <r>
    <x v="995"/>
    <n v="12"/>
    <n v="56"/>
    <n v="68"/>
    <n v="12"/>
    <n v="24"/>
    <x v="45"/>
    <n v="20"/>
    <n v="16"/>
    <n v="44"/>
    <n v="1.6"/>
    <n v="0"/>
    <n v="0"/>
  </r>
  <r>
    <x v="996"/>
    <n v="16"/>
    <n v="44"/>
    <n v="60"/>
    <n v="20"/>
    <n v="19"/>
    <x v="11"/>
    <n v="15"/>
    <n v="20"/>
    <n v="45"/>
    <n v="2"/>
    <n v="0"/>
    <n v="0"/>
  </r>
  <r>
    <x v="997"/>
    <n v="20"/>
    <n v="45"/>
    <n v="65"/>
    <n v="15"/>
    <n v="13"/>
    <x v="14"/>
    <n v="20"/>
    <n v="13"/>
    <n v="47"/>
    <n v="1.3"/>
    <n v="0"/>
    <n v="0"/>
  </r>
  <r>
    <x v="998"/>
    <n v="13"/>
    <n v="47"/>
    <n v="60"/>
    <n v="20"/>
    <n v="12"/>
    <x v="27"/>
    <n v="30"/>
    <n v="-5"/>
    <n v="55"/>
    <n v="0"/>
    <n v="1"/>
    <n v="5"/>
  </r>
  <r>
    <x v="999"/>
    <n v="-5"/>
    <n v="55"/>
    <n v="50"/>
    <n v="30"/>
    <n v="20"/>
    <x v="26"/>
    <n v="13"/>
    <n v="2"/>
    <n v="65"/>
    <n v="0.2"/>
    <n v="0"/>
    <n v="0"/>
  </r>
  <r>
    <x v="1000"/>
    <n v="2"/>
    <n v="65"/>
    <n v="67"/>
    <n v="13"/>
    <n v="15"/>
    <x v="22"/>
    <n v="27"/>
    <n v="-10"/>
    <n v="63"/>
    <n v="0"/>
    <n v="1"/>
    <n v="10"/>
  </r>
  <r>
    <x v="1001"/>
    <n v="-10"/>
    <n v="63"/>
    <n v="53"/>
    <n v="27"/>
    <n v="20"/>
    <x v="6"/>
    <n v="25"/>
    <n v="-15"/>
    <n v="70"/>
    <n v="0"/>
    <n v="1"/>
    <n v="15"/>
  </r>
  <r>
    <x v="1002"/>
    <n v="-15"/>
    <n v="70"/>
    <n v="55"/>
    <n v="25"/>
    <n v="30"/>
    <x v="26"/>
    <n v="22"/>
    <n v="-7"/>
    <n v="65"/>
    <n v="0"/>
    <n v="1"/>
    <n v="7"/>
  </r>
  <r>
    <x v="1003"/>
    <n v="-7"/>
    <n v="65"/>
    <n v="58"/>
    <n v="22"/>
    <n v="13"/>
    <x v="39"/>
    <n v="26"/>
    <n v="-20"/>
    <n v="74"/>
    <n v="0"/>
    <n v="1"/>
    <n v="20"/>
  </r>
  <r>
    <x v="1004"/>
    <n v="-20"/>
    <n v="74"/>
    <n v="54"/>
    <n v="26"/>
    <n v="27"/>
    <x v="31"/>
    <n v="20"/>
    <n v="-13"/>
    <n v="73"/>
    <n v="0"/>
    <n v="1"/>
    <n v="13"/>
  </r>
  <r>
    <x v="1005"/>
    <n v="-13"/>
    <n v="73"/>
    <n v="60"/>
    <n v="20"/>
    <n v="25"/>
    <x v="17"/>
    <n v="27"/>
    <n v="-15"/>
    <n v="68"/>
    <n v="0"/>
    <n v="1"/>
    <n v="15"/>
  </r>
  <r>
    <x v="1006"/>
    <n v="-15"/>
    <n v="68"/>
    <n v="53"/>
    <n v="27"/>
    <n v="22"/>
    <x v="31"/>
    <n v="16"/>
    <n v="-9"/>
    <n v="73"/>
    <n v="0"/>
    <n v="1"/>
    <n v="9"/>
  </r>
  <r>
    <x v="1007"/>
    <n v="-9"/>
    <n v="73"/>
    <n v="64"/>
    <n v="16"/>
    <n v="26"/>
    <x v="22"/>
    <n v="18"/>
    <n v="-1"/>
    <n v="63"/>
    <n v="0"/>
    <n v="1"/>
    <n v="1"/>
  </r>
  <r>
    <x v="1008"/>
    <n v="-1"/>
    <n v="63"/>
    <n v="62"/>
    <n v="18"/>
    <n v="20"/>
    <x v="23"/>
    <n v="24"/>
    <n v="-5"/>
    <n v="61"/>
    <n v="0"/>
    <n v="1"/>
    <n v="5"/>
  </r>
  <r>
    <x v="1009"/>
    <n v="-5"/>
    <n v="61"/>
    <n v="56"/>
    <n v="24"/>
    <n v="27"/>
    <x v="28"/>
    <n v="17"/>
    <n v="5"/>
    <n v="58"/>
    <n v="0.5"/>
    <n v="0"/>
    <n v="0"/>
  </r>
  <r>
    <x v="1010"/>
    <n v="5"/>
    <n v="58"/>
    <n v="63"/>
    <n v="17"/>
    <n v="16"/>
    <x v="5"/>
    <n v="19"/>
    <n v="2"/>
    <n v="59"/>
    <n v="0.2"/>
    <n v="0"/>
    <n v="0"/>
  </r>
  <r>
    <x v="1011"/>
    <n v="2"/>
    <n v="59"/>
    <n v="61"/>
    <n v="19"/>
    <n v="18"/>
    <x v="4"/>
    <n v="13"/>
    <n v="7"/>
    <n v="60"/>
    <n v="0.70000000000000007"/>
    <n v="0"/>
    <n v="0"/>
  </r>
  <r>
    <x v="1012"/>
    <n v="7"/>
    <n v="60"/>
    <n v="67"/>
    <n v="13"/>
    <n v="24"/>
    <x v="10"/>
    <n v="16"/>
    <n v="15"/>
    <n v="49"/>
    <n v="1.5"/>
    <n v="0"/>
    <n v="0"/>
  </r>
  <r>
    <x v="1013"/>
    <n v="15"/>
    <n v="49"/>
    <n v="64"/>
    <n v="16"/>
    <n v="17"/>
    <x v="15"/>
    <n v="24"/>
    <n v="8"/>
    <n v="48"/>
    <n v="0.8"/>
    <n v="0"/>
    <n v="0"/>
  </r>
  <r>
    <x v="1014"/>
    <n v="8"/>
    <n v="48"/>
    <n v="56"/>
    <n v="24"/>
    <n v="19"/>
    <x v="12"/>
    <n v="13"/>
    <n v="14"/>
    <n v="53"/>
    <n v="1.4000000000000001"/>
    <n v="0"/>
    <n v="0"/>
  </r>
  <r>
    <x v="1015"/>
    <n v="14"/>
    <n v="53"/>
    <n v="67"/>
    <n v="13"/>
    <n v="13"/>
    <x v="12"/>
    <n v="21"/>
    <n v="6"/>
    <n v="53"/>
    <n v="0.60000000000000009"/>
    <n v="0"/>
    <n v="0"/>
  </r>
  <r>
    <x v="1016"/>
    <n v="6"/>
    <n v="53"/>
    <n v="59"/>
    <n v="21"/>
    <n v="16"/>
    <x v="28"/>
    <n v="22"/>
    <n v="0"/>
    <n v="58"/>
    <n v="0"/>
    <n v="0"/>
    <n v="0"/>
  </r>
  <r>
    <x v="1017"/>
    <n v="0"/>
    <n v="58"/>
    <n v="58"/>
    <n v="22"/>
    <n v="24"/>
    <x v="32"/>
    <n v="18"/>
    <n v="6"/>
    <n v="56"/>
    <n v="0.60000000000000009"/>
    <n v="0"/>
    <n v="0"/>
  </r>
  <r>
    <x v="1018"/>
    <n v="6"/>
    <n v="56"/>
    <n v="62"/>
    <n v="18"/>
    <n v="13"/>
    <x v="23"/>
    <n v="18"/>
    <n v="1"/>
    <n v="61"/>
    <n v="0.1"/>
    <n v="0"/>
    <n v="0"/>
  </r>
  <r>
    <x v="1019"/>
    <n v="1"/>
    <n v="61"/>
    <n v="62"/>
    <n v="18"/>
    <n v="21"/>
    <x v="28"/>
    <n v="18"/>
    <n v="4"/>
    <n v="58"/>
    <n v="0.4"/>
    <n v="0"/>
    <n v="0"/>
  </r>
  <r>
    <x v="1020"/>
    <n v="4"/>
    <n v="58"/>
    <n v="62"/>
    <n v="18"/>
    <n v="22"/>
    <x v="16"/>
    <n v="15"/>
    <n v="11"/>
    <n v="54"/>
    <n v="1.1000000000000001"/>
    <n v="0"/>
    <n v="0"/>
  </r>
  <r>
    <x v="1021"/>
    <n v="11"/>
    <n v="54"/>
    <n v="65"/>
    <n v="15"/>
    <n v="18"/>
    <x v="9"/>
    <n v="18"/>
    <n v="11"/>
    <n v="51"/>
    <n v="1.1000000000000001"/>
    <n v="0"/>
    <n v="0"/>
  </r>
  <r>
    <x v="1022"/>
    <n v="11"/>
    <n v="51"/>
    <n v="62"/>
    <n v="18"/>
    <n v="18"/>
    <x v="9"/>
    <n v="16"/>
    <n v="13"/>
    <n v="51"/>
    <n v="1.3"/>
    <n v="0"/>
    <n v="0"/>
  </r>
  <r>
    <x v="1023"/>
    <n v="13"/>
    <n v="51"/>
    <n v="64"/>
    <n v="16"/>
    <n v="18"/>
    <x v="10"/>
    <n v="19"/>
    <n v="12"/>
    <n v="49"/>
    <n v="1.2000000000000002"/>
    <n v="0"/>
    <n v="0"/>
  </r>
  <r>
    <x v="1024"/>
    <n v="12"/>
    <n v="49"/>
    <n v="61"/>
    <n v="19"/>
    <n v="15"/>
    <x v="12"/>
    <n v="17"/>
    <n v="10"/>
    <n v="53"/>
    <n v="1"/>
    <n v="0"/>
    <n v="0"/>
  </r>
  <r>
    <x v="1025"/>
    <n v="10"/>
    <n v="53"/>
    <n v="63"/>
    <n v="17"/>
    <n v="18"/>
    <x v="25"/>
    <n v="23"/>
    <n v="5"/>
    <n v="52"/>
    <n v="0.5"/>
    <n v="0"/>
    <n v="0"/>
  </r>
  <r>
    <x v="1026"/>
    <n v="5"/>
    <n v="52"/>
    <n v="57"/>
    <n v="23"/>
    <n v="16"/>
    <x v="5"/>
    <n v="24"/>
    <n v="-3"/>
    <n v="59"/>
    <n v="0"/>
    <n v="1"/>
    <n v="3"/>
  </r>
  <r>
    <x v="1027"/>
    <n v="-3"/>
    <n v="59"/>
    <n v="56"/>
    <n v="24"/>
    <n v="19"/>
    <x v="8"/>
    <n v="18"/>
    <n v="-2"/>
    <n v="64"/>
    <n v="0"/>
    <n v="1"/>
    <n v="2"/>
  </r>
  <r>
    <x v="1028"/>
    <n v="-2"/>
    <n v="64"/>
    <n v="62"/>
    <n v="18"/>
    <n v="17"/>
    <x v="26"/>
    <n v="21"/>
    <n v="-6"/>
    <n v="65"/>
    <n v="0"/>
    <n v="1"/>
    <n v="6"/>
  </r>
  <r>
    <x v="1029"/>
    <n v="-6"/>
    <n v="65"/>
    <n v="59"/>
    <n v="21"/>
    <n v="23"/>
    <x v="22"/>
    <n v="12"/>
    <n v="5"/>
    <n v="63"/>
    <n v="0.5"/>
    <n v="0"/>
    <n v="0"/>
  </r>
  <r>
    <x v="1030"/>
    <n v="5"/>
    <n v="63"/>
    <n v="68"/>
    <n v="12"/>
    <n v="24"/>
    <x v="9"/>
    <n v="17"/>
    <n v="12"/>
    <n v="51"/>
    <n v="1.2000000000000002"/>
    <n v="0"/>
    <n v="0"/>
  </r>
  <r>
    <x v="1031"/>
    <n v="12"/>
    <n v="51"/>
    <n v="63"/>
    <n v="17"/>
    <n v="18"/>
    <x v="13"/>
    <n v="20"/>
    <n v="10"/>
    <n v="50"/>
    <n v="1"/>
    <n v="0"/>
    <n v="0"/>
  </r>
  <r>
    <x v="1032"/>
    <n v="10"/>
    <n v="50"/>
    <n v="60"/>
    <n v="20"/>
    <n v="21"/>
    <x v="10"/>
    <n v="18"/>
    <n v="13"/>
    <n v="49"/>
    <n v="1.3"/>
    <n v="0"/>
    <n v="0"/>
  </r>
  <r>
    <x v="1033"/>
    <n v="13"/>
    <n v="49"/>
    <n v="62"/>
    <n v="18"/>
    <n v="12"/>
    <x v="27"/>
    <n v="22"/>
    <n v="3"/>
    <n v="55"/>
    <n v="0.30000000000000004"/>
    <n v="0"/>
    <n v="0"/>
  </r>
  <r>
    <x v="1034"/>
    <n v="3"/>
    <n v="55"/>
    <n v="58"/>
    <n v="22"/>
    <n v="17"/>
    <x v="4"/>
    <n v="19"/>
    <n v="1"/>
    <n v="60"/>
    <n v="0.1"/>
    <n v="0"/>
    <n v="0"/>
  </r>
  <r>
    <x v="1035"/>
    <n v="1"/>
    <n v="60"/>
    <n v="61"/>
    <n v="19"/>
    <n v="20"/>
    <x v="5"/>
    <n v="20"/>
    <n v="1"/>
    <n v="59"/>
    <n v="0.1"/>
    <n v="0"/>
    <n v="0"/>
  </r>
  <r>
    <x v="1036"/>
    <n v="1"/>
    <n v="59"/>
    <n v="60"/>
    <n v="20"/>
    <n v="18"/>
    <x v="23"/>
    <n v="21"/>
    <n v="-2"/>
    <n v="61"/>
    <n v="0"/>
    <n v="1"/>
    <n v="2"/>
  </r>
  <r>
    <x v="1037"/>
    <n v="-2"/>
    <n v="61"/>
    <n v="59"/>
    <n v="21"/>
    <n v="22"/>
    <x v="4"/>
    <n v="11"/>
    <n v="9"/>
    <n v="60"/>
    <n v="0.9"/>
    <n v="0"/>
    <n v="0"/>
  </r>
  <r>
    <x v="1038"/>
    <n v="9"/>
    <n v="60"/>
    <n v="69"/>
    <n v="11"/>
    <n v="19"/>
    <x v="25"/>
    <n v="17"/>
    <n v="11"/>
    <n v="52"/>
    <n v="1.1000000000000001"/>
    <n v="0"/>
    <n v="0"/>
  </r>
  <r>
    <x v="1039"/>
    <n v="11"/>
    <n v="52"/>
    <n v="63"/>
    <n v="17"/>
    <n v="20"/>
    <x v="10"/>
    <n v="20"/>
    <n v="11"/>
    <n v="49"/>
    <n v="1.1000000000000001"/>
    <n v="0"/>
    <n v="0"/>
  </r>
  <r>
    <x v="1040"/>
    <n v="11"/>
    <n v="49"/>
    <n v="60"/>
    <n v="20"/>
    <n v="21"/>
    <x v="15"/>
    <n v="20"/>
    <n v="12"/>
    <n v="48"/>
    <n v="1.2000000000000002"/>
    <n v="0"/>
    <n v="0"/>
  </r>
  <r>
    <x v="1041"/>
    <n v="12"/>
    <n v="48"/>
    <n v="60"/>
    <n v="20"/>
    <n v="11"/>
    <x v="24"/>
    <n v="19"/>
    <n v="4"/>
    <n v="57"/>
    <n v="0.4"/>
    <n v="0"/>
    <n v="0"/>
  </r>
  <r>
    <x v="1042"/>
    <n v="4"/>
    <n v="57"/>
    <n v="61"/>
    <n v="19"/>
    <n v="17"/>
    <x v="5"/>
    <n v="22"/>
    <n v="-1"/>
    <n v="59"/>
    <n v="0"/>
    <n v="1"/>
    <n v="1"/>
  </r>
  <r>
    <x v="1043"/>
    <n v="-1"/>
    <n v="59"/>
    <n v="58"/>
    <n v="22"/>
    <n v="20"/>
    <x v="23"/>
    <n v="27"/>
    <n v="-8"/>
    <n v="61"/>
    <n v="0"/>
    <n v="1"/>
    <n v="8"/>
  </r>
  <r>
    <x v="1044"/>
    <n v="-8"/>
    <n v="61"/>
    <n v="53"/>
    <n v="27"/>
    <n v="20"/>
    <x v="17"/>
    <n v="20"/>
    <n v="-8"/>
    <n v="68"/>
    <n v="0"/>
    <n v="1"/>
    <n v="8"/>
  </r>
  <r>
    <x v="1045"/>
    <n v="-8"/>
    <n v="68"/>
    <n v="60"/>
    <n v="20"/>
    <n v="19"/>
    <x v="30"/>
    <n v="12"/>
    <n v="-1"/>
    <n v="69"/>
    <n v="0"/>
    <n v="1"/>
    <n v="1"/>
  </r>
  <r>
    <x v="1046"/>
    <n v="-1"/>
    <n v="69"/>
    <n v="68"/>
    <n v="12"/>
    <n v="22"/>
    <x v="5"/>
    <n v="27"/>
    <n v="-6"/>
    <n v="59"/>
    <n v="0"/>
    <n v="1"/>
    <n v="6"/>
  </r>
  <r>
    <x v="1047"/>
    <n v="-6"/>
    <n v="59"/>
    <n v="53"/>
    <n v="27"/>
    <n v="27"/>
    <x v="5"/>
    <n v="18"/>
    <n v="3"/>
    <n v="59"/>
    <n v="0.30000000000000004"/>
    <n v="0"/>
    <n v="0"/>
  </r>
  <r>
    <x v="1048"/>
    <n v="3"/>
    <n v="59"/>
    <n v="62"/>
    <n v="18"/>
    <n v="20"/>
    <x v="24"/>
    <n v="20"/>
    <n v="3"/>
    <n v="57"/>
    <n v="0.30000000000000004"/>
    <n v="0"/>
    <n v="0"/>
  </r>
  <r>
    <x v="1049"/>
    <n v="3"/>
    <n v="57"/>
    <n v="60"/>
    <n v="20"/>
    <n v="12"/>
    <x v="26"/>
    <n v="10"/>
    <n v="5"/>
    <n v="65"/>
    <n v="0.5"/>
    <n v="0"/>
    <n v="0"/>
  </r>
  <r>
    <x v="1050"/>
    <n v="5"/>
    <n v="65"/>
    <n v="70"/>
    <n v="10"/>
    <n v="27"/>
    <x v="15"/>
    <n v="17"/>
    <n v="15"/>
    <n v="48"/>
    <n v="1.5"/>
    <n v="0"/>
    <n v="0"/>
  </r>
  <r>
    <x v="1051"/>
    <n v="15"/>
    <n v="48"/>
    <n v="63"/>
    <n v="17"/>
    <n v="18"/>
    <x v="14"/>
    <n v="17"/>
    <n v="16"/>
    <n v="47"/>
    <n v="1.6"/>
    <n v="0"/>
    <n v="0"/>
  </r>
  <r>
    <x v="1052"/>
    <n v="16"/>
    <n v="47"/>
    <n v="63"/>
    <n v="17"/>
    <n v="20"/>
    <x v="45"/>
    <n v="24"/>
    <n v="12"/>
    <n v="44"/>
    <n v="1.2000000000000002"/>
    <n v="0"/>
    <n v="0"/>
  </r>
  <r>
    <x v="1053"/>
    <n v="12"/>
    <n v="44"/>
    <n v="56"/>
    <n v="24"/>
    <n v="10"/>
    <x v="28"/>
    <n v="23"/>
    <n v="-1"/>
    <n v="58"/>
    <n v="0"/>
    <n v="1"/>
    <n v="1"/>
  </r>
  <r>
    <x v="1054"/>
    <n v="-1"/>
    <n v="58"/>
    <n v="57"/>
    <n v="23"/>
    <n v="17"/>
    <x v="8"/>
    <n v="21"/>
    <n v="-5"/>
    <n v="64"/>
    <n v="0"/>
    <n v="1"/>
    <n v="5"/>
  </r>
  <r>
    <x v="1055"/>
    <n v="-5"/>
    <n v="64"/>
    <n v="59"/>
    <n v="21"/>
    <n v="17"/>
    <x v="17"/>
    <n v="24"/>
    <n v="-12"/>
    <n v="68"/>
    <n v="0"/>
    <n v="1"/>
    <n v="12"/>
  </r>
  <r>
    <x v="1056"/>
    <n v="-12"/>
    <n v="68"/>
    <n v="56"/>
    <n v="24"/>
    <n v="24"/>
    <x v="17"/>
    <n v="19"/>
    <n v="-7"/>
    <n v="68"/>
    <n v="0"/>
    <n v="1"/>
    <n v="7"/>
  </r>
  <r>
    <x v="1057"/>
    <n v="-7"/>
    <n v="68"/>
    <n v="61"/>
    <n v="19"/>
    <n v="23"/>
    <x v="8"/>
    <n v="22"/>
    <n v="-6"/>
    <n v="64"/>
    <n v="0"/>
    <n v="1"/>
    <n v="6"/>
  </r>
  <r>
    <x v="1058"/>
    <n v="-6"/>
    <n v="64"/>
    <n v="58"/>
    <n v="22"/>
    <n v="21"/>
    <x v="26"/>
    <n v="15"/>
    <n v="0"/>
    <n v="65"/>
    <n v="0"/>
    <n v="0"/>
    <n v="0"/>
  </r>
  <r>
    <x v="1059"/>
    <n v="0"/>
    <n v="65"/>
    <n v="65"/>
    <n v="15"/>
    <n v="24"/>
    <x v="32"/>
    <n v="22"/>
    <n v="2"/>
    <n v="56"/>
    <n v="0.2"/>
    <n v="0"/>
    <n v="0"/>
  </r>
  <r>
    <x v="1060"/>
    <n v="2"/>
    <n v="56"/>
    <n v="58"/>
    <n v="22"/>
    <n v="19"/>
    <x v="5"/>
    <n v="18"/>
    <n v="3"/>
    <n v="59"/>
    <n v="0.30000000000000004"/>
    <n v="0"/>
    <n v="0"/>
  </r>
  <r>
    <x v="1061"/>
    <n v="3"/>
    <n v="59"/>
    <n v="62"/>
    <n v="18"/>
    <n v="22"/>
    <x v="27"/>
    <n v="21"/>
    <n v="4"/>
    <n v="55"/>
    <n v="0.4"/>
    <n v="0"/>
    <n v="0"/>
  </r>
  <r>
    <x v="1062"/>
    <n v="4"/>
    <n v="55"/>
    <n v="59"/>
    <n v="21"/>
    <n v="15"/>
    <x v="23"/>
    <n v="24"/>
    <n v="-5"/>
    <n v="61"/>
    <n v="0"/>
    <n v="1"/>
    <n v="5"/>
  </r>
  <r>
    <x v="1063"/>
    <n v="-5"/>
    <n v="61"/>
    <n v="56"/>
    <n v="24"/>
    <n v="22"/>
    <x v="22"/>
    <n v="18"/>
    <n v="-1"/>
    <n v="63"/>
    <n v="0"/>
    <n v="1"/>
    <n v="1"/>
  </r>
  <r>
    <x v="1064"/>
    <n v="-1"/>
    <n v="63"/>
    <n v="62"/>
    <n v="18"/>
    <n v="18"/>
    <x v="22"/>
    <n v="16"/>
    <n v="1"/>
    <n v="63"/>
    <n v="0.1"/>
    <n v="0"/>
    <n v="0"/>
  </r>
  <r>
    <x v="1065"/>
    <n v="1"/>
    <n v="63"/>
    <n v="64"/>
    <n v="16"/>
    <n v="21"/>
    <x v="28"/>
    <n v="16"/>
    <n v="6"/>
    <n v="58"/>
    <n v="0.60000000000000009"/>
    <n v="0"/>
    <n v="0"/>
  </r>
  <r>
    <x v="1066"/>
    <n v="6"/>
    <n v="58"/>
    <n v="64"/>
    <n v="16"/>
    <n v="24"/>
    <x v="13"/>
    <n v="16"/>
    <n v="14"/>
    <n v="50"/>
    <n v="1.4000000000000001"/>
    <n v="0"/>
    <n v="0"/>
  </r>
  <r>
    <x v="1067"/>
    <n v="14"/>
    <n v="50"/>
    <n v="64"/>
    <n v="16"/>
    <n v="18"/>
    <x v="15"/>
    <n v="16"/>
    <n v="16"/>
    <n v="48"/>
    <n v="1.6"/>
    <n v="0"/>
    <n v="0"/>
  </r>
  <r>
    <x v="1068"/>
    <n v="16"/>
    <n v="48"/>
    <n v="64"/>
    <n v="16"/>
    <n v="16"/>
    <x v="15"/>
    <n v="21"/>
    <n v="11"/>
    <n v="48"/>
    <n v="1.1000000000000001"/>
    <n v="0"/>
    <n v="0"/>
  </r>
  <r>
    <x v="1069"/>
    <n v="11"/>
    <n v="48"/>
    <n v="59"/>
    <n v="21"/>
    <n v="16"/>
    <x v="12"/>
    <n v="26"/>
    <n v="1"/>
    <n v="53"/>
    <n v="0.1"/>
    <n v="0"/>
    <n v="0"/>
  </r>
  <r>
    <x v="1070"/>
    <n v="1"/>
    <n v="53"/>
    <n v="54"/>
    <n v="26"/>
    <n v="16"/>
    <x v="22"/>
    <n v="22"/>
    <n v="-5"/>
    <n v="63"/>
    <n v="0"/>
    <n v="1"/>
    <n v="5"/>
  </r>
  <r>
    <x v="1071"/>
    <n v="-5"/>
    <n v="63"/>
    <n v="58"/>
    <n v="22"/>
    <n v="16"/>
    <x v="30"/>
    <n v="20"/>
    <n v="-9"/>
    <n v="69"/>
    <n v="0"/>
    <n v="1"/>
    <n v="9"/>
  </r>
  <r>
    <x v="1072"/>
    <n v="-9"/>
    <n v="69"/>
    <n v="60"/>
    <n v="20"/>
    <n v="21"/>
    <x v="17"/>
    <n v="25"/>
    <n v="-13"/>
    <n v="68"/>
    <n v="0"/>
    <n v="1"/>
    <n v="13"/>
  </r>
  <r>
    <x v="1073"/>
    <n v="-13"/>
    <n v="68"/>
    <n v="55"/>
    <n v="25"/>
    <n v="26"/>
    <x v="21"/>
    <n v="20"/>
    <n v="-7"/>
    <n v="67"/>
    <n v="0"/>
    <n v="1"/>
    <n v="7"/>
  </r>
  <r>
    <x v="1074"/>
    <n v="-7"/>
    <n v="67"/>
    <n v="60"/>
    <n v="20"/>
    <n v="22"/>
    <x v="26"/>
    <n v="14"/>
    <n v="1"/>
    <n v="65"/>
    <n v="0.1"/>
    <n v="0"/>
    <n v="0"/>
  </r>
  <r>
    <x v="1075"/>
    <n v="1"/>
    <n v="65"/>
    <n v="66"/>
    <n v="14"/>
    <n v="20"/>
    <x v="5"/>
    <n v="18"/>
    <n v="3"/>
    <n v="59"/>
    <n v="0.30000000000000004"/>
    <n v="0"/>
    <n v="0"/>
  </r>
  <r>
    <x v="1076"/>
    <n v="3"/>
    <n v="59"/>
    <n v="62"/>
    <n v="18"/>
    <n v="25"/>
    <x v="25"/>
    <n v="21"/>
    <n v="7"/>
    <n v="52"/>
    <n v="0.70000000000000007"/>
    <n v="0"/>
    <n v="0"/>
  </r>
  <r>
    <x v="1077"/>
    <n v="7"/>
    <n v="52"/>
    <n v="59"/>
    <n v="21"/>
    <n v="20"/>
    <x v="12"/>
    <n v="27"/>
    <n v="0"/>
    <n v="53"/>
    <n v="0"/>
    <n v="0"/>
    <n v="0"/>
  </r>
  <r>
    <x v="1078"/>
    <n v="0"/>
    <n v="53"/>
    <n v="53"/>
    <n v="27"/>
    <n v="14"/>
    <x v="7"/>
    <n v="19"/>
    <n v="-5"/>
    <n v="66"/>
    <n v="0"/>
    <n v="1"/>
    <n v="5"/>
  </r>
  <r>
    <x v="1079"/>
    <n v="-5"/>
    <n v="66"/>
    <n v="61"/>
    <n v="19"/>
    <n v="18"/>
    <x v="21"/>
    <n v="13"/>
    <n v="0"/>
    <n v="67"/>
    <n v="0"/>
    <n v="0"/>
    <n v="0"/>
  </r>
  <r>
    <x v="1080"/>
    <n v="0"/>
    <n v="67"/>
    <n v="67"/>
    <n v="13"/>
    <n v="21"/>
    <x v="5"/>
    <n v="19"/>
    <n v="2"/>
    <n v="59"/>
    <n v="0.2"/>
    <n v="0"/>
    <n v="0"/>
  </r>
  <r>
    <x v="1081"/>
    <n v="2"/>
    <n v="59"/>
    <n v="61"/>
    <n v="19"/>
    <n v="27"/>
    <x v="9"/>
    <n v="19"/>
    <n v="10"/>
    <n v="51"/>
    <n v="1"/>
    <n v="0"/>
    <n v="0"/>
  </r>
  <r>
    <x v="1082"/>
    <n v="10"/>
    <n v="51"/>
    <n v="61"/>
    <n v="19"/>
    <n v="19"/>
    <x v="9"/>
    <n v="20"/>
    <n v="9"/>
    <n v="51"/>
    <n v="0.9"/>
    <n v="0"/>
    <n v="0"/>
  </r>
  <r>
    <x v="1083"/>
    <n v="9"/>
    <n v="51"/>
    <n v="60"/>
    <n v="20"/>
    <n v="13"/>
    <x v="28"/>
    <n v="24"/>
    <n v="-2"/>
    <n v="58"/>
    <n v="0"/>
    <n v="1"/>
    <n v="2"/>
  </r>
  <r>
    <x v="1084"/>
    <n v="-2"/>
    <n v="58"/>
    <n v="56"/>
    <n v="24"/>
    <n v="19"/>
    <x v="22"/>
    <n v="15"/>
    <n v="2"/>
    <n v="63"/>
    <n v="0.2"/>
    <n v="0"/>
    <n v="0"/>
  </r>
  <r>
    <x v="1085"/>
    <n v="2"/>
    <n v="63"/>
    <n v="65"/>
    <n v="15"/>
    <n v="19"/>
    <x v="5"/>
    <n v="21"/>
    <n v="0"/>
    <n v="59"/>
    <n v="0"/>
    <n v="0"/>
    <n v="0"/>
  </r>
  <r>
    <x v="1086"/>
    <n v="0"/>
    <n v="59"/>
    <n v="59"/>
    <n v="21"/>
    <n v="20"/>
    <x v="4"/>
    <n v="16"/>
    <n v="4"/>
    <n v="60"/>
    <n v="0.4"/>
    <n v="0"/>
    <n v="0"/>
  </r>
  <r>
    <x v="1087"/>
    <n v="4"/>
    <n v="60"/>
    <n v="64"/>
    <n v="16"/>
    <n v="24"/>
    <x v="25"/>
    <n v="17"/>
    <n v="11"/>
    <n v="52"/>
    <n v="1.1000000000000001"/>
    <n v="0"/>
    <n v="0"/>
  </r>
  <r>
    <x v="1088"/>
    <n v="11"/>
    <n v="52"/>
    <n v="63"/>
    <n v="17"/>
    <n v="15"/>
    <x v="16"/>
    <n v="31"/>
    <n v="-5"/>
    <n v="54"/>
    <n v="0"/>
    <n v="1"/>
    <n v="5"/>
  </r>
  <r>
    <x v="1089"/>
    <n v="-5"/>
    <n v="54"/>
    <n v="49"/>
    <n v="31"/>
    <n v="21"/>
    <x v="8"/>
    <n v="19"/>
    <n v="-3"/>
    <n v="64"/>
    <n v="0"/>
    <n v="1"/>
    <n v="3"/>
  </r>
  <r>
    <x v="1090"/>
    <n v="-3"/>
    <n v="64"/>
    <n v="61"/>
    <n v="19"/>
    <n v="16"/>
    <x v="21"/>
    <n v="25"/>
    <n v="-12"/>
    <n v="67"/>
    <n v="0"/>
    <n v="1"/>
    <n v="12"/>
  </r>
  <r>
    <x v="1091"/>
    <n v="-12"/>
    <n v="67"/>
    <n v="55"/>
    <n v="25"/>
    <n v="17"/>
    <x v="44"/>
    <n v="13"/>
    <n v="-8"/>
    <n v="75"/>
    <n v="0"/>
    <n v="1"/>
    <n v="8"/>
  </r>
  <r>
    <x v="1092"/>
    <n v="-8"/>
    <n v="75"/>
    <n v="67"/>
    <n v="13"/>
    <n v="31"/>
    <x v="24"/>
    <n v="19"/>
    <n v="4"/>
    <n v="57"/>
    <n v="0.4"/>
    <n v="0"/>
    <n v="0"/>
  </r>
  <r>
    <x v="1093"/>
    <n v="4"/>
    <n v="57"/>
    <n v="61"/>
    <n v="19"/>
    <n v="19"/>
    <x v="24"/>
    <n v="20"/>
    <n v="3"/>
    <n v="57"/>
    <n v="0.30000000000000004"/>
    <n v="0"/>
    <n v="0"/>
  </r>
  <r>
    <x v="1094"/>
    <n v="3"/>
    <n v="57"/>
    <n v="60"/>
    <n v="20"/>
    <n v="25"/>
    <x v="25"/>
    <n v="17"/>
    <n v="11"/>
    <n v="52"/>
    <n v="1.1000000000000001"/>
    <n v="0"/>
    <n v="0"/>
  </r>
  <r>
    <x v="1095"/>
    <n v="11"/>
    <n v="52"/>
    <n v="63"/>
    <n v="17"/>
    <n v="13"/>
    <x v="32"/>
    <n v="17"/>
    <n v="7"/>
    <n v="56"/>
    <n v="0.70000000000000007"/>
    <n v="0"/>
    <n v="0"/>
  </r>
  <r>
    <x v="1096"/>
    <n v="7"/>
    <n v="56"/>
    <n v="63"/>
    <n v="17"/>
    <n v="19"/>
    <x v="16"/>
    <n v="22"/>
    <n v="4"/>
    <n v="54"/>
    <n v="0.4"/>
    <n v="0"/>
    <n v="0"/>
  </r>
  <r>
    <x v="1097"/>
    <n v="4"/>
    <n v="54"/>
    <n v="58"/>
    <n v="22"/>
    <n v="20"/>
    <x v="32"/>
    <n v="22"/>
    <n v="2"/>
    <n v="56"/>
    <n v="0.2"/>
    <n v="0"/>
    <n v="0"/>
  </r>
  <r>
    <x v="1098"/>
    <n v="2"/>
    <n v="56"/>
    <n v="58"/>
    <n v="22"/>
    <n v="17"/>
    <x v="23"/>
    <n v="18"/>
    <n v="1"/>
    <n v="61"/>
    <n v="0.1"/>
    <n v="0"/>
    <n v="0"/>
  </r>
  <r>
    <x v="1099"/>
    <n v="1"/>
    <n v="61"/>
    <n v="62"/>
    <n v="18"/>
    <n v="17"/>
    <x v="33"/>
    <n v="15"/>
    <n v="3"/>
    <n v="62"/>
    <n v="0.30000000000000004"/>
    <n v="0"/>
    <n v="0"/>
  </r>
  <r>
    <x v="1100"/>
    <n v="3"/>
    <n v="62"/>
    <n v="65"/>
    <n v="15"/>
    <n v="22"/>
    <x v="27"/>
    <n v="16"/>
    <n v="9"/>
    <n v="55"/>
    <n v="0.9"/>
    <n v="0"/>
    <n v="0"/>
  </r>
  <r>
    <x v="1101"/>
    <n v="9"/>
    <n v="55"/>
    <n v="64"/>
    <n v="16"/>
    <n v="22"/>
    <x v="10"/>
    <n v="19"/>
    <n v="12"/>
    <n v="49"/>
    <n v="1.2000000000000002"/>
    <n v="0"/>
    <n v="0"/>
  </r>
  <r>
    <x v="1102"/>
    <n v="12"/>
    <n v="49"/>
    <n v="61"/>
    <n v="19"/>
    <n v="18"/>
    <x v="13"/>
    <n v="22"/>
    <n v="8"/>
    <n v="50"/>
    <n v="0.8"/>
    <n v="0"/>
    <n v="0"/>
  </r>
  <r>
    <x v="1103"/>
    <n v="8"/>
    <n v="50"/>
    <n v="58"/>
    <n v="22"/>
    <n v="15"/>
    <x v="24"/>
    <n v="24"/>
    <n v="-1"/>
    <n v="57"/>
    <n v="0"/>
    <n v="1"/>
    <n v="1"/>
  </r>
  <r>
    <x v="1104"/>
    <n v="-1"/>
    <n v="57"/>
    <n v="56"/>
    <n v="24"/>
    <n v="16"/>
    <x v="26"/>
    <n v="20"/>
    <n v="-5"/>
    <n v="65"/>
    <n v="0"/>
    <n v="1"/>
    <n v="5"/>
  </r>
  <r>
    <x v="1105"/>
    <n v="-5"/>
    <n v="65"/>
    <n v="60"/>
    <n v="20"/>
    <n v="19"/>
    <x v="7"/>
    <n v="21"/>
    <n v="-7"/>
    <n v="66"/>
    <n v="0"/>
    <n v="1"/>
    <n v="7"/>
  </r>
  <r>
    <x v="1106"/>
    <n v="-7"/>
    <n v="66"/>
    <n v="59"/>
    <n v="21"/>
    <n v="22"/>
    <x v="26"/>
    <n v="24"/>
    <n v="-9"/>
    <n v="65"/>
    <n v="0"/>
    <n v="1"/>
    <n v="9"/>
  </r>
  <r>
    <x v="1107"/>
    <n v="-9"/>
    <n v="65"/>
    <n v="56"/>
    <n v="24"/>
    <n v="24"/>
    <x v="26"/>
    <n v="15"/>
    <n v="0"/>
    <n v="65"/>
    <n v="0"/>
    <n v="0"/>
    <n v="0"/>
  </r>
  <r>
    <x v="1108"/>
    <n v="0"/>
    <n v="65"/>
    <n v="65"/>
    <n v="15"/>
    <n v="20"/>
    <x v="4"/>
    <n v="17"/>
    <n v="3"/>
    <n v="60"/>
    <n v="0.30000000000000004"/>
    <n v="0"/>
    <n v="0"/>
  </r>
  <r>
    <x v="1109"/>
    <n v="3"/>
    <n v="60"/>
    <n v="63"/>
    <n v="17"/>
    <n v="21"/>
    <x v="32"/>
    <n v="27"/>
    <n v="-3"/>
    <n v="56"/>
    <n v="0"/>
    <n v="1"/>
    <n v="3"/>
  </r>
  <r>
    <x v="1110"/>
    <n v="-3"/>
    <n v="56"/>
    <n v="53"/>
    <n v="27"/>
    <n v="24"/>
    <x v="5"/>
    <n v="21"/>
    <n v="0"/>
    <n v="59"/>
    <n v="0"/>
    <n v="0"/>
    <n v="0"/>
  </r>
  <r>
    <x v="1111"/>
    <n v="0"/>
    <n v="59"/>
    <n v="59"/>
    <n v="21"/>
    <n v="15"/>
    <x v="26"/>
    <n v="23"/>
    <n v="-8"/>
    <n v="65"/>
    <n v="0"/>
    <n v="1"/>
    <n v="8"/>
  </r>
  <r>
    <x v="1112"/>
    <n v="-8"/>
    <n v="65"/>
    <n v="57"/>
    <n v="23"/>
    <n v="17"/>
    <x v="20"/>
    <n v="18"/>
    <n v="-9"/>
    <n v="71"/>
    <n v="0"/>
    <n v="1"/>
    <n v="9"/>
  </r>
  <r>
    <x v="1113"/>
    <n v="-9"/>
    <n v="71"/>
    <n v="62"/>
    <n v="18"/>
    <n v="27"/>
    <x v="33"/>
    <n v="15"/>
    <n v="3"/>
    <n v="62"/>
    <n v="0.30000000000000004"/>
    <n v="0"/>
    <n v="0"/>
  </r>
  <r>
    <x v="1114"/>
    <n v="3"/>
    <n v="62"/>
    <n v="65"/>
    <n v="15"/>
    <n v="21"/>
    <x v="32"/>
    <n v="14"/>
    <n v="10"/>
    <n v="56"/>
    <n v="1"/>
    <n v="0"/>
    <n v="0"/>
  </r>
  <r>
    <x v="1115"/>
    <n v="10"/>
    <n v="56"/>
    <n v="66"/>
    <n v="14"/>
    <n v="23"/>
    <x v="14"/>
    <n v="16"/>
    <n v="17"/>
    <n v="47"/>
    <n v="1.7000000000000002"/>
    <n v="0"/>
    <n v="0"/>
  </r>
  <r>
    <x v="1116"/>
    <n v="17"/>
    <n v="47"/>
    <n v="64"/>
    <n v="16"/>
    <n v="18"/>
    <x v="11"/>
    <n v="18"/>
    <n v="17"/>
    <n v="45"/>
    <n v="1.7000000000000002"/>
    <n v="0"/>
    <n v="0"/>
  </r>
  <r>
    <x v="1117"/>
    <n v="17"/>
    <n v="45"/>
    <n v="62"/>
    <n v="18"/>
    <n v="15"/>
    <x v="15"/>
    <n v="24"/>
    <n v="8"/>
    <n v="48"/>
    <n v="0.8"/>
    <n v="0"/>
    <n v="0"/>
  </r>
  <r>
    <x v="1118"/>
    <n v="8"/>
    <n v="48"/>
    <n v="56"/>
    <n v="24"/>
    <n v="14"/>
    <x v="28"/>
    <n v="19"/>
    <n v="3"/>
    <n v="58"/>
    <n v="0.30000000000000004"/>
    <n v="0"/>
    <n v="0"/>
  </r>
  <r>
    <x v="1119"/>
    <n v="3"/>
    <n v="58"/>
    <n v="61"/>
    <n v="19"/>
    <n v="16"/>
    <x v="23"/>
    <n v="23"/>
    <n v="-4"/>
    <n v="61"/>
    <n v="0"/>
    <n v="1"/>
    <n v="4"/>
  </r>
  <r>
    <x v="1120"/>
    <n v="-4"/>
    <n v="61"/>
    <n v="57"/>
    <n v="23"/>
    <n v="18"/>
    <x v="7"/>
    <n v="17"/>
    <n v="-3"/>
    <n v="66"/>
    <n v="0"/>
    <n v="1"/>
    <n v="3"/>
  </r>
  <r>
    <x v="1121"/>
    <n v="-3"/>
    <n v="66"/>
    <n v="63"/>
    <n v="17"/>
    <n v="24"/>
    <x v="5"/>
    <n v="14"/>
    <n v="7"/>
    <n v="59"/>
    <n v="0.70000000000000007"/>
    <n v="0"/>
    <n v="0"/>
  </r>
  <r>
    <x v="1122"/>
    <n v="7"/>
    <n v="59"/>
    <n v="66"/>
    <n v="14"/>
    <n v="19"/>
    <x v="16"/>
    <n v="19"/>
    <n v="7"/>
    <n v="54"/>
    <n v="0.70000000000000007"/>
    <n v="0"/>
    <n v="0"/>
  </r>
  <r>
    <x v="1123"/>
    <n v="7"/>
    <n v="54"/>
    <n v="61"/>
    <n v="19"/>
    <n v="23"/>
    <x v="13"/>
    <n v="17"/>
    <n v="13"/>
    <n v="50"/>
    <n v="1.3"/>
    <n v="0"/>
    <n v="0"/>
  </r>
  <r>
    <x v="1124"/>
    <n v="13"/>
    <n v="50"/>
    <n v="63"/>
    <n v="17"/>
    <n v="17"/>
    <x v="13"/>
    <n v="22"/>
    <n v="8"/>
    <n v="50"/>
    <n v="0.8"/>
    <n v="0"/>
    <n v="0"/>
  </r>
  <r>
    <x v="1125"/>
    <n v="8"/>
    <n v="50"/>
    <n v="58"/>
    <n v="22"/>
    <n v="14"/>
    <x v="28"/>
    <n v="27"/>
    <n v="-5"/>
    <n v="58"/>
    <n v="0"/>
    <n v="1"/>
    <n v="5"/>
  </r>
  <r>
    <x v="1126"/>
    <n v="-5"/>
    <n v="58"/>
    <n v="53"/>
    <n v="27"/>
    <n v="19"/>
    <x v="7"/>
    <n v="18"/>
    <n v="-4"/>
    <n v="66"/>
    <n v="0"/>
    <n v="1"/>
    <n v="4"/>
  </r>
  <r>
    <x v="1127"/>
    <n v="-4"/>
    <n v="66"/>
    <n v="62"/>
    <n v="18"/>
    <n v="17"/>
    <x v="21"/>
    <n v="22"/>
    <n v="-9"/>
    <n v="67"/>
    <n v="0"/>
    <n v="1"/>
    <n v="9"/>
  </r>
  <r>
    <x v="1128"/>
    <n v="-9"/>
    <n v="67"/>
    <n v="58"/>
    <n v="22"/>
    <n v="22"/>
    <x v="21"/>
    <n v="12"/>
    <n v="1"/>
    <n v="67"/>
    <n v="0.1"/>
    <n v="0"/>
    <n v="0"/>
  </r>
  <r>
    <x v="1129"/>
    <n v="1"/>
    <n v="67"/>
    <n v="68"/>
    <n v="12"/>
    <n v="27"/>
    <x v="25"/>
    <n v="15"/>
    <n v="13"/>
    <n v="52"/>
    <n v="1.3"/>
    <n v="0"/>
    <n v="0"/>
  </r>
  <r>
    <x v="1130"/>
    <n v="13"/>
    <n v="52"/>
    <n v="65"/>
    <n v="15"/>
    <n v="18"/>
    <x v="10"/>
    <n v="19"/>
    <n v="12"/>
    <n v="49"/>
    <n v="1.2000000000000002"/>
    <n v="0"/>
    <n v="0"/>
  </r>
  <r>
    <x v="1131"/>
    <n v="12"/>
    <n v="49"/>
    <n v="61"/>
    <n v="19"/>
    <n v="22"/>
    <x v="38"/>
    <n v="19"/>
    <n v="15"/>
    <n v="46"/>
    <n v="1.5"/>
    <n v="0"/>
    <n v="0"/>
  </r>
  <r>
    <x v="1132"/>
    <n v="15"/>
    <n v="46"/>
    <n v="61"/>
    <n v="19"/>
    <n v="12"/>
    <x v="12"/>
    <n v="18"/>
    <n v="9"/>
    <n v="53"/>
    <n v="0.9"/>
    <n v="0"/>
    <n v="0"/>
  </r>
  <r>
    <x v="1133"/>
    <n v="9"/>
    <n v="53"/>
    <n v="62"/>
    <n v="18"/>
    <n v="15"/>
    <x v="32"/>
    <n v="17"/>
    <n v="7"/>
    <n v="56"/>
    <n v="0.70000000000000007"/>
    <n v="0"/>
    <n v="0"/>
  </r>
  <r>
    <x v="1134"/>
    <n v="7"/>
    <n v="56"/>
    <n v="63"/>
    <n v="17"/>
    <n v="19"/>
    <x v="16"/>
    <n v="13"/>
    <n v="13"/>
    <n v="54"/>
    <n v="1.3"/>
    <n v="0"/>
    <n v="0"/>
  </r>
  <r>
    <x v="1135"/>
    <n v="13"/>
    <n v="54"/>
    <n v="67"/>
    <n v="13"/>
    <n v="19"/>
    <x v="15"/>
    <n v="19"/>
    <n v="13"/>
    <n v="48"/>
    <n v="1.3"/>
    <n v="0"/>
    <n v="0"/>
  </r>
  <r>
    <x v="1136"/>
    <n v="13"/>
    <n v="48"/>
    <n v="61"/>
    <n v="19"/>
    <n v="18"/>
    <x v="10"/>
    <n v="24"/>
    <n v="7"/>
    <n v="49"/>
    <n v="0.70000000000000007"/>
    <n v="0"/>
    <n v="0"/>
  </r>
  <r>
    <x v="1137"/>
    <n v="7"/>
    <n v="49"/>
    <n v="56"/>
    <n v="24"/>
    <n v="17"/>
    <x v="32"/>
    <n v="24"/>
    <n v="0"/>
    <n v="56"/>
    <n v="0"/>
    <n v="0"/>
    <n v="0"/>
  </r>
  <r>
    <x v="1138"/>
    <n v="0"/>
    <n v="56"/>
    <n v="56"/>
    <n v="24"/>
    <n v="13"/>
    <x v="21"/>
    <n v="18"/>
    <n v="-5"/>
    <n v="67"/>
    <n v="0"/>
    <n v="1"/>
    <n v="5"/>
  </r>
  <r>
    <x v="1139"/>
    <n v="-5"/>
    <n v="67"/>
    <n v="62"/>
    <n v="18"/>
    <n v="19"/>
    <x v="7"/>
    <n v="26"/>
    <n v="-12"/>
    <n v="66"/>
    <n v="0"/>
    <n v="1"/>
    <n v="12"/>
  </r>
  <r>
    <x v="1140"/>
    <n v="-12"/>
    <n v="66"/>
    <n v="54"/>
    <n v="26"/>
    <n v="24"/>
    <x v="17"/>
    <n v="26"/>
    <n v="-14"/>
    <n v="68"/>
    <n v="0"/>
    <n v="1"/>
    <n v="14"/>
  </r>
  <r>
    <x v="1141"/>
    <n v="-14"/>
    <n v="68"/>
    <n v="54"/>
    <n v="26"/>
    <n v="24"/>
    <x v="6"/>
    <n v="30"/>
    <n v="-20"/>
    <n v="70"/>
    <n v="0"/>
    <n v="1"/>
    <n v="20"/>
  </r>
  <r>
    <x v="1142"/>
    <n v="-20"/>
    <n v="70"/>
    <n v="50"/>
    <n v="30"/>
    <n v="18"/>
    <x v="19"/>
    <n v="17"/>
    <n v="-19"/>
    <n v="82"/>
    <n v="0"/>
    <n v="1"/>
    <n v="17"/>
  </r>
  <r>
    <x v="1143"/>
    <n v="-19"/>
    <n v="82"/>
    <n v="63"/>
    <n v="17"/>
    <n v="26"/>
    <x v="31"/>
    <n v="17"/>
    <n v="-10"/>
    <n v="73"/>
    <n v="0"/>
    <n v="1"/>
    <n v="10"/>
  </r>
  <r>
    <x v="1144"/>
    <n v="-10"/>
    <n v="73"/>
    <n v="63"/>
    <n v="17"/>
    <n v="26"/>
    <x v="8"/>
    <n v="19"/>
    <n v="-3"/>
    <n v="64"/>
    <n v="0"/>
    <n v="1"/>
    <n v="3"/>
  </r>
  <r>
    <x v="1145"/>
    <n v="-3"/>
    <n v="64"/>
    <n v="61"/>
    <n v="19"/>
    <n v="30"/>
    <x v="12"/>
    <n v="18"/>
    <n v="9"/>
    <n v="53"/>
    <n v="0.9"/>
    <n v="0"/>
    <n v="0"/>
  </r>
  <r>
    <x v="1146"/>
    <n v="9"/>
    <n v="53"/>
    <n v="62"/>
    <n v="18"/>
    <n v="17"/>
    <x v="16"/>
    <n v="21"/>
    <n v="5"/>
    <n v="54"/>
    <n v="0.5"/>
    <n v="0"/>
    <n v="0"/>
  </r>
  <r>
    <x v="1147"/>
    <n v="5"/>
    <n v="54"/>
    <n v="59"/>
    <n v="21"/>
    <n v="17"/>
    <x v="28"/>
    <n v="17"/>
    <n v="5"/>
    <n v="58"/>
    <n v="0.5"/>
    <n v="0"/>
    <n v="0"/>
  </r>
  <r>
    <x v="1148"/>
    <n v="5"/>
    <n v="58"/>
    <n v="63"/>
    <n v="17"/>
    <n v="19"/>
    <x v="32"/>
    <n v="16"/>
    <n v="8"/>
    <n v="56"/>
    <n v="0.8"/>
    <n v="0"/>
    <n v="0"/>
  </r>
  <r>
    <x v="1149"/>
    <n v="8"/>
    <n v="56"/>
    <n v="64"/>
    <n v="16"/>
    <n v="18"/>
    <x v="16"/>
    <n v="17"/>
    <n v="9"/>
    <n v="54"/>
    <n v="0.9"/>
    <n v="0"/>
    <n v="0"/>
  </r>
  <r>
    <x v="1150"/>
    <n v="9"/>
    <n v="54"/>
    <n v="63"/>
    <n v="17"/>
    <n v="21"/>
    <x v="13"/>
    <n v="17"/>
    <n v="13"/>
    <n v="50"/>
    <n v="1.3"/>
    <n v="0"/>
    <n v="0"/>
  </r>
  <r>
    <x v="1151"/>
    <n v="13"/>
    <n v="50"/>
    <n v="63"/>
    <n v="17"/>
    <n v="17"/>
    <x v="13"/>
    <n v="22"/>
    <n v="8"/>
    <n v="50"/>
    <n v="0.8"/>
    <n v="0"/>
    <n v="0"/>
  </r>
  <r>
    <x v="1152"/>
    <n v="8"/>
    <n v="50"/>
    <n v="58"/>
    <n v="22"/>
    <n v="16"/>
    <x v="32"/>
    <n v="18"/>
    <n v="6"/>
    <n v="56"/>
    <n v="0.60000000000000009"/>
    <n v="0"/>
    <n v="0"/>
  </r>
  <r>
    <x v="1153"/>
    <n v="6"/>
    <n v="56"/>
    <n v="62"/>
    <n v="18"/>
    <n v="17"/>
    <x v="24"/>
    <n v="22"/>
    <n v="1"/>
    <n v="57"/>
    <n v="0.1"/>
    <n v="0"/>
    <n v="0"/>
  </r>
  <r>
    <x v="1154"/>
    <n v="1"/>
    <n v="57"/>
    <n v="58"/>
    <n v="22"/>
    <n v="17"/>
    <x v="33"/>
    <n v="17"/>
    <n v="1"/>
    <n v="62"/>
    <n v="0.1"/>
    <n v="0"/>
    <n v="0"/>
  </r>
  <r>
    <x v="1155"/>
    <n v="1"/>
    <n v="62"/>
    <n v="63"/>
    <n v="17"/>
    <n v="22"/>
    <x v="24"/>
    <n v="17"/>
    <n v="6"/>
    <n v="57"/>
    <n v="0.60000000000000009"/>
    <n v="0"/>
    <n v="0"/>
  </r>
  <r>
    <x v="1156"/>
    <n v="6"/>
    <n v="57"/>
    <n v="63"/>
    <n v="17"/>
    <n v="18"/>
    <x v="32"/>
    <n v="21"/>
    <n v="3"/>
    <n v="56"/>
    <n v="0.30000000000000004"/>
    <n v="0"/>
    <n v="0"/>
  </r>
  <r>
    <x v="1157"/>
    <n v="3"/>
    <n v="56"/>
    <n v="59"/>
    <n v="21"/>
    <n v="22"/>
    <x v="27"/>
    <n v="27"/>
    <n v="-2"/>
    <n v="55"/>
    <n v="0"/>
    <n v="1"/>
    <n v="2"/>
  </r>
  <r>
    <x v="1158"/>
    <n v="-2"/>
    <n v="55"/>
    <n v="53"/>
    <n v="27"/>
    <n v="17"/>
    <x v="26"/>
    <n v="13"/>
    <n v="2"/>
    <n v="65"/>
    <n v="0.2"/>
    <n v="0"/>
    <n v="0"/>
  </r>
  <r>
    <x v="1159"/>
    <n v="2"/>
    <n v="65"/>
    <n v="67"/>
    <n v="13"/>
    <n v="17"/>
    <x v="23"/>
    <n v="24"/>
    <n v="-5"/>
    <n v="61"/>
    <n v="0"/>
    <n v="1"/>
    <n v="5"/>
  </r>
  <r>
    <x v="1160"/>
    <n v="-5"/>
    <n v="61"/>
    <n v="56"/>
    <n v="24"/>
    <n v="21"/>
    <x v="8"/>
    <n v="20"/>
    <n v="-4"/>
    <n v="64"/>
    <n v="0"/>
    <n v="1"/>
    <n v="4"/>
  </r>
  <r>
    <x v="1161"/>
    <n v="-4"/>
    <n v="64"/>
    <n v="60"/>
    <n v="20"/>
    <n v="27"/>
    <x v="24"/>
    <n v="27"/>
    <n v="-4"/>
    <n v="57"/>
    <n v="0"/>
    <n v="1"/>
    <n v="4"/>
  </r>
  <r>
    <x v="1162"/>
    <n v="-4"/>
    <n v="57"/>
    <n v="53"/>
    <n v="27"/>
    <n v="13"/>
    <x v="20"/>
    <n v="19"/>
    <n v="-10"/>
    <n v="71"/>
    <n v="0"/>
    <n v="1"/>
    <n v="10"/>
  </r>
  <r>
    <x v="1163"/>
    <n v="-10"/>
    <n v="71"/>
    <n v="61"/>
    <n v="19"/>
    <n v="24"/>
    <x v="7"/>
    <n v="19"/>
    <n v="-5"/>
    <n v="66"/>
    <n v="0"/>
    <n v="1"/>
    <n v="5"/>
  </r>
  <r>
    <x v="1164"/>
    <n v="-5"/>
    <n v="66"/>
    <n v="61"/>
    <n v="19"/>
    <n v="20"/>
    <x v="26"/>
    <n v="17"/>
    <n v="-2"/>
    <n v="65"/>
    <n v="0"/>
    <n v="1"/>
    <n v="2"/>
  </r>
  <r>
    <x v="1165"/>
    <n v="-2"/>
    <n v="65"/>
    <n v="63"/>
    <n v="17"/>
    <n v="27"/>
    <x v="27"/>
    <n v="14"/>
    <n v="11"/>
    <n v="55"/>
    <n v="1.1000000000000001"/>
    <n v="0"/>
    <n v="0"/>
  </r>
  <r>
    <x v="1166"/>
    <n v="11"/>
    <n v="55"/>
    <n v="66"/>
    <n v="14"/>
    <n v="19"/>
    <x v="13"/>
    <n v="23"/>
    <n v="7"/>
    <n v="50"/>
    <n v="0.70000000000000007"/>
    <n v="0"/>
    <n v="0"/>
  </r>
  <r>
    <x v="1167"/>
    <n v="7"/>
    <n v="50"/>
    <n v="57"/>
    <n v="23"/>
    <n v="19"/>
    <x v="16"/>
    <n v="28"/>
    <n v="-2"/>
    <n v="54"/>
    <n v="0"/>
    <n v="1"/>
    <n v="2"/>
  </r>
  <r>
    <x v="1168"/>
    <n v="-2"/>
    <n v="54"/>
    <n v="52"/>
    <n v="28"/>
    <n v="17"/>
    <x v="26"/>
    <n v="19"/>
    <n v="-4"/>
    <n v="65"/>
    <n v="0"/>
    <n v="1"/>
    <n v="4"/>
  </r>
  <r>
    <x v="1169"/>
    <n v="-4"/>
    <n v="65"/>
    <n v="61"/>
    <n v="19"/>
    <n v="14"/>
    <x v="6"/>
    <n v="14"/>
    <n v="-4"/>
    <n v="70"/>
    <n v="0"/>
    <n v="1"/>
    <n v="4"/>
  </r>
  <r>
    <x v="1170"/>
    <n v="-4"/>
    <n v="70"/>
    <n v="66"/>
    <n v="14"/>
    <n v="23"/>
    <x v="23"/>
    <n v="19"/>
    <n v="0"/>
    <n v="61"/>
    <n v="0"/>
    <n v="0"/>
    <n v="0"/>
  </r>
  <r>
    <x v="1171"/>
    <n v="0"/>
    <n v="61"/>
    <n v="61"/>
    <n v="19"/>
    <n v="28"/>
    <x v="25"/>
    <n v="20"/>
    <n v="8"/>
    <n v="52"/>
    <n v="0.8"/>
    <n v="0"/>
    <n v="0"/>
  </r>
  <r>
    <x v="1172"/>
    <n v="8"/>
    <n v="52"/>
    <n v="60"/>
    <n v="20"/>
    <n v="19"/>
    <x v="12"/>
    <n v="18"/>
    <n v="9"/>
    <n v="53"/>
    <n v="0.9"/>
    <n v="0"/>
    <n v="0"/>
  </r>
  <r>
    <x v="1173"/>
    <n v="9"/>
    <n v="53"/>
    <n v="62"/>
    <n v="18"/>
    <n v="14"/>
    <x v="24"/>
    <n v="17"/>
    <n v="6"/>
    <n v="57"/>
    <n v="0.60000000000000009"/>
    <n v="0"/>
    <n v="0"/>
  </r>
  <r>
    <x v="1174"/>
    <n v="6"/>
    <n v="57"/>
    <n v="63"/>
    <n v="17"/>
    <n v="19"/>
    <x v="27"/>
    <n v="22"/>
    <n v="3"/>
    <n v="55"/>
    <n v="0.30000000000000004"/>
    <n v="0"/>
    <n v="0"/>
  </r>
  <r>
    <x v="1175"/>
    <n v="3"/>
    <n v="55"/>
    <n v="58"/>
    <n v="22"/>
    <n v="20"/>
    <x v="24"/>
    <n v="20"/>
    <n v="3"/>
    <n v="57"/>
    <n v="0.30000000000000004"/>
    <n v="0"/>
    <n v="0"/>
  </r>
  <r>
    <x v="1176"/>
    <n v="3"/>
    <n v="57"/>
    <n v="60"/>
    <n v="20"/>
    <n v="18"/>
    <x v="5"/>
    <n v="15"/>
    <n v="6"/>
    <n v="59"/>
    <n v="0.60000000000000009"/>
    <n v="0"/>
    <n v="0"/>
  </r>
  <r>
    <x v="1177"/>
    <n v="6"/>
    <n v="59"/>
    <n v="65"/>
    <n v="15"/>
    <n v="17"/>
    <x v="24"/>
    <n v="19"/>
    <n v="4"/>
    <n v="57"/>
    <n v="0.4"/>
    <n v="0"/>
    <n v="0"/>
  </r>
  <r>
    <x v="1178"/>
    <n v="4"/>
    <n v="57"/>
    <n v="61"/>
    <n v="19"/>
    <n v="22"/>
    <x v="16"/>
    <n v="15"/>
    <n v="11"/>
    <n v="54"/>
    <n v="1.1000000000000001"/>
    <n v="0"/>
    <n v="0"/>
  </r>
  <r>
    <x v="1179"/>
    <n v="11"/>
    <n v="54"/>
    <n v="65"/>
    <n v="15"/>
    <n v="20"/>
    <x v="10"/>
    <n v="22"/>
    <n v="9"/>
    <n v="49"/>
    <n v="0.9"/>
    <n v="0"/>
    <n v="0"/>
  </r>
  <r>
    <x v="1180"/>
    <n v="9"/>
    <n v="49"/>
    <n v="58"/>
    <n v="22"/>
    <n v="15"/>
    <x v="32"/>
    <n v="12"/>
    <n v="12"/>
    <n v="56"/>
    <n v="1.2000000000000002"/>
    <n v="0"/>
    <n v="0"/>
  </r>
  <r>
    <x v="1181"/>
    <n v="12"/>
    <n v="56"/>
    <n v="68"/>
    <n v="12"/>
    <n v="19"/>
    <x v="10"/>
    <n v="13"/>
    <n v="18"/>
    <n v="49"/>
    <n v="1.8"/>
    <n v="0"/>
    <n v="0"/>
  </r>
  <r>
    <x v="1182"/>
    <n v="18"/>
    <n v="49"/>
    <n v="67"/>
    <n v="13"/>
    <n v="15"/>
    <x v="14"/>
    <n v="19"/>
    <n v="14"/>
    <n v="47"/>
    <n v="1.4000000000000001"/>
    <n v="0"/>
    <n v="0"/>
  </r>
  <r>
    <x v="1183"/>
    <n v="14"/>
    <n v="47"/>
    <n v="61"/>
    <n v="19"/>
    <n v="22"/>
    <x v="45"/>
    <n v="12"/>
    <n v="24"/>
    <n v="44"/>
    <n v="2.4000000000000004"/>
    <n v="0"/>
    <n v="0"/>
  </r>
  <r>
    <x v="1184"/>
    <n v="24"/>
    <n v="44"/>
    <n v="68"/>
    <n v="12"/>
    <n v="12"/>
    <x v="45"/>
    <n v="19"/>
    <n v="17"/>
    <n v="44"/>
    <n v="1.7000000000000002"/>
    <n v="0"/>
    <n v="0"/>
  </r>
  <r>
    <x v="1185"/>
    <n v="17"/>
    <n v="44"/>
    <n v="61"/>
    <n v="19"/>
    <n v="13"/>
    <x v="13"/>
    <n v="19"/>
    <n v="11"/>
    <n v="50"/>
    <n v="1.1000000000000001"/>
    <n v="0"/>
    <n v="0"/>
  </r>
  <r>
    <x v="1186"/>
    <n v="11"/>
    <n v="50"/>
    <n v="61"/>
    <n v="19"/>
    <n v="19"/>
    <x v="13"/>
    <n v="16"/>
    <n v="14"/>
    <n v="50"/>
    <n v="1.4000000000000001"/>
    <n v="0"/>
    <n v="0"/>
  </r>
  <r>
    <x v="1187"/>
    <n v="14"/>
    <n v="50"/>
    <n v="64"/>
    <n v="16"/>
    <n v="12"/>
    <x v="16"/>
    <n v="18"/>
    <n v="8"/>
    <n v="54"/>
    <n v="0.8"/>
    <n v="0"/>
    <n v="0"/>
  </r>
  <r>
    <x v="1188"/>
    <n v="8"/>
    <n v="54"/>
    <n v="62"/>
    <n v="18"/>
    <n v="19"/>
    <x v="12"/>
    <n v="23"/>
    <n v="4"/>
    <n v="53"/>
    <n v="0.4"/>
    <n v="0"/>
    <n v="0"/>
  </r>
  <r>
    <x v="1189"/>
    <n v="4"/>
    <n v="53"/>
    <n v="57"/>
    <n v="23"/>
    <n v="19"/>
    <x v="24"/>
    <n v="16"/>
    <n v="7"/>
    <n v="57"/>
    <n v="0.70000000000000007"/>
    <n v="0"/>
    <n v="0"/>
  </r>
  <r>
    <x v="1190"/>
    <n v="7"/>
    <n v="57"/>
    <n v="64"/>
    <n v="16"/>
    <n v="16"/>
    <x v="24"/>
    <n v="22"/>
    <n v="1"/>
    <n v="57"/>
    <n v="0.1"/>
    <n v="0"/>
    <n v="0"/>
  </r>
  <r>
    <x v="1191"/>
    <n v="1"/>
    <n v="57"/>
    <n v="58"/>
    <n v="22"/>
    <n v="18"/>
    <x v="23"/>
    <n v="11"/>
    <n v="8"/>
    <n v="61"/>
    <n v="0.8"/>
    <n v="0"/>
    <n v="0"/>
  </r>
  <r>
    <x v="1192"/>
    <n v="8"/>
    <n v="61"/>
    <n v="69"/>
    <n v="11"/>
    <n v="23"/>
    <x v="10"/>
    <n v="28"/>
    <n v="3"/>
    <n v="49"/>
    <n v="0.30000000000000004"/>
    <n v="0"/>
    <n v="0"/>
  </r>
  <r>
    <x v="1193"/>
    <n v="3"/>
    <n v="49"/>
    <n v="52"/>
    <n v="28"/>
    <n v="16"/>
    <x v="23"/>
    <n v="12"/>
    <n v="7"/>
    <n v="61"/>
    <n v="0.70000000000000007"/>
    <n v="0"/>
    <n v="0"/>
  </r>
  <r>
    <x v="1194"/>
    <n v="7"/>
    <n v="61"/>
    <n v="68"/>
    <n v="12"/>
    <n v="22"/>
    <x v="9"/>
    <n v="21"/>
    <n v="8"/>
    <n v="51"/>
    <n v="0.8"/>
    <n v="0"/>
    <n v="0"/>
  </r>
  <r>
    <x v="1195"/>
    <n v="8"/>
    <n v="51"/>
    <n v="59"/>
    <n v="21"/>
    <n v="11"/>
    <x v="23"/>
    <n v="16"/>
    <n v="3"/>
    <n v="61"/>
    <n v="0.30000000000000004"/>
    <n v="0"/>
    <n v="0"/>
  </r>
  <r>
    <x v="1196"/>
    <n v="3"/>
    <n v="61"/>
    <n v="64"/>
    <n v="16"/>
    <n v="28"/>
    <x v="10"/>
    <n v="21"/>
    <n v="10"/>
    <n v="49"/>
    <n v="1"/>
    <n v="0"/>
    <n v="0"/>
  </r>
  <r>
    <x v="1197"/>
    <n v="10"/>
    <n v="49"/>
    <n v="59"/>
    <n v="21"/>
    <n v="12"/>
    <x v="28"/>
    <n v="21"/>
    <n v="1"/>
    <n v="58"/>
    <n v="0.1"/>
    <n v="0"/>
    <n v="0"/>
  </r>
  <r>
    <x v="1198"/>
    <n v="1"/>
    <n v="58"/>
    <n v="59"/>
    <n v="21"/>
    <n v="21"/>
    <x v="28"/>
    <n v="23"/>
    <n v="-1"/>
    <n v="58"/>
    <n v="0"/>
    <n v="1"/>
    <n v="1"/>
  </r>
  <r>
    <x v="1199"/>
    <n v="-1"/>
    <n v="58"/>
    <n v="57"/>
    <n v="23"/>
    <n v="16"/>
    <x v="26"/>
    <n v="17"/>
    <n v="-2"/>
    <n v="65"/>
    <n v="0"/>
    <n v="1"/>
    <n v="2"/>
  </r>
  <r>
    <x v="1200"/>
    <n v="-2"/>
    <n v="65"/>
    <n v="63"/>
    <n v="17"/>
    <n v="21"/>
    <x v="23"/>
    <n v="10"/>
    <n v="9"/>
    <n v="61"/>
    <n v="0.9"/>
    <n v="0"/>
    <n v="0"/>
  </r>
  <r>
    <x v="1201"/>
    <n v="9"/>
    <n v="61"/>
    <n v="70"/>
    <n v="10"/>
    <n v="21"/>
    <x v="13"/>
    <n v="12"/>
    <n v="18"/>
    <n v="50"/>
    <n v="1.8"/>
    <n v="0"/>
    <n v="0"/>
  </r>
  <r>
    <x v="1202"/>
    <n v="18"/>
    <n v="50"/>
    <n v="68"/>
    <n v="12"/>
    <n v="23"/>
    <x v="34"/>
    <n v="20"/>
    <n v="21"/>
    <n v="39"/>
    <n v="2.1"/>
    <n v="0"/>
    <n v="0"/>
  </r>
  <r>
    <x v="1203"/>
    <n v="21"/>
    <n v="39"/>
    <n v="60"/>
    <n v="20"/>
    <n v="17"/>
    <x v="40"/>
    <n v="14"/>
    <n v="24"/>
    <n v="42"/>
    <n v="2.4000000000000004"/>
    <n v="0"/>
    <n v="0"/>
  </r>
  <r>
    <x v="1204"/>
    <n v="24"/>
    <n v="42"/>
    <n v="66"/>
    <n v="14"/>
    <n v="10"/>
    <x v="38"/>
    <n v="18"/>
    <n v="16"/>
    <n v="46"/>
    <n v="1.6"/>
    <n v="0"/>
    <n v="0"/>
  </r>
  <r>
    <x v="1205"/>
    <n v="16"/>
    <n v="46"/>
    <n v="62"/>
    <n v="18"/>
    <n v="12"/>
    <x v="25"/>
    <n v="19"/>
    <n v="9"/>
    <n v="52"/>
    <n v="0.9"/>
    <n v="0"/>
    <n v="0"/>
  </r>
  <r>
    <x v="1206"/>
    <n v="9"/>
    <n v="52"/>
    <n v="61"/>
    <n v="19"/>
    <n v="20"/>
    <x v="9"/>
    <n v="17"/>
    <n v="12"/>
    <n v="51"/>
    <n v="1.2000000000000002"/>
    <n v="0"/>
    <n v="0"/>
  </r>
  <r>
    <x v="1207"/>
    <n v="12"/>
    <n v="51"/>
    <n v="63"/>
    <n v="17"/>
    <n v="14"/>
    <x v="16"/>
    <n v="22"/>
    <n v="4"/>
    <n v="54"/>
    <n v="0.4"/>
    <n v="0"/>
    <n v="0"/>
  </r>
  <r>
    <x v="1208"/>
    <n v="4"/>
    <n v="54"/>
    <n v="58"/>
    <n v="22"/>
    <n v="18"/>
    <x v="28"/>
    <n v="19"/>
    <n v="3"/>
    <n v="58"/>
    <n v="0.30000000000000004"/>
    <n v="0"/>
    <n v="0"/>
  </r>
  <r>
    <x v="1209"/>
    <n v="3"/>
    <n v="58"/>
    <n v="61"/>
    <n v="19"/>
    <n v="19"/>
    <x v="28"/>
    <n v="19"/>
    <n v="3"/>
    <n v="58"/>
    <n v="0.30000000000000004"/>
    <n v="0"/>
    <n v="0"/>
  </r>
  <r>
    <x v="1210"/>
    <n v="3"/>
    <n v="58"/>
    <n v="61"/>
    <n v="19"/>
    <n v="17"/>
    <x v="4"/>
    <n v="13"/>
    <n v="7"/>
    <n v="60"/>
    <n v="0.70000000000000007"/>
    <n v="0"/>
    <n v="0"/>
  </r>
  <r>
    <x v="1211"/>
    <n v="7"/>
    <n v="60"/>
    <n v="67"/>
    <n v="13"/>
    <n v="22"/>
    <x v="9"/>
    <n v="20"/>
    <n v="9"/>
    <n v="51"/>
    <n v="0.9"/>
    <n v="0"/>
    <n v="0"/>
  </r>
  <r>
    <x v="1212"/>
    <n v="9"/>
    <n v="51"/>
    <n v="60"/>
    <n v="20"/>
    <n v="19"/>
    <x v="25"/>
    <n v="17"/>
    <n v="11"/>
    <n v="52"/>
    <n v="1.1000000000000001"/>
    <n v="0"/>
    <n v="0"/>
  </r>
  <r>
    <x v="1213"/>
    <n v="11"/>
    <n v="52"/>
    <n v="63"/>
    <n v="17"/>
    <n v="19"/>
    <x v="13"/>
    <n v="22"/>
    <n v="8"/>
    <n v="50"/>
    <n v="0.8"/>
    <n v="0"/>
    <n v="0"/>
  </r>
  <r>
    <x v="1214"/>
    <n v="8"/>
    <n v="50"/>
    <n v="58"/>
    <n v="22"/>
    <n v="13"/>
    <x v="5"/>
    <n v="24"/>
    <n v="-3"/>
    <n v="59"/>
    <n v="0"/>
    <n v="1"/>
    <n v="3"/>
  </r>
  <r>
    <x v="1215"/>
    <n v="-3"/>
    <n v="59"/>
    <n v="56"/>
    <n v="24"/>
    <n v="20"/>
    <x v="22"/>
    <n v="23"/>
    <n v="-6"/>
    <n v="63"/>
    <n v="0"/>
    <n v="1"/>
    <n v="6"/>
  </r>
  <r>
    <x v="1216"/>
    <n v="-6"/>
    <n v="63"/>
    <n v="57"/>
    <n v="23"/>
    <n v="17"/>
    <x v="30"/>
    <n v="34"/>
    <n v="-23"/>
    <n v="69"/>
    <n v="0"/>
    <n v="1"/>
    <n v="23"/>
  </r>
  <r>
    <x v="1217"/>
    <n v="-23"/>
    <n v="69"/>
    <n v="46"/>
    <n v="34"/>
    <n v="22"/>
    <x v="41"/>
    <n v="22"/>
    <n v="-23"/>
    <n v="81"/>
    <n v="0"/>
    <n v="1"/>
    <n v="22"/>
  </r>
  <r>
    <x v="1218"/>
    <n v="-23"/>
    <n v="81"/>
    <n v="58"/>
    <n v="22"/>
    <n v="24"/>
    <x v="43"/>
    <n v="18"/>
    <n v="-17"/>
    <n v="79"/>
    <n v="0"/>
    <n v="1"/>
    <n v="17"/>
  </r>
  <r>
    <x v="1219"/>
    <n v="-17"/>
    <n v="79"/>
    <n v="62"/>
    <n v="18"/>
    <n v="23"/>
    <x v="39"/>
    <n v="28"/>
    <n v="-22"/>
    <n v="74"/>
    <n v="0"/>
    <n v="1"/>
    <n v="22"/>
  </r>
  <r>
    <x v="1220"/>
    <n v="-22"/>
    <n v="74"/>
    <n v="52"/>
    <n v="28"/>
    <n v="34"/>
    <x v="17"/>
    <n v="27"/>
    <n v="-15"/>
    <n v="68"/>
    <n v="0"/>
    <n v="1"/>
    <n v="15"/>
  </r>
  <r>
    <x v="1221"/>
    <n v="-15"/>
    <n v="68"/>
    <n v="53"/>
    <n v="27"/>
    <n v="22"/>
    <x v="31"/>
    <n v="21"/>
    <n v="-14"/>
    <n v="73"/>
    <n v="0"/>
    <n v="1"/>
    <n v="14"/>
  </r>
  <r>
    <x v="1222"/>
    <n v="-14"/>
    <n v="73"/>
    <n v="59"/>
    <n v="21"/>
    <n v="18"/>
    <x v="37"/>
    <n v="24"/>
    <n v="-20"/>
    <n v="76"/>
    <n v="0"/>
    <n v="1"/>
    <n v="20"/>
  </r>
  <r>
    <x v="1223"/>
    <n v="-20"/>
    <n v="76"/>
    <n v="56"/>
    <n v="24"/>
    <n v="28"/>
    <x v="29"/>
    <n v="20"/>
    <n v="-12"/>
    <n v="72"/>
    <n v="0"/>
    <n v="1"/>
    <n v="12"/>
  </r>
  <r>
    <x v="1224"/>
    <n v="-12"/>
    <n v="72"/>
    <n v="60"/>
    <n v="20"/>
    <n v="27"/>
    <x v="26"/>
    <n v="19"/>
    <n v="-4"/>
    <n v="65"/>
    <n v="0"/>
    <n v="1"/>
    <n v="4"/>
  </r>
  <r>
    <x v="1225"/>
    <n v="-4"/>
    <n v="65"/>
    <n v="61"/>
    <n v="19"/>
    <n v="21"/>
    <x v="22"/>
    <n v="14"/>
    <n v="3"/>
    <n v="63"/>
    <n v="0.30000000000000004"/>
    <n v="0"/>
    <n v="0"/>
  </r>
  <r>
    <x v="1226"/>
    <n v="3"/>
    <n v="63"/>
    <n v="66"/>
    <n v="14"/>
    <n v="24"/>
    <x v="12"/>
    <n v="24"/>
    <n v="3"/>
    <n v="53"/>
    <n v="0.30000000000000004"/>
    <n v="0"/>
    <n v="0"/>
  </r>
  <r>
    <x v="1227"/>
    <n v="3"/>
    <n v="53"/>
    <n v="56"/>
    <n v="24"/>
    <n v="20"/>
    <x v="24"/>
    <n v="30"/>
    <n v="-7"/>
    <n v="57"/>
    <n v="0"/>
    <n v="1"/>
    <n v="7"/>
  </r>
  <r>
    <x v="1228"/>
    <n v="-7"/>
    <n v="57"/>
    <n v="50"/>
    <n v="30"/>
    <n v="19"/>
    <x v="17"/>
    <n v="19"/>
    <n v="-7"/>
    <n v="68"/>
    <n v="0"/>
    <n v="1"/>
    <n v="7"/>
  </r>
  <r>
    <x v="1229"/>
    <n v="-7"/>
    <n v="68"/>
    <n v="61"/>
    <n v="19"/>
    <n v="14"/>
    <x v="31"/>
    <n v="20"/>
    <n v="-13"/>
    <n v="73"/>
    <n v="0"/>
    <n v="1"/>
    <n v="13"/>
  </r>
  <r>
    <x v="1230"/>
    <n v="-13"/>
    <n v="73"/>
    <n v="60"/>
    <n v="20"/>
    <n v="24"/>
    <x v="30"/>
    <n v="19"/>
    <n v="-8"/>
    <n v="69"/>
    <n v="0"/>
    <n v="1"/>
    <n v="8"/>
  </r>
  <r>
    <x v="1231"/>
    <n v="-8"/>
    <n v="69"/>
    <n v="61"/>
    <n v="19"/>
    <n v="30"/>
    <x v="28"/>
    <n v="20"/>
    <n v="2"/>
    <n v="58"/>
    <n v="0.2"/>
    <n v="0"/>
    <n v="0"/>
  </r>
  <r>
    <x v="1232"/>
    <n v="2"/>
    <n v="58"/>
    <n v="60"/>
    <n v="20"/>
    <n v="19"/>
    <x v="5"/>
    <n v="23"/>
    <n v="-2"/>
    <n v="59"/>
    <n v="0"/>
    <n v="1"/>
    <n v="2"/>
  </r>
  <r>
    <x v="1233"/>
    <n v="-2"/>
    <n v="59"/>
    <n v="57"/>
    <n v="23"/>
    <n v="20"/>
    <x v="33"/>
    <n v="19"/>
    <n v="-1"/>
    <n v="62"/>
    <n v="0"/>
    <n v="1"/>
    <n v="1"/>
  </r>
  <r>
    <x v="1234"/>
    <n v="-1"/>
    <n v="62"/>
    <n v="61"/>
    <n v="19"/>
    <n v="19"/>
    <x v="33"/>
    <n v="23"/>
    <n v="-5"/>
    <n v="62"/>
    <n v="0"/>
    <n v="1"/>
    <n v="5"/>
  </r>
  <r>
    <x v="1235"/>
    <n v="-5"/>
    <n v="62"/>
    <n v="57"/>
    <n v="23"/>
    <n v="20"/>
    <x v="26"/>
    <n v="28"/>
    <n v="-13"/>
    <n v="65"/>
    <n v="0"/>
    <n v="1"/>
    <n v="13"/>
  </r>
  <r>
    <x v="1236"/>
    <n v="-13"/>
    <n v="65"/>
    <n v="52"/>
    <n v="28"/>
    <n v="23"/>
    <x v="6"/>
    <n v="19"/>
    <n v="-9"/>
    <n v="70"/>
    <n v="0"/>
    <n v="1"/>
    <n v="9"/>
  </r>
  <r>
    <x v="1237"/>
    <n v="-9"/>
    <n v="70"/>
    <n v="61"/>
    <n v="19"/>
    <n v="19"/>
    <x v="6"/>
    <n v="28"/>
    <n v="-18"/>
    <n v="70"/>
    <n v="0"/>
    <n v="1"/>
    <n v="18"/>
  </r>
  <r>
    <x v="1238"/>
    <n v="-18"/>
    <n v="70"/>
    <n v="52"/>
    <n v="28"/>
    <n v="23"/>
    <x v="44"/>
    <n v="17"/>
    <n v="-12"/>
    <n v="75"/>
    <n v="0"/>
    <n v="1"/>
    <n v="12"/>
  </r>
  <r>
    <x v="1239"/>
    <n v="-12"/>
    <n v="75"/>
    <n v="63"/>
    <n v="17"/>
    <n v="28"/>
    <x v="8"/>
    <n v="22"/>
    <n v="-6"/>
    <n v="64"/>
    <n v="0"/>
    <n v="1"/>
    <n v="6"/>
  </r>
  <r>
    <x v="1240"/>
    <n v="-6"/>
    <n v="64"/>
    <n v="58"/>
    <n v="22"/>
    <n v="19"/>
    <x v="21"/>
    <n v="20"/>
    <n v="-7"/>
    <n v="67"/>
    <n v="0"/>
    <n v="1"/>
    <n v="7"/>
  </r>
  <r>
    <x v="1241"/>
    <n v="-7"/>
    <n v="67"/>
    <n v="60"/>
    <n v="20"/>
    <n v="28"/>
    <x v="5"/>
    <n v="20"/>
    <n v="1"/>
    <n v="59"/>
    <n v="0.1"/>
    <n v="0"/>
    <n v="0"/>
  </r>
  <r>
    <x v="1242"/>
    <n v="1"/>
    <n v="59"/>
    <n v="60"/>
    <n v="20"/>
    <n v="17"/>
    <x v="33"/>
    <n v="20"/>
    <n v="-2"/>
    <n v="62"/>
    <n v="0"/>
    <n v="1"/>
    <n v="2"/>
  </r>
  <r>
    <x v="1243"/>
    <n v="-2"/>
    <n v="62"/>
    <n v="60"/>
    <n v="20"/>
    <n v="22"/>
    <x v="4"/>
    <n v="13"/>
    <n v="7"/>
    <n v="60"/>
    <n v="0.70000000000000007"/>
    <n v="0"/>
    <n v="0"/>
  </r>
  <r>
    <x v="1244"/>
    <n v="7"/>
    <n v="60"/>
    <n v="67"/>
    <n v="13"/>
    <n v="20"/>
    <x v="12"/>
    <n v="23"/>
    <n v="4"/>
    <n v="53"/>
    <n v="0.4"/>
    <n v="0"/>
    <n v="0"/>
  </r>
  <r>
    <x v="1245"/>
    <n v="4"/>
    <n v="53"/>
    <n v="57"/>
    <n v="23"/>
    <n v="20"/>
    <x v="32"/>
    <n v="20"/>
    <n v="4"/>
    <n v="56"/>
    <n v="0.4"/>
    <n v="0"/>
    <n v="0"/>
  </r>
  <r>
    <x v="1246"/>
    <n v="4"/>
    <n v="56"/>
    <n v="60"/>
    <n v="20"/>
    <n v="20"/>
    <x v="32"/>
    <n v="18"/>
    <n v="6"/>
    <n v="56"/>
    <n v="0.60000000000000009"/>
    <n v="0"/>
    <n v="0"/>
  </r>
  <r>
    <x v="1247"/>
    <n v="6"/>
    <n v="56"/>
    <n v="62"/>
    <n v="18"/>
    <n v="13"/>
    <x v="23"/>
    <n v="23"/>
    <n v="-4"/>
    <n v="61"/>
    <n v="0"/>
    <n v="1"/>
    <n v="4"/>
  </r>
  <r>
    <x v="1248"/>
    <n v="-4"/>
    <n v="61"/>
    <n v="57"/>
    <n v="23"/>
    <n v="23"/>
    <x v="23"/>
    <n v="22"/>
    <n v="-3"/>
    <n v="61"/>
    <n v="0"/>
    <n v="1"/>
    <n v="3"/>
  </r>
  <r>
    <x v="1249"/>
    <n v="-3"/>
    <n v="61"/>
    <n v="58"/>
    <n v="22"/>
    <n v="20"/>
    <x v="22"/>
    <n v="18"/>
    <n v="-1"/>
    <n v="63"/>
    <n v="0"/>
    <n v="1"/>
    <n v="1"/>
  </r>
  <r>
    <x v="1250"/>
    <n v="-1"/>
    <n v="63"/>
    <n v="62"/>
    <n v="18"/>
    <n v="18"/>
    <x v="22"/>
    <n v="16"/>
    <n v="1"/>
    <n v="63"/>
    <n v="0.1"/>
    <n v="0"/>
    <n v="0"/>
  </r>
  <r>
    <x v="1251"/>
    <n v="1"/>
    <n v="63"/>
    <n v="64"/>
    <n v="16"/>
    <n v="23"/>
    <x v="32"/>
    <n v="17"/>
    <n v="7"/>
    <n v="56"/>
    <n v="0.70000000000000007"/>
    <n v="0"/>
    <n v="0"/>
  </r>
  <r>
    <x v="1252"/>
    <n v="7"/>
    <n v="56"/>
    <n v="63"/>
    <n v="17"/>
    <n v="22"/>
    <x v="9"/>
    <n v="25"/>
    <n v="4"/>
    <n v="51"/>
    <n v="0.4"/>
    <n v="0"/>
    <n v="0"/>
  </r>
  <r>
    <x v="1253"/>
    <n v="4"/>
    <n v="51"/>
    <n v="55"/>
    <n v="25"/>
    <n v="18"/>
    <x v="28"/>
    <n v="19"/>
    <n v="3"/>
    <n v="58"/>
    <n v="0.30000000000000004"/>
    <n v="0"/>
    <n v="0"/>
  </r>
  <r>
    <x v="1254"/>
    <n v="3"/>
    <n v="58"/>
    <n v="61"/>
    <n v="19"/>
    <n v="16"/>
    <x v="23"/>
    <n v="26"/>
    <n v="-7"/>
    <n v="61"/>
    <n v="0"/>
    <n v="1"/>
    <n v="7"/>
  </r>
  <r>
    <x v="1255"/>
    <n v="-7"/>
    <n v="61"/>
    <n v="54"/>
    <n v="26"/>
    <n v="17"/>
    <x v="6"/>
    <n v="16"/>
    <n v="-6"/>
    <n v="70"/>
    <n v="0"/>
    <n v="1"/>
    <n v="6"/>
  </r>
  <r>
    <x v="1256"/>
    <n v="-6"/>
    <n v="70"/>
    <n v="64"/>
    <n v="16"/>
    <n v="25"/>
    <x v="23"/>
    <n v="22"/>
    <n v="-3"/>
    <n v="61"/>
    <n v="0"/>
    <n v="1"/>
    <n v="3"/>
  </r>
  <r>
    <x v="1257"/>
    <n v="-3"/>
    <n v="61"/>
    <n v="58"/>
    <n v="22"/>
    <n v="19"/>
    <x v="8"/>
    <n v="18"/>
    <n v="-2"/>
    <n v="64"/>
    <n v="0"/>
    <n v="1"/>
    <n v="2"/>
  </r>
  <r>
    <x v="1258"/>
    <n v="-2"/>
    <n v="64"/>
    <n v="62"/>
    <n v="18"/>
    <n v="26"/>
    <x v="32"/>
    <n v="14"/>
    <n v="10"/>
    <n v="56"/>
    <n v="1"/>
    <n v="0"/>
    <n v="0"/>
  </r>
  <r>
    <x v="1259"/>
    <n v="10"/>
    <n v="56"/>
    <n v="66"/>
    <n v="14"/>
    <n v="16"/>
    <x v="16"/>
    <n v="25"/>
    <n v="1"/>
    <n v="54"/>
    <n v="0.1"/>
    <n v="0"/>
    <n v="0"/>
  </r>
  <r>
    <x v="1260"/>
    <n v="1"/>
    <n v="54"/>
    <n v="55"/>
    <n v="25"/>
    <n v="22"/>
    <x v="24"/>
    <n v="26"/>
    <n v="-3"/>
    <n v="57"/>
    <n v="0"/>
    <n v="1"/>
    <n v="3"/>
  </r>
  <r>
    <x v="1261"/>
    <n v="-3"/>
    <n v="57"/>
    <n v="54"/>
    <n v="26"/>
    <n v="18"/>
    <x v="26"/>
    <n v="23"/>
    <n v="-8"/>
    <n v="65"/>
    <n v="0"/>
    <n v="1"/>
    <n v="8"/>
  </r>
  <r>
    <x v="1262"/>
    <n v="-8"/>
    <n v="65"/>
    <n v="57"/>
    <n v="23"/>
    <n v="14"/>
    <x v="39"/>
    <n v="17"/>
    <n v="-11"/>
    <n v="74"/>
    <n v="0"/>
    <n v="1"/>
    <n v="11"/>
  </r>
  <r>
    <x v="1263"/>
    <n v="-11"/>
    <n v="74"/>
    <n v="63"/>
    <n v="17"/>
    <n v="25"/>
    <x v="7"/>
    <n v="20"/>
    <n v="-6"/>
    <n v="66"/>
    <n v="0"/>
    <n v="1"/>
    <n v="6"/>
  </r>
  <r>
    <x v="1264"/>
    <n v="-6"/>
    <n v="66"/>
    <n v="60"/>
    <n v="20"/>
    <n v="26"/>
    <x v="4"/>
    <n v="8"/>
    <n v="12"/>
    <n v="60"/>
    <n v="1.2000000000000002"/>
    <n v="0"/>
    <n v="0"/>
  </r>
  <r>
    <x v="1265"/>
    <n v="12"/>
    <n v="60"/>
    <n v="72"/>
    <n v="8"/>
    <n v="23"/>
    <x v="11"/>
    <n v="23"/>
    <n v="12"/>
    <n v="45"/>
    <n v="1.2000000000000002"/>
    <n v="0"/>
    <n v="0"/>
  </r>
  <r>
    <x v="1266"/>
    <n v="12"/>
    <n v="45"/>
    <n v="57"/>
    <n v="23"/>
    <n v="17"/>
    <x v="9"/>
    <n v="19"/>
    <n v="10"/>
    <n v="51"/>
    <n v="1"/>
    <n v="0"/>
    <n v="0"/>
  </r>
  <r>
    <x v="1267"/>
    <n v="10"/>
    <n v="51"/>
    <n v="61"/>
    <n v="19"/>
    <n v="20"/>
    <x v="13"/>
    <n v="18"/>
    <n v="12"/>
    <n v="50"/>
    <n v="1.2000000000000002"/>
    <n v="0"/>
    <n v="0"/>
  </r>
  <r>
    <x v="1268"/>
    <n v="12"/>
    <n v="50"/>
    <n v="62"/>
    <n v="18"/>
    <n v="8"/>
    <x v="4"/>
    <n v="22"/>
    <n v="-2"/>
    <n v="60"/>
    <n v="0"/>
    <n v="1"/>
    <n v="2"/>
  </r>
  <r>
    <x v="1269"/>
    <n v="-2"/>
    <n v="60"/>
    <n v="58"/>
    <n v="22"/>
    <n v="23"/>
    <x v="5"/>
    <n v="22"/>
    <n v="-1"/>
    <n v="59"/>
    <n v="0"/>
    <n v="1"/>
    <n v="1"/>
  </r>
  <r>
    <x v="1270"/>
    <n v="-1"/>
    <n v="59"/>
    <n v="58"/>
    <n v="22"/>
    <n v="19"/>
    <x v="33"/>
    <n v="25"/>
    <n v="-7"/>
    <n v="62"/>
    <n v="0"/>
    <n v="1"/>
    <n v="7"/>
  </r>
  <r>
    <x v="1271"/>
    <n v="-7"/>
    <n v="62"/>
    <n v="55"/>
    <n v="25"/>
    <n v="18"/>
    <x v="30"/>
    <n v="23"/>
    <n v="-12"/>
    <n v="69"/>
    <n v="0"/>
    <n v="1"/>
    <n v="12"/>
  </r>
  <r>
    <x v="1272"/>
    <n v="-12"/>
    <n v="69"/>
    <n v="57"/>
    <n v="23"/>
    <n v="22"/>
    <x v="6"/>
    <n v="24"/>
    <n v="-14"/>
    <n v="70"/>
    <n v="0"/>
    <n v="1"/>
    <n v="14"/>
  </r>
  <r>
    <x v="1273"/>
    <n v="-14"/>
    <n v="70"/>
    <n v="56"/>
    <n v="24"/>
    <n v="22"/>
    <x v="29"/>
    <n v="28"/>
    <n v="-20"/>
    <n v="72"/>
    <n v="0"/>
    <n v="1"/>
    <n v="20"/>
  </r>
  <r>
    <x v="1274"/>
    <n v="-20"/>
    <n v="72"/>
    <n v="52"/>
    <n v="28"/>
    <n v="25"/>
    <x v="44"/>
    <n v="25"/>
    <n v="-20"/>
    <n v="75"/>
    <n v="0"/>
    <n v="1"/>
    <n v="20"/>
  </r>
  <r>
    <x v="1275"/>
    <n v="-20"/>
    <n v="75"/>
    <n v="55"/>
    <n v="25"/>
    <n v="23"/>
    <x v="18"/>
    <n v="17"/>
    <n v="-14"/>
    <n v="77"/>
    <n v="0"/>
    <n v="1"/>
    <n v="14"/>
  </r>
  <r>
    <x v="1276"/>
    <n v="-14"/>
    <n v="77"/>
    <n v="63"/>
    <n v="17"/>
    <n v="24"/>
    <x v="6"/>
    <n v="15"/>
    <n v="-5"/>
    <n v="70"/>
    <n v="0"/>
    <n v="1"/>
    <n v="5"/>
  </r>
  <r>
    <x v="1277"/>
    <n v="-5"/>
    <n v="70"/>
    <n v="65"/>
    <n v="15"/>
    <n v="28"/>
    <x v="24"/>
    <n v="12"/>
    <n v="11"/>
    <n v="57"/>
    <n v="1.1000000000000001"/>
    <n v="0"/>
    <n v="0"/>
  </r>
  <r>
    <x v="1278"/>
    <n v="11"/>
    <n v="57"/>
    <n v="68"/>
    <n v="12"/>
    <n v="25"/>
    <x v="45"/>
    <n v="14"/>
    <n v="22"/>
    <n v="44"/>
    <n v="2.2000000000000002"/>
    <n v="0"/>
    <n v="0"/>
  </r>
  <r>
    <x v="1279"/>
    <n v="22"/>
    <n v="44"/>
    <n v="66"/>
    <n v="14"/>
    <n v="17"/>
    <x v="52"/>
    <n v="17"/>
    <n v="22"/>
    <n v="41"/>
    <n v="2.2000000000000002"/>
    <n v="0"/>
    <n v="0"/>
  </r>
  <r>
    <x v="1280"/>
    <n v="22"/>
    <n v="41"/>
    <n v="63"/>
    <n v="17"/>
    <n v="15"/>
    <x v="51"/>
    <n v="20"/>
    <n v="17"/>
    <n v="43"/>
    <n v="1.7000000000000002"/>
    <n v="0"/>
    <n v="0"/>
  </r>
  <r>
    <x v="1281"/>
    <n v="17"/>
    <n v="43"/>
    <n v="60"/>
    <n v="20"/>
    <n v="12"/>
    <x v="9"/>
    <n v="24"/>
    <n v="5"/>
    <n v="51"/>
    <n v="0.5"/>
    <n v="0"/>
    <n v="0"/>
  </r>
  <r>
    <x v="1282"/>
    <n v="5"/>
    <n v="51"/>
    <n v="56"/>
    <n v="24"/>
    <n v="14"/>
    <x v="23"/>
    <n v="29"/>
    <n v="-10"/>
    <n v="61"/>
    <n v="0"/>
    <n v="1"/>
    <n v="10"/>
  </r>
  <r>
    <x v="1283"/>
    <n v="-10"/>
    <n v="61"/>
    <n v="51"/>
    <n v="29"/>
    <n v="17"/>
    <x v="31"/>
    <n v="24"/>
    <n v="-17"/>
    <n v="73"/>
    <n v="0"/>
    <n v="1"/>
    <n v="17"/>
  </r>
  <r>
    <x v="1284"/>
    <n v="-17"/>
    <n v="73"/>
    <n v="56"/>
    <n v="24"/>
    <n v="20"/>
    <x v="18"/>
    <n v="25"/>
    <n v="-22"/>
    <n v="77"/>
    <n v="0"/>
    <n v="1"/>
    <n v="22"/>
  </r>
  <r>
    <x v="1285"/>
    <n v="-22"/>
    <n v="77"/>
    <n v="55"/>
    <n v="25"/>
    <n v="24"/>
    <x v="35"/>
    <n v="15"/>
    <n v="-13"/>
    <n v="78"/>
    <n v="0"/>
    <n v="1"/>
    <n v="13"/>
  </r>
  <r>
    <x v="1286"/>
    <n v="-13"/>
    <n v="78"/>
    <n v="65"/>
    <n v="15"/>
    <n v="29"/>
    <x v="8"/>
    <n v="21"/>
    <n v="-5"/>
    <n v="64"/>
    <n v="0"/>
    <n v="1"/>
    <n v="5"/>
  </r>
  <r>
    <x v="1287"/>
    <n v="-5"/>
    <n v="64"/>
    <n v="59"/>
    <n v="21"/>
    <n v="24"/>
    <x v="23"/>
    <n v="23"/>
    <n v="-4"/>
    <n v="61"/>
    <n v="0"/>
    <n v="1"/>
    <n v="4"/>
  </r>
  <r>
    <x v="1288"/>
    <n v="-4"/>
    <n v="61"/>
    <n v="57"/>
    <n v="23"/>
    <n v="25"/>
    <x v="5"/>
    <n v="20"/>
    <n v="1"/>
    <n v="59"/>
    <n v="0.1"/>
    <n v="0"/>
    <n v="0"/>
  </r>
  <r>
    <x v="1289"/>
    <n v="1"/>
    <n v="59"/>
    <n v="60"/>
    <n v="20"/>
    <n v="15"/>
    <x v="8"/>
    <n v="17"/>
    <n v="-1"/>
    <n v="64"/>
    <n v="0"/>
    <n v="1"/>
    <n v="1"/>
  </r>
  <r>
    <x v="1290"/>
    <n v="-1"/>
    <n v="64"/>
    <n v="63"/>
    <n v="17"/>
    <n v="21"/>
    <x v="4"/>
    <n v="22"/>
    <n v="-2"/>
    <n v="60"/>
    <n v="0"/>
    <n v="1"/>
    <n v="2"/>
  </r>
  <r>
    <x v="1291"/>
    <n v="-2"/>
    <n v="60"/>
    <n v="58"/>
    <n v="22"/>
    <n v="23"/>
    <x v="5"/>
    <n v="19"/>
    <n v="2"/>
    <n v="59"/>
    <n v="0.2"/>
    <n v="0"/>
    <n v="0"/>
  </r>
  <r>
    <x v="1292"/>
    <n v="2"/>
    <n v="59"/>
    <n v="61"/>
    <n v="19"/>
    <n v="20"/>
    <x v="28"/>
    <n v="22"/>
    <n v="0"/>
    <n v="58"/>
    <n v="0"/>
    <n v="0"/>
    <n v="0"/>
  </r>
  <r>
    <x v="1293"/>
    <n v="0"/>
    <n v="58"/>
    <n v="58"/>
    <n v="22"/>
    <n v="17"/>
    <x v="22"/>
    <n v="19"/>
    <n v="-2"/>
    <n v="63"/>
    <n v="0"/>
    <n v="1"/>
    <n v="2"/>
  </r>
  <r>
    <x v="1294"/>
    <n v="-2"/>
    <n v="63"/>
    <n v="61"/>
    <n v="19"/>
    <n v="22"/>
    <x v="4"/>
    <n v="19"/>
    <n v="1"/>
    <n v="60"/>
    <n v="0.1"/>
    <n v="0"/>
    <n v="0"/>
  </r>
  <r>
    <x v="1295"/>
    <n v="1"/>
    <n v="60"/>
    <n v="61"/>
    <n v="19"/>
    <n v="19"/>
    <x v="4"/>
    <n v="18"/>
    <n v="2"/>
    <n v="60"/>
    <n v="0.2"/>
    <n v="0"/>
    <n v="0"/>
  </r>
  <r>
    <x v="1296"/>
    <n v="2"/>
    <n v="60"/>
    <n v="62"/>
    <n v="18"/>
    <n v="22"/>
    <x v="32"/>
    <n v="20"/>
    <n v="4"/>
    <n v="56"/>
    <n v="0.4"/>
    <n v="0"/>
    <n v="0"/>
  </r>
  <r>
    <x v="1297"/>
    <n v="4"/>
    <n v="56"/>
    <n v="60"/>
    <n v="20"/>
    <n v="19"/>
    <x v="24"/>
    <n v="15"/>
    <n v="8"/>
    <n v="57"/>
    <n v="0.8"/>
    <n v="0"/>
    <n v="0"/>
  </r>
  <r>
    <x v="1298"/>
    <n v="8"/>
    <n v="57"/>
    <n v="65"/>
    <n v="15"/>
    <n v="19"/>
    <x v="12"/>
    <n v="18"/>
    <n v="9"/>
    <n v="53"/>
    <n v="0.9"/>
    <n v="0"/>
    <n v="0"/>
  </r>
  <r>
    <x v="1299"/>
    <n v="9"/>
    <n v="53"/>
    <n v="62"/>
    <n v="18"/>
    <n v="18"/>
    <x v="12"/>
    <n v="21"/>
    <n v="6"/>
    <n v="53"/>
    <n v="0.60000000000000009"/>
    <n v="0"/>
    <n v="0"/>
  </r>
  <r>
    <x v="1300"/>
    <n v="6"/>
    <n v="53"/>
    <n v="59"/>
    <n v="21"/>
    <n v="20"/>
    <x v="16"/>
    <n v="30"/>
    <n v="-4"/>
    <n v="54"/>
    <n v="0"/>
    <n v="1"/>
    <n v="4"/>
  </r>
  <r>
    <x v="1301"/>
    <n v="-4"/>
    <n v="54"/>
    <n v="50"/>
    <n v="30"/>
    <n v="15"/>
    <x v="30"/>
    <n v="17"/>
    <n v="-6"/>
    <n v="69"/>
    <n v="0"/>
    <n v="1"/>
    <n v="6"/>
  </r>
  <r>
    <x v="1302"/>
    <n v="-6"/>
    <n v="69"/>
    <n v="63"/>
    <n v="17"/>
    <n v="18"/>
    <x v="17"/>
    <n v="25"/>
    <n v="-13"/>
    <n v="68"/>
    <n v="0"/>
    <n v="1"/>
    <n v="13"/>
  </r>
  <r>
    <x v="1303"/>
    <n v="-13"/>
    <n v="68"/>
    <n v="55"/>
    <n v="25"/>
    <n v="21"/>
    <x v="29"/>
    <n v="18"/>
    <n v="-10"/>
    <n v="72"/>
    <n v="0"/>
    <n v="1"/>
    <n v="10"/>
  </r>
  <r>
    <x v="1304"/>
    <n v="-10"/>
    <n v="72"/>
    <n v="62"/>
    <n v="18"/>
    <n v="30"/>
    <x v="4"/>
    <n v="19"/>
    <n v="1"/>
    <n v="60"/>
    <n v="0.1"/>
    <n v="0"/>
    <n v="0"/>
  </r>
  <r>
    <x v="1305"/>
    <n v="1"/>
    <n v="60"/>
    <n v="61"/>
    <n v="19"/>
    <n v="17"/>
    <x v="33"/>
    <n v="25"/>
    <n v="-7"/>
    <n v="62"/>
    <n v="0"/>
    <n v="1"/>
    <n v="7"/>
  </r>
  <r>
    <x v="1306"/>
    <n v="-7"/>
    <n v="62"/>
    <n v="55"/>
    <n v="25"/>
    <n v="25"/>
    <x v="33"/>
    <n v="19"/>
    <n v="-1"/>
    <n v="62"/>
    <n v="0"/>
    <n v="1"/>
    <n v="1"/>
  </r>
  <r>
    <x v="1307"/>
    <n v="-1"/>
    <n v="62"/>
    <n v="61"/>
    <n v="19"/>
    <n v="18"/>
    <x v="22"/>
    <n v="20"/>
    <n v="-3"/>
    <n v="63"/>
    <n v="0"/>
    <n v="1"/>
    <n v="3"/>
  </r>
  <r>
    <x v="1308"/>
    <n v="-3"/>
    <n v="63"/>
    <n v="60"/>
    <n v="20"/>
    <n v="19"/>
    <x v="8"/>
    <n v="21"/>
    <n v="-5"/>
    <n v="64"/>
    <n v="0"/>
    <n v="1"/>
    <n v="5"/>
  </r>
  <r>
    <x v="1309"/>
    <n v="-5"/>
    <n v="64"/>
    <n v="59"/>
    <n v="21"/>
    <n v="25"/>
    <x v="4"/>
    <n v="34"/>
    <n v="-14"/>
    <n v="60"/>
    <n v="0"/>
    <n v="1"/>
    <n v="14"/>
  </r>
  <r>
    <x v="1310"/>
    <n v="-14"/>
    <n v="60"/>
    <n v="46"/>
    <n v="34"/>
    <n v="19"/>
    <x v="44"/>
    <n v="18"/>
    <n v="-13"/>
    <n v="75"/>
    <n v="0"/>
    <n v="1"/>
    <n v="13"/>
  </r>
  <r>
    <x v="1311"/>
    <n v="-13"/>
    <n v="75"/>
    <n v="62"/>
    <n v="18"/>
    <n v="20"/>
    <x v="31"/>
    <n v="20"/>
    <n v="-13"/>
    <n v="73"/>
    <n v="0"/>
    <n v="1"/>
    <n v="13"/>
  </r>
  <r>
    <x v="1312"/>
    <n v="-13"/>
    <n v="73"/>
    <n v="60"/>
    <n v="20"/>
    <n v="21"/>
    <x v="29"/>
    <n v="15"/>
    <n v="-7"/>
    <n v="72"/>
    <n v="0"/>
    <n v="1"/>
    <n v="7"/>
  </r>
  <r>
    <x v="1313"/>
    <n v="-7"/>
    <n v="72"/>
    <n v="65"/>
    <n v="15"/>
    <n v="34"/>
    <x v="12"/>
    <n v="26"/>
    <n v="1"/>
    <n v="53"/>
    <n v="0.1"/>
    <n v="0"/>
    <n v="0"/>
  </r>
  <r>
    <x v="1314"/>
    <n v="1"/>
    <n v="53"/>
    <n v="54"/>
    <n v="26"/>
    <n v="18"/>
    <x v="23"/>
    <n v="28"/>
    <n v="-9"/>
    <n v="61"/>
    <n v="0"/>
    <n v="1"/>
    <n v="9"/>
  </r>
  <r>
    <x v="1315"/>
    <n v="-9"/>
    <n v="61"/>
    <n v="52"/>
    <n v="28"/>
    <n v="20"/>
    <x v="30"/>
    <n v="31"/>
    <n v="-20"/>
    <n v="69"/>
    <n v="0"/>
    <n v="1"/>
    <n v="20"/>
  </r>
  <r>
    <x v="1316"/>
    <n v="-20"/>
    <n v="69"/>
    <n v="49"/>
    <n v="31"/>
    <n v="15"/>
    <x v="36"/>
    <n v="22"/>
    <n v="-27"/>
    <n v="85"/>
    <n v="0"/>
    <n v="1"/>
    <n v="22"/>
  </r>
  <r>
    <x v="1317"/>
    <n v="-27"/>
    <n v="85"/>
    <n v="58"/>
    <n v="22"/>
    <n v="26"/>
    <x v="41"/>
    <n v="21"/>
    <n v="-22"/>
    <n v="81"/>
    <n v="0"/>
    <n v="1"/>
    <n v="21"/>
  </r>
  <r>
    <x v="1318"/>
    <n v="-22"/>
    <n v="81"/>
    <n v="59"/>
    <n v="21"/>
    <n v="28"/>
    <x v="39"/>
    <n v="16"/>
    <n v="-10"/>
    <n v="74"/>
    <n v="0"/>
    <n v="1"/>
    <n v="10"/>
  </r>
  <r>
    <x v="1319"/>
    <n v="-10"/>
    <n v="74"/>
    <n v="64"/>
    <n v="16"/>
    <n v="31"/>
    <x v="5"/>
    <n v="12"/>
    <n v="9"/>
    <n v="59"/>
    <n v="0.9"/>
    <n v="0"/>
    <n v="0"/>
  </r>
  <r>
    <x v="1320"/>
    <n v="9"/>
    <n v="59"/>
    <n v="68"/>
    <n v="12"/>
    <n v="22"/>
    <x v="10"/>
    <n v="17"/>
    <n v="14"/>
    <n v="49"/>
    <n v="1.4000000000000001"/>
    <n v="0"/>
    <n v="0"/>
  </r>
  <r>
    <x v="1321"/>
    <n v="14"/>
    <n v="49"/>
    <n v="63"/>
    <n v="17"/>
    <n v="21"/>
    <x v="11"/>
    <n v="19"/>
    <n v="16"/>
    <n v="45"/>
    <n v="1.6"/>
    <n v="0"/>
    <n v="0"/>
  </r>
  <r>
    <x v="1322"/>
    <n v="16"/>
    <n v="45"/>
    <n v="61"/>
    <n v="19"/>
    <n v="16"/>
    <x v="15"/>
    <n v="21"/>
    <n v="11"/>
    <n v="48"/>
    <n v="1.1000000000000001"/>
    <n v="0"/>
    <n v="0"/>
  </r>
  <r>
    <x v="1323"/>
    <n v="11"/>
    <n v="48"/>
    <n v="59"/>
    <n v="21"/>
    <n v="12"/>
    <x v="24"/>
    <n v="23"/>
    <n v="0"/>
    <n v="57"/>
    <n v="0"/>
    <n v="0"/>
    <n v="0"/>
  </r>
  <r>
    <x v="1324"/>
    <n v="0"/>
    <n v="57"/>
    <n v="57"/>
    <n v="23"/>
    <n v="17"/>
    <x v="22"/>
    <n v="22"/>
    <n v="-5"/>
    <n v="63"/>
    <n v="0"/>
    <n v="1"/>
    <n v="5"/>
  </r>
  <r>
    <x v="1325"/>
    <n v="-5"/>
    <n v="63"/>
    <n v="58"/>
    <n v="22"/>
    <n v="19"/>
    <x v="7"/>
    <n v="16"/>
    <n v="-2"/>
    <n v="66"/>
    <n v="0"/>
    <n v="1"/>
    <n v="2"/>
  </r>
  <r>
    <x v="1326"/>
    <n v="-2"/>
    <n v="66"/>
    <n v="64"/>
    <n v="16"/>
    <n v="21"/>
    <x v="23"/>
    <n v="14"/>
    <n v="5"/>
    <n v="61"/>
    <n v="0.5"/>
    <n v="0"/>
    <n v="0"/>
  </r>
  <r>
    <x v="1327"/>
    <n v="5"/>
    <n v="61"/>
    <n v="66"/>
    <n v="14"/>
    <n v="23"/>
    <x v="25"/>
    <n v="15"/>
    <n v="13"/>
    <n v="52"/>
    <n v="1.3"/>
    <n v="0"/>
    <n v="0"/>
  </r>
  <r>
    <x v="1328"/>
    <n v="13"/>
    <n v="52"/>
    <n v="65"/>
    <n v="15"/>
    <n v="22"/>
    <x v="11"/>
    <n v="17"/>
    <n v="18"/>
    <n v="45"/>
    <n v="1.8"/>
    <n v="0"/>
    <n v="0"/>
  </r>
  <r>
    <x v="1329"/>
    <n v="18"/>
    <n v="45"/>
    <n v="63"/>
    <n v="17"/>
    <n v="16"/>
    <x v="38"/>
    <n v="14"/>
    <n v="20"/>
    <n v="46"/>
    <n v="2"/>
    <n v="0"/>
    <n v="0"/>
  </r>
  <r>
    <x v="1330"/>
    <n v="20"/>
    <n v="46"/>
    <n v="66"/>
    <n v="14"/>
    <n v="14"/>
    <x v="38"/>
    <n v="15"/>
    <n v="19"/>
    <n v="46"/>
    <n v="1.9000000000000001"/>
    <n v="0"/>
    <n v="0"/>
  </r>
  <r>
    <x v="1331"/>
    <n v="19"/>
    <n v="46"/>
    <n v="65"/>
    <n v="15"/>
    <n v="15"/>
    <x v="38"/>
    <n v="25"/>
    <n v="9"/>
    <n v="46"/>
    <n v="0.9"/>
    <n v="0"/>
    <n v="0"/>
  </r>
  <r>
    <x v="1332"/>
    <n v="9"/>
    <n v="46"/>
    <n v="55"/>
    <n v="25"/>
    <n v="17"/>
    <x v="16"/>
    <n v="19"/>
    <n v="7"/>
    <n v="54"/>
    <n v="0.70000000000000007"/>
    <n v="0"/>
    <n v="0"/>
  </r>
  <r>
    <x v="1333"/>
    <n v="7"/>
    <n v="54"/>
    <n v="61"/>
    <n v="19"/>
    <n v="14"/>
    <x v="5"/>
    <n v="20"/>
    <n v="1"/>
    <n v="59"/>
    <n v="0.1"/>
    <n v="0"/>
    <n v="0"/>
  </r>
  <r>
    <x v="1334"/>
    <n v="1"/>
    <n v="59"/>
    <n v="60"/>
    <n v="20"/>
    <n v="15"/>
    <x v="8"/>
    <n v="19"/>
    <n v="-3"/>
    <n v="64"/>
    <n v="0"/>
    <n v="1"/>
    <n v="3"/>
  </r>
  <r>
    <x v="1335"/>
    <n v="-3"/>
    <n v="64"/>
    <n v="61"/>
    <n v="19"/>
    <n v="25"/>
    <x v="28"/>
    <n v="16"/>
    <n v="6"/>
    <n v="58"/>
    <n v="0.60000000000000009"/>
    <n v="0"/>
    <n v="0"/>
  </r>
  <r>
    <x v="1336"/>
    <n v="6"/>
    <n v="58"/>
    <n v="64"/>
    <n v="16"/>
    <n v="19"/>
    <x v="27"/>
    <n v="16"/>
    <n v="9"/>
    <n v="55"/>
    <n v="0.9"/>
    <n v="0"/>
    <n v="0"/>
  </r>
  <r>
    <x v="1337"/>
    <n v="9"/>
    <n v="55"/>
    <n v="64"/>
    <n v="16"/>
    <n v="20"/>
    <x v="9"/>
    <n v="17"/>
    <n v="12"/>
    <n v="51"/>
    <n v="1.2000000000000002"/>
    <n v="0"/>
    <n v="0"/>
  </r>
  <r>
    <x v="1338"/>
    <n v="12"/>
    <n v="51"/>
    <n v="63"/>
    <n v="17"/>
    <n v="19"/>
    <x v="10"/>
    <n v="19"/>
    <n v="12"/>
    <n v="49"/>
    <n v="1.2000000000000002"/>
    <n v="0"/>
    <n v="0"/>
  </r>
  <r>
    <x v="1339"/>
    <n v="12"/>
    <n v="49"/>
    <n v="61"/>
    <n v="19"/>
    <n v="16"/>
    <x v="25"/>
    <n v="23"/>
    <n v="5"/>
    <n v="52"/>
    <n v="0.5"/>
    <n v="0"/>
    <n v="0"/>
  </r>
  <r>
    <x v="1340"/>
    <n v="5"/>
    <n v="52"/>
    <n v="57"/>
    <n v="23"/>
    <n v="16"/>
    <x v="5"/>
    <n v="20"/>
    <n v="1"/>
    <n v="59"/>
    <n v="0.1"/>
    <n v="0"/>
    <n v="0"/>
  </r>
  <r>
    <x v="1341"/>
    <n v="1"/>
    <n v="59"/>
    <n v="60"/>
    <n v="20"/>
    <n v="17"/>
    <x v="33"/>
    <n v="13"/>
    <n v="5"/>
    <n v="62"/>
    <n v="0.5"/>
    <n v="0"/>
    <n v="0"/>
  </r>
  <r>
    <x v="1342"/>
    <n v="5"/>
    <n v="62"/>
    <n v="67"/>
    <n v="13"/>
    <n v="19"/>
    <x v="32"/>
    <n v="14"/>
    <n v="10"/>
    <n v="56"/>
    <n v="1"/>
    <n v="0"/>
    <n v="0"/>
  </r>
  <r>
    <x v="1343"/>
    <n v="10"/>
    <n v="56"/>
    <n v="66"/>
    <n v="14"/>
    <n v="23"/>
    <x v="14"/>
    <n v="14"/>
    <n v="19"/>
    <n v="47"/>
    <n v="1.9000000000000001"/>
    <n v="0"/>
    <n v="0"/>
  </r>
  <r>
    <x v="1344"/>
    <n v="19"/>
    <n v="47"/>
    <n v="66"/>
    <n v="14"/>
    <n v="20"/>
    <x v="52"/>
    <n v="17"/>
    <n v="22"/>
    <n v="41"/>
    <n v="2.2000000000000002"/>
    <n v="0"/>
    <n v="0"/>
  </r>
  <r>
    <x v="1345"/>
    <n v="22"/>
    <n v="41"/>
    <n v="63"/>
    <n v="17"/>
    <n v="13"/>
    <x v="11"/>
    <n v="17"/>
    <n v="18"/>
    <n v="45"/>
    <n v="1.8"/>
    <n v="0"/>
    <n v="0"/>
  </r>
  <r>
    <x v="1346"/>
    <n v="18"/>
    <n v="45"/>
    <n v="63"/>
    <n v="17"/>
    <n v="14"/>
    <x v="15"/>
    <n v="20"/>
    <n v="12"/>
    <n v="48"/>
    <n v="1.2000000000000002"/>
    <n v="0"/>
    <n v="0"/>
  </r>
  <r>
    <x v="1347"/>
    <n v="12"/>
    <n v="48"/>
    <n v="60"/>
    <n v="20"/>
    <n v="14"/>
    <x v="16"/>
    <n v="27"/>
    <n v="-1"/>
    <n v="54"/>
    <n v="0"/>
    <n v="1"/>
    <n v="1"/>
  </r>
  <r>
    <x v="1348"/>
    <n v="-1"/>
    <n v="54"/>
    <n v="53"/>
    <n v="27"/>
    <n v="17"/>
    <x v="8"/>
    <n v="20"/>
    <n v="-4"/>
    <n v="64"/>
    <n v="0"/>
    <n v="1"/>
    <n v="4"/>
  </r>
  <r>
    <x v="1349"/>
    <n v="-4"/>
    <n v="64"/>
    <n v="60"/>
    <n v="20"/>
    <n v="17"/>
    <x v="21"/>
    <n v="26"/>
    <n v="-13"/>
    <n v="67"/>
    <n v="0"/>
    <n v="1"/>
    <n v="13"/>
  </r>
  <r>
    <x v="1350"/>
    <n v="-13"/>
    <n v="67"/>
    <n v="54"/>
    <n v="26"/>
    <n v="20"/>
    <x v="31"/>
    <n v="13"/>
    <n v="-6"/>
    <n v="73"/>
    <n v="0"/>
    <n v="1"/>
    <n v="6"/>
  </r>
  <r>
    <x v="1351"/>
    <n v="-6"/>
    <n v="73"/>
    <n v="67"/>
    <n v="13"/>
    <n v="27"/>
    <x v="5"/>
    <n v="20"/>
    <n v="1"/>
    <n v="59"/>
    <n v="0.1"/>
    <n v="0"/>
    <n v="0"/>
  </r>
  <r>
    <x v="1352"/>
    <n v="1"/>
    <n v="59"/>
    <n v="60"/>
    <n v="20"/>
    <n v="20"/>
    <x v="5"/>
    <n v="22"/>
    <n v="-1"/>
    <n v="59"/>
    <n v="0"/>
    <n v="1"/>
    <n v="1"/>
  </r>
  <r>
    <x v="1353"/>
    <n v="-1"/>
    <n v="59"/>
    <n v="58"/>
    <n v="22"/>
    <n v="26"/>
    <x v="27"/>
    <n v="14"/>
    <n v="11"/>
    <n v="55"/>
    <n v="1.1000000000000001"/>
    <n v="0"/>
    <n v="0"/>
  </r>
  <r>
    <x v="1354"/>
    <n v="11"/>
    <n v="55"/>
    <n v="66"/>
    <n v="14"/>
    <n v="13"/>
    <x v="32"/>
    <n v="27"/>
    <n v="-3"/>
    <n v="56"/>
    <n v="0"/>
    <n v="1"/>
    <n v="3"/>
  </r>
  <r>
    <x v="1355"/>
    <n v="-3"/>
    <n v="56"/>
    <n v="53"/>
    <n v="27"/>
    <n v="20"/>
    <x v="22"/>
    <n v="22"/>
    <n v="-5"/>
    <n v="63"/>
    <n v="0"/>
    <n v="1"/>
    <n v="5"/>
  </r>
  <r>
    <x v="1356"/>
    <n v="-5"/>
    <n v="63"/>
    <n v="58"/>
    <n v="22"/>
    <n v="22"/>
    <x v="22"/>
    <n v="16"/>
    <n v="1"/>
    <n v="63"/>
    <n v="0.1"/>
    <n v="0"/>
    <n v="0"/>
  </r>
  <r>
    <x v="1357"/>
    <n v="1"/>
    <n v="63"/>
    <n v="64"/>
    <n v="16"/>
    <n v="14"/>
    <x v="26"/>
    <n v="28"/>
    <n v="-13"/>
    <n v="65"/>
    <n v="0"/>
    <n v="1"/>
    <n v="13"/>
  </r>
  <r>
    <x v="1358"/>
    <n v="-13"/>
    <n v="65"/>
    <n v="52"/>
    <n v="28"/>
    <n v="27"/>
    <x v="7"/>
    <n v="13"/>
    <n v="1"/>
    <n v="66"/>
    <n v="0.1"/>
    <n v="0"/>
    <n v="0"/>
  </r>
  <r>
    <x v="1359"/>
    <n v="1"/>
    <n v="66"/>
    <n v="67"/>
    <n v="13"/>
    <n v="22"/>
    <x v="24"/>
    <n v="19"/>
    <n v="4"/>
    <n v="57"/>
    <n v="0.4"/>
    <n v="0"/>
    <n v="0"/>
  </r>
  <r>
    <x v="1360"/>
    <n v="4"/>
    <n v="57"/>
    <n v="61"/>
    <n v="19"/>
    <n v="16"/>
    <x v="4"/>
    <n v="21"/>
    <n v="-1"/>
    <n v="60"/>
    <n v="0"/>
    <n v="1"/>
    <n v="1"/>
  </r>
  <r>
    <x v="1361"/>
    <n v="-1"/>
    <n v="60"/>
    <n v="59"/>
    <n v="21"/>
    <n v="28"/>
    <x v="12"/>
    <n v="14"/>
    <n v="13"/>
    <n v="53"/>
    <n v="1.3"/>
    <n v="0"/>
    <n v="0"/>
  </r>
  <r>
    <x v="1362"/>
    <n v="13"/>
    <n v="53"/>
    <n v="66"/>
    <n v="14"/>
    <n v="13"/>
    <x v="16"/>
    <n v="19"/>
    <n v="7"/>
    <n v="54"/>
    <n v="0.70000000000000007"/>
    <n v="0"/>
    <n v="0"/>
  </r>
  <r>
    <x v="1363"/>
    <n v="7"/>
    <n v="54"/>
    <n v="61"/>
    <n v="19"/>
    <n v="19"/>
    <x v="16"/>
    <n v="23"/>
    <n v="3"/>
    <n v="54"/>
    <n v="0.30000000000000004"/>
    <n v="0"/>
    <n v="0"/>
  </r>
  <r>
    <x v="1364"/>
    <n v="3"/>
    <n v="54"/>
    <n v="57"/>
    <n v="23"/>
    <n v="21"/>
    <x v="32"/>
    <n v="20"/>
    <n v="4"/>
    <n v="56"/>
    <n v="0.4"/>
    <n v="0"/>
    <n v="0"/>
  </r>
  <r>
    <x v="1365"/>
    <n v="4"/>
    <n v="56"/>
    <n v="60"/>
    <n v="20"/>
    <n v="14"/>
    <x v="33"/>
    <n v="19"/>
    <n v="-1"/>
    <n v="62"/>
    <n v="0"/>
    <n v="1"/>
    <n v="1"/>
  </r>
  <r>
    <x v="1366"/>
    <n v="-1"/>
    <n v="62"/>
    <n v="61"/>
    <n v="19"/>
    <n v="19"/>
    <x v="33"/>
    <n v="17"/>
    <n v="1"/>
    <n v="62"/>
    <n v="0.1"/>
    <n v="0"/>
    <n v="0"/>
  </r>
  <r>
    <x v="1367"/>
    <n v="1"/>
    <n v="62"/>
    <n v="63"/>
    <n v="17"/>
    <n v="23"/>
    <x v="32"/>
    <n v="21"/>
    <n v="3"/>
    <n v="56"/>
    <n v="0.30000000000000004"/>
    <n v="0"/>
    <n v="0"/>
  </r>
  <r>
    <x v="1368"/>
    <n v="3"/>
    <n v="56"/>
    <n v="59"/>
    <n v="21"/>
    <n v="20"/>
    <x v="24"/>
    <n v="18"/>
    <n v="5"/>
    <n v="57"/>
    <n v="0.5"/>
    <n v="0"/>
    <n v="0"/>
  </r>
  <r>
    <x v="1369"/>
    <n v="5"/>
    <n v="57"/>
    <n v="62"/>
    <n v="18"/>
    <n v="19"/>
    <x v="32"/>
    <n v="25"/>
    <n v="-1"/>
    <n v="56"/>
    <n v="0"/>
    <n v="1"/>
    <n v="1"/>
  </r>
  <r>
    <x v="1370"/>
    <n v="-1"/>
    <n v="56"/>
    <n v="55"/>
    <n v="25"/>
    <n v="17"/>
    <x v="8"/>
    <n v="16"/>
    <n v="0"/>
    <n v="64"/>
    <n v="0"/>
    <n v="0"/>
    <n v="0"/>
  </r>
  <r>
    <x v="1371"/>
    <n v="0"/>
    <n v="64"/>
    <n v="64"/>
    <n v="16"/>
    <n v="21"/>
    <x v="5"/>
    <n v="22"/>
    <n v="-1"/>
    <n v="59"/>
    <n v="0"/>
    <n v="1"/>
    <n v="1"/>
  </r>
  <r>
    <x v="1372"/>
    <n v="-1"/>
    <n v="59"/>
    <n v="58"/>
    <n v="22"/>
    <n v="18"/>
    <x v="22"/>
    <n v="24"/>
    <n v="-7"/>
    <n v="63"/>
    <n v="0"/>
    <n v="1"/>
    <n v="7"/>
  </r>
  <r>
    <x v="1373"/>
    <n v="-7"/>
    <n v="63"/>
    <n v="56"/>
    <n v="24"/>
    <n v="25"/>
    <x v="33"/>
    <n v="21"/>
    <n v="-3"/>
    <n v="62"/>
    <n v="0"/>
    <n v="1"/>
    <n v="3"/>
  </r>
  <r>
    <x v="1374"/>
    <n v="-3"/>
    <n v="62"/>
    <n v="59"/>
    <n v="21"/>
    <n v="16"/>
    <x v="21"/>
    <n v="19"/>
    <n v="-6"/>
    <n v="67"/>
    <n v="0"/>
    <n v="1"/>
    <n v="6"/>
  </r>
  <r>
    <x v="1375"/>
    <n v="-6"/>
    <n v="67"/>
    <n v="61"/>
    <n v="19"/>
    <n v="22"/>
    <x v="8"/>
    <n v="23"/>
    <n v="-7"/>
    <n v="64"/>
    <n v="0"/>
    <n v="1"/>
    <n v="7"/>
  </r>
  <r>
    <x v="1376"/>
    <n v="-7"/>
    <n v="64"/>
    <n v="57"/>
    <n v="23"/>
    <n v="24"/>
    <x v="22"/>
    <n v="19"/>
    <n v="-2"/>
    <n v="63"/>
    <n v="0"/>
    <n v="1"/>
    <n v="2"/>
  </r>
  <r>
    <x v="1377"/>
    <n v="-2"/>
    <n v="63"/>
    <n v="61"/>
    <n v="19"/>
    <n v="21"/>
    <x v="23"/>
    <n v="18"/>
    <n v="1"/>
    <n v="61"/>
    <n v="0.1"/>
    <n v="0"/>
    <n v="0"/>
  </r>
  <r>
    <x v="1378"/>
    <n v="1"/>
    <n v="61"/>
    <n v="62"/>
    <n v="18"/>
    <n v="19"/>
    <x v="4"/>
    <n v="21"/>
    <n v="-1"/>
    <n v="60"/>
    <n v="0"/>
    <n v="1"/>
    <n v="1"/>
  </r>
  <r>
    <x v="1379"/>
    <n v="-1"/>
    <n v="60"/>
    <n v="59"/>
    <n v="21"/>
    <n v="23"/>
    <x v="28"/>
    <n v="22"/>
    <n v="0"/>
    <n v="58"/>
    <n v="0"/>
    <n v="0"/>
    <n v="0"/>
  </r>
  <r>
    <x v="1380"/>
    <n v="0"/>
    <n v="58"/>
    <n v="58"/>
    <n v="22"/>
    <n v="19"/>
    <x v="23"/>
    <n v="25"/>
    <n v="-6"/>
    <n v="61"/>
    <n v="0"/>
    <n v="1"/>
    <n v="6"/>
  </r>
  <r>
    <x v="1381"/>
    <n v="-6"/>
    <n v="61"/>
    <n v="55"/>
    <n v="25"/>
    <n v="18"/>
    <x v="17"/>
    <n v="13"/>
    <n v="-1"/>
    <n v="68"/>
    <n v="0"/>
    <n v="1"/>
    <n v="1"/>
  </r>
  <r>
    <x v="1382"/>
    <n v="-1"/>
    <n v="68"/>
    <n v="67"/>
    <n v="13"/>
    <n v="21"/>
    <x v="4"/>
    <n v="17"/>
    <n v="3"/>
    <n v="60"/>
    <n v="0.30000000000000004"/>
    <n v="0"/>
    <n v="0"/>
  </r>
  <r>
    <x v="1383"/>
    <n v="3"/>
    <n v="60"/>
    <n v="63"/>
    <n v="17"/>
    <n v="22"/>
    <x v="27"/>
    <n v="14"/>
    <n v="11"/>
    <n v="55"/>
    <n v="1.1000000000000001"/>
    <n v="0"/>
    <n v="0"/>
  </r>
  <r>
    <x v="1384"/>
    <n v="11"/>
    <n v="55"/>
    <n v="66"/>
    <n v="14"/>
    <n v="25"/>
    <x v="45"/>
    <n v="18"/>
    <n v="18"/>
    <n v="44"/>
    <n v="1.8"/>
    <n v="0"/>
    <n v="0"/>
  </r>
  <r>
    <x v="1385"/>
    <n v="18"/>
    <n v="44"/>
    <n v="62"/>
    <n v="18"/>
    <n v="13"/>
    <x v="10"/>
    <n v="19"/>
    <n v="12"/>
    <n v="49"/>
    <n v="1.2000000000000002"/>
    <n v="0"/>
    <n v="0"/>
  </r>
  <r>
    <x v="1386"/>
    <n v="12"/>
    <n v="49"/>
    <n v="61"/>
    <n v="19"/>
    <n v="17"/>
    <x v="9"/>
    <n v="19"/>
    <n v="10"/>
    <n v="51"/>
    <n v="1"/>
    <n v="0"/>
    <n v="0"/>
  </r>
  <r>
    <x v="1387"/>
    <n v="10"/>
    <n v="51"/>
    <n v="61"/>
    <n v="19"/>
    <n v="14"/>
    <x v="32"/>
    <n v="14"/>
    <n v="10"/>
    <n v="56"/>
    <n v="1"/>
    <n v="0"/>
    <n v="0"/>
  </r>
  <r>
    <x v="1388"/>
    <n v="10"/>
    <n v="56"/>
    <n v="66"/>
    <n v="14"/>
    <n v="18"/>
    <x v="25"/>
    <n v="18"/>
    <n v="10"/>
    <n v="52"/>
    <n v="1"/>
    <n v="0"/>
    <n v="0"/>
  </r>
  <r>
    <x v="1389"/>
    <n v="10"/>
    <n v="52"/>
    <n v="62"/>
    <n v="18"/>
    <n v="19"/>
    <x v="9"/>
    <n v="21"/>
    <n v="8"/>
    <n v="51"/>
    <n v="0.8"/>
    <n v="0"/>
    <n v="0"/>
  </r>
  <r>
    <x v="1390"/>
    <n v="8"/>
    <n v="51"/>
    <n v="59"/>
    <n v="21"/>
    <n v="19"/>
    <x v="12"/>
    <n v="20"/>
    <n v="7"/>
    <n v="53"/>
    <n v="0.70000000000000007"/>
    <n v="0"/>
    <n v="0"/>
  </r>
  <r>
    <x v="1391"/>
    <n v="7"/>
    <n v="53"/>
    <n v="60"/>
    <n v="20"/>
    <n v="14"/>
    <x v="5"/>
    <n v="19"/>
    <n v="2"/>
    <n v="59"/>
    <n v="0.2"/>
    <n v="0"/>
    <n v="0"/>
  </r>
  <r>
    <x v="1392"/>
    <n v="2"/>
    <n v="59"/>
    <n v="61"/>
    <n v="19"/>
    <n v="18"/>
    <x v="4"/>
    <n v="24"/>
    <n v="-4"/>
    <n v="60"/>
    <n v="0"/>
    <n v="1"/>
    <n v="4"/>
  </r>
  <r>
    <x v="1393"/>
    <n v="-4"/>
    <n v="60"/>
    <n v="56"/>
    <n v="24"/>
    <n v="21"/>
    <x v="22"/>
    <n v="23"/>
    <n v="-6"/>
    <n v="63"/>
    <n v="0"/>
    <n v="1"/>
    <n v="6"/>
  </r>
  <r>
    <x v="1394"/>
    <n v="-6"/>
    <n v="63"/>
    <n v="57"/>
    <n v="23"/>
    <n v="20"/>
    <x v="7"/>
    <n v="23"/>
    <n v="-9"/>
    <n v="66"/>
    <n v="0"/>
    <n v="1"/>
    <n v="9"/>
  </r>
  <r>
    <x v="1395"/>
    <n v="-9"/>
    <n v="66"/>
    <n v="57"/>
    <n v="23"/>
    <n v="19"/>
    <x v="6"/>
    <n v="13"/>
    <n v="-3"/>
    <n v="70"/>
    <n v="0"/>
    <n v="1"/>
    <n v="3"/>
  </r>
  <r>
    <x v="1396"/>
    <n v="-3"/>
    <n v="70"/>
    <n v="67"/>
    <n v="13"/>
    <n v="24"/>
    <x v="5"/>
    <n v="16"/>
    <n v="5"/>
    <n v="59"/>
    <n v="0.5"/>
    <n v="0"/>
    <n v="0"/>
  </r>
  <r>
    <x v="1397"/>
    <n v="5"/>
    <n v="59"/>
    <n v="64"/>
    <n v="16"/>
    <n v="23"/>
    <x v="25"/>
    <n v="16"/>
    <n v="12"/>
    <n v="52"/>
    <n v="1.2000000000000002"/>
    <n v="0"/>
    <n v="0"/>
  </r>
  <r>
    <x v="1398"/>
    <n v="12"/>
    <n v="52"/>
    <n v="64"/>
    <n v="16"/>
    <n v="23"/>
    <x v="11"/>
    <n v="15"/>
    <n v="20"/>
    <n v="45"/>
    <n v="2"/>
    <n v="0"/>
    <n v="0"/>
  </r>
  <r>
    <x v="1399"/>
    <n v="20"/>
    <n v="45"/>
    <n v="65"/>
    <n v="15"/>
    <n v="13"/>
    <x v="14"/>
    <n v="18"/>
    <n v="15"/>
    <n v="47"/>
    <n v="1.5"/>
    <n v="0"/>
    <n v="0"/>
  </r>
  <r>
    <x v="1400"/>
    <n v="15"/>
    <n v="47"/>
    <n v="62"/>
    <n v="18"/>
    <n v="16"/>
    <x v="10"/>
    <n v="14"/>
    <n v="17"/>
    <n v="49"/>
    <n v="1.7000000000000002"/>
    <n v="0"/>
    <n v="0"/>
  </r>
  <r>
    <x v="1401"/>
    <n v="17"/>
    <n v="49"/>
    <n v="66"/>
    <n v="14"/>
    <n v="16"/>
    <x v="14"/>
    <n v="16"/>
    <n v="17"/>
    <n v="47"/>
    <n v="1.7000000000000002"/>
    <n v="0"/>
    <n v="0"/>
  </r>
  <r>
    <x v="1402"/>
    <n v="17"/>
    <n v="47"/>
    <n v="64"/>
    <n v="16"/>
    <n v="15"/>
    <x v="15"/>
    <n v="19"/>
    <n v="13"/>
    <n v="48"/>
    <n v="1.3"/>
    <n v="0"/>
    <n v="0"/>
  </r>
  <r>
    <x v="1403"/>
    <n v="13"/>
    <n v="48"/>
    <n v="61"/>
    <n v="19"/>
    <n v="18"/>
    <x v="10"/>
    <n v="16"/>
    <n v="15"/>
    <n v="49"/>
    <n v="1.5"/>
    <n v="0"/>
    <n v="0"/>
  </r>
  <r>
    <x v="1404"/>
    <n v="15"/>
    <n v="49"/>
    <n v="64"/>
    <n v="16"/>
    <n v="14"/>
    <x v="9"/>
    <n v="15"/>
    <n v="14"/>
    <n v="51"/>
    <n v="1.4000000000000001"/>
    <n v="0"/>
    <n v="0"/>
  </r>
  <r>
    <x v="1405"/>
    <n v="14"/>
    <n v="51"/>
    <n v="65"/>
    <n v="15"/>
    <n v="16"/>
    <x v="13"/>
    <n v="32"/>
    <n v="-2"/>
    <n v="50"/>
    <n v="0"/>
    <n v="1"/>
    <n v="2"/>
  </r>
  <r>
    <x v="1406"/>
    <n v="-2"/>
    <n v="50"/>
    <n v="48"/>
    <n v="32"/>
    <n v="19"/>
    <x v="22"/>
    <n v="17"/>
    <n v="0"/>
    <n v="63"/>
    <n v="0"/>
    <n v="0"/>
    <n v="0"/>
  </r>
  <r>
    <x v="1407"/>
    <n v="0"/>
    <n v="63"/>
    <n v="63"/>
    <n v="17"/>
    <n v="16"/>
    <x v="8"/>
    <n v="27"/>
    <n v="-11"/>
    <n v="64"/>
    <n v="0"/>
    <n v="1"/>
    <n v="11"/>
  </r>
  <r>
    <x v="1408"/>
    <n v="-11"/>
    <n v="64"/>
    <n v="53"/>
    <n v="27"/>
    <n v="15"/>
    <x v="37"/>
    <n v="17"/>
    <n v="-13"/>
    <n v="76"/>
    <n v="0"/>
    <n v="1"/>
    <n v="13"/>
  </r>
  <r>
    <x v="1409"/>
    <n v="-13"/>
    <n v="76"/>
    <n v="63"/>
    <n v="17"/>
    <n v="32"/>
    <x v="23"/>
    <n v="21"/>
    <n v="-2"/>
    <n v="61"/>
    <n v="0"/>
    <n v="1"/>
    <n v="2"/>
  </r>
  <r>
    <x v="1410"/>
    <n v="-2"/>
    <n v="61"/>
    <n v="59"/>
    <n v="21"/>
    <n v="17"/>
    <x v="26"/>
    <n v="18"/>
    <n v="-3"/>
    <n v="65"/>
    <n v="0"/>
    <n v="1"/>
    <n v="3"/>
  </r>
  <r>
    <x v="1411"/>
    <n v="-3"/>
    <n v="65"/>
    <n v="62"/>
    <n v="18"/>
    <n v="27"/>
    <x v="32"/>
    <n v="23"/>
    <n v="1"/>
    <n v="56"/>
    <n v="0.1"/>
    <n v="0"/>
    <n v="0"/>
  </r>
  <r>
    <x v="1412"/>
    <n v="1"/>
    <n v="56"/>
    <n v="57"/>
    <n v="23"/>
    <n v="17"/>
    <x v="33"/>
    <n v="15"/>
    <n v="3"/>
    <n v="62"/>
    <n v="0.30000000000000004"/>
    <n v="0"/>
    <n v="0"/>
  </r>
  <r>
    <x v="1413"/>
    <n v="3"/>
    <n v="62"/>
    <n v="65"/>
    <n v="15"/>
    <n v="21"/>
    <x v="32"/>
    <n v="14"/>
    <n v="10"/>
    <n v="56"/>
    <n v="1"/>
    <n v="0"/>
    <n v="0"/>
  </r>
  <r>
    <x v="1414"/>
    <n v="10"/>
    <n v="56"/>
    <n v="66"/>
    <n v="14"/>
    <n v="18"/>
    <x v="25"/>
    <n v="25"/>
    <n v="3"/>
    <n v="52"/>
    <n v="0.30000000000000004"/>
    <n v="0"/>
    <n v="0"/>
  </r>
  <r>
    <x v="1415"/>
    <n v="3"/>
    <n v="52"/>
    <n v="55"/>
    <n v="25"/>
    <n v="23"/>
    <x v="16"/>
    <n v="18"/>
    <n v="8"/>
    <n v="54"/>
    <n v="0.8"/>
    <n v="0"/>
    <n v="0"/>
  </r>
  <r>
    <x v="1416"/>
    <n v="8"/>
    <n v="54"/>
    <n v="62"/>
    <n v="18"/>
    <n v="15"/>
    <x v="24"/>
    <n v="22"/>
    <n v="1"/>
    <n v="57"/>
    <n v="0.1"/>
    <n v="0"/>
    <n v="0"/>
  </r>
  <r>
    <x v="1417"/>
    <n v="1"/>
    <n v="57"/>
    <n v="58"/>
    <n v="22"/>
    <n v="14"/>
    <x v="26"/>
    <n v="18"/>
    <n v="-3"/>
    <n v="65"/>
    <n v="0"/>
    <n v="1"/>
    <n v="3"/>
  </r>
  <r>
    <x v="1418"/>
    <n v="-3"/>
    <n v="65"/>
    <n v="62"/>
    <n v="18"/>
    <n v="25"/>
    <x v="28"/>
    <n v="15"/>
    <n v="7"/>
    <n v="58"/>
    <n v="0.70000000000000007"/>
    <n v="0"/>
    <n v="0"/>
  </r>
  <r>
    <x v="1419"/>
    <n v="7"/>
    <n v="58"/>
    <n v="65"/>
    <n v="15"/>
    <n v="18"/>
    <x v="27"/>
    <n v="20"/>
    <n v="5"/>
    <n v="55"/>
    <n v="0.5"/>
    <n v="0"/>
    <n v="0"/>
  </r>
  <r>
    <x v="1420"/>
    <n v="5"/>
    <n v="55"/>
    <n v="60"/>
    <n v="20"/>
    <n v="22"/>
    <x v="12"/>
    <n v="16"/>
    <n v="11"/>
    <n v="53"/>
    <n v="1.1000000000000001"/>
    <n v="0"/>
    <n v="0"/>
  </r>
  <r>
    <x v="1421"/>
    <n v="11"/>
    <n v="53"/>
    <n v="64"/>
    <n v="16"/>
    <n v="18"/>
    <x v="9"/>
    <n v="26"/>
    <n v="3"/>
    <n v="51"/>
    <n v="0.30000000000000004"/>
    <n v="0"/>
    <n v="0"/>
  </r>
  <r>
    <x v="1422"/>
    <n v="3"/>
    <n v="51"/>
    <n v="54"/>
    <n v="26"/>
    <n v="15"/>
    <x v="33"/>
    <n v="25"/>
    <n v="-7"/>
    <n v="62"/>
    <n v="0"/>
    <n v="1"/>
    <n v="7"/>
  </r>
  <r>
    <x v="1423"/>
    <n v="-7"/>
    <n v="62"/>
    <n v="55"/>
    <n v="25"/>
    <n v="20"/>
    <x v="21"/>
    <n v="19"/>
    <n v="-6"/>
    <n v="67"/>
    <n v="0"/>
    <n v="1"/>
    <n v="6"/>
  </r>
  <r>
    <x v="1424"/>
    <n v="-6"/>
    <n v="67"/>
    <n v="61"/>
    <n v="19"/>
    <n v="16"/>
    <x v="6"/>
    <n v="16"/>
    <n v="-6"/>
    <n v="70"/>
    <n v="0"/>
    <n v="1"/>
    <n v="6"/>
  </r>
  <r>
    <x v="1425"/>
    <n v="-6"/>
    <n v="70"/>
    <n v="64"/>
    <n v="16"/>
    <n v="26"/>
    <x v="4"/>
    <n v="22"/>
    <n v="-2"/>
    <n v="60"/>
    <n v="0"/>
    <n v="1"/>
    <n v="2"/>
  </r>
  <r>
    <x v="1426"/>
    <n v="-2"/>
    <n v="60"/>
    <n v="58"/>
    <n v="22"/>
    <n v="25"/>
    <x v="24"/>
    <n v="29"/>
    <n v="-6"/>
    <n v="57"/>
    <n v="0"/>
    <n v="1"/>
    <n v="6"/>
  </r>
  <r>
    <x v="1427"/>
    <n v="-6"/>
    <n v="57"/>
    <n v="51"/>
    <n v="29"/>
    <n v="19"/>
    <x v="21"/>
    <n v="18"/>
    <n v="-5"/>
    <n v="67"/>
    <n v="0"/>
    <n v="1"/>
    <n v="5"/>
  </r>
  <r>
    <x v="1428"/>
    <n v="-5"/>
    <n v="67"/>
    <n v="62"/>
    <n v="18"/>
    <n v="16"/>
    <x v="30"/>
    <n v="22"/>
    <n v="-11"/>
    <n v="69"/>
    <n v="0"/>
    <n v="1"/>
    <n v="11"/>
  </r>
  <r>
    <x v="1429"/>
    <n v="-11"/>
    <n v="69"/>
    <n v="58"/>
    <n v="22"/>
    <n v="22"/>
    <x v="30"/>
    <n v="18"/>
    <n v="-7"/>
    <n v="69"/>
    <n v="0"/>
    <n v="1"/>
    <n v="7"/>
  </r>
  <r>
    <x v="1430"/>
    <n v="-7"/>
    <n v="69"/>
    <n v="62"/>
    <n v="18"/>
    <n v="29"/>
    <x v="28"/>
    <n v="17"/>
    <n v="5"/>
    <n v="58"/>
    <n v="0.5"/>
    <n v="0"/>
    <n v="0"/>
  </r>
  <r>
    <x v="1431"/>
    <n v="5"/>
    <n v="58"/>
    <n v="63"/>
    <n v="17"/>
    <n v="18"/>
    <x v="24"/>
    <n v="20"/>
    <n v="3"/>
    <n v="57"/>
    <n v="0.30000000000000004"/>
    <n v="0"/>
    <n v="0"/>
  </r>
  <r>
    <x v="1432"/>
    <n v="3"/>
    <n v="57"/>
    <n v="60"/>
    <n v="20"/>
    <n v="22"/>
    <x v="27"/>
    <n v="16"/>
    <n v="9"/>
    <n v="55"/>
    <n v="0.9"/>
    <n v="0"/>
    <n v="0"/>
  </r>
  <r>
    <x v="1433"/>
    <n v="9"/>
    <n v="55"/>
    <n v="64"/>
    <n v="16"/>
    <n v="18"/>
    <x v="12"/>
    <n v="23"/>
    <n v="4"/>
    <n v="53"/>
    <n v="0.4"/>
    <n v="0"/>
    <n v="0"/>
  </r>
  <r>
    <x v="1434"/>
    <n v="4"/>
    <n v="53"/>
    <n v="57"/>
    <n v="23"/>
    <n v="17"/>
    <x v="5"/>
    <n v="26"/>
    <n v="-5"/>
    <n v="59"/>
    <n v="0"/>
    <n v="1"/>
    <n v="5"/>
  </r>
  <r>
    <x v="1435"/>
    <n v="-5"/>
    <n v="59"/>
    <n v="54"/>
    <n v="26"/>
    <n v="20"/>
    <x v="26"/>
    <n v="20"/>
    <n v="-5"/>
    <n v="65"/>
    <n v="0"/>
    <n v="1"/>
    <n v="5"/>
  </r>
  <r>
    <x v="1436"/>
    <n v="-5"/>
    <n v="65"/>
    <n v="60"/>
    <n v="20"/>
    <n v="16"/>
    <x v="30"/>
    <n v="23"/>
    <n v="-12"/>
    <n v="69"/>
    <n v="0"/>
    <n v="1"/>
    <n v="12"/>
  </r>
  <r>
    <x v="1437"/>
    <n v="-12"/>
    <n v="69"/>
    <n v="57"/>
    <n v="23"/>
    <n v="23"/>
    <x v="30"/>
    <n v="26"/>
    <n v="-15"/>
    <n v="69"/>
    <n v="0"/>
    <n v="1"/>
    <n v="15"/>
  </r>
  <r>
    <x v="1438"/>
    <n v="-15"/>
    <n v="69"/>
    <n v="54"/>
    <n v="26"/>
    <n v="26"/>
    <x v="30"/>
    <n v="24"/>
    <n v="-13"/>
    <n v="69"/>
    <n v="0"/>
    <n v="1"/>
    <n v="13"/>
  </r>
  <r>
    <x v="1439"/>
    <n v="-13"/>
    <n v="69"/>
    <n v="56"/>
    <n v="24"/>
    <n v="20"/>
    <x v="31"/>
    <n v="13"/>
    <n v="-6"/>
    <n v="73"/>
    <n v="0"/>
    <n v="1"/>
    <n v="6"/>
  </r>
  <r>
    <x v="1440"/>
    <n v="-6"/>
    <n v="73"/>
    <n v="67"/>
    <n v="13"/>
    <n v="23"/>
    <x v="22"/>
    <n v="19"/>
    <n v="-2"/>
    <n v="63"/>
    <n v="0"/>
    <n v="1"/>
    <n v="2"/>
  </r>
  <r>
    <x v="1441"/>
    <n v="-2"/>
    <n v="63"/>
    <n v="61"/>
    <n v="19"/>
    <n v="26"/>
    <x v="32"/>
    <n v="14"/>
    <n v="10"/>
    <n v="56"/>
    <n v="1"/>
    <n v="0"/>
    <n v="0"/>
  </r>
  <r>
    <x v="1442"/>
    <n v="10"/>
    <n v="56"/>
    <n v="66"/>
    <n v="14"/>
    <n v="24"/>
    <x v="38"/>
    <n v="16"/>
    <n v="18"/>
    <n v="46"/>
    <n v="1.8"/>
    <n v="0"/>
    <n v="0"/>
  </r>
  <r>
    <x v="1443"/>
    <n v="18"/>
    <n v="46"/>
    <n v="64"/>
    <n v="16"/>
    <n v="13"/>
    <x v="10"/>
    <n v="29"/>
    <n v="2"/>
    <n v="49"/>
    <n v="0.2"/>
    <n v="0"/>
    <n v="0"/>
  </r>
  <r>
    <x v="1444"/>
    <n v="2"/>
    <n v="49"/>
    <n v="51"/>
    <n v="29"/>
    <n v="19"/>
    <x v="5"/>
    <n v="15"/>
    <n v="6"/>
    <n v="59"/>
    <n v="0.60000000000000009"/>
    <n v="0"/>
    <n v="0"/>
  </r>
  <r>
    <x v="1445"/>
    <n v="6"/>
    <n v="59"/>
    <n v="65"/>
    <n v="15"/>
    <n v="14"/>
    <x v="4"/>
    <n v="18"/>
    <n v="2"/>
    <n v="60"/>
    <n v="0.2"/>
    <n v="0"/>
    <n v="0"/>
  </r>
  <r>
    <x v="1446"/>
    <n v="2"/>
    <n v="60"/>
    <n v="62"/>
    <n v="18"/>
    <n v="16"/>
    <x v="33"/>
    <n v="17"/>
    <n v="1"/>
    <n v="62"/>
    <n v="0.1"/>
    <n v="0"/>
    <n v="0"/>
  </r>
  <r>
    <x v="1447"/>
    <n v="1"/>
    <n v="62"/>
    <n v="63"/>
    <n v="17"/>
    <n v="29"/>
    <x v="13"/>
    <n v="19"/>
    <n v="11"/>
    <n v="50"/>
    <n v="1.1000000000000001"/>
    <n v="0"/>
    <n v="0"/>
  </r>
  <r>
    <x v="1448"/>
    <n v="11"/>
    <n v="50"/>
    <n v="61"/>
    <n v="19"/>
    <n v="15"/>
    <x v="16"/>
    <n v="20"/>
    <n v="6"/>
    <n v="54"/>
    <n v="0.60000000000000009"/>
    <n v="0"/>
    <n v="0"/>
  </r>
  <r>
    <x v="1449"/>
    <n v="6"/>
    <n v="54"/>
    <n v="60"/>
    <n v="20"/>
    <n v="18"/>
    <x v="32"/>
    <n v="13"/>
    <n v="11"/>
    <n v="56"/>
    <n v="1.1000000000000001"/>
    <n v="0"/>
    <n v="0"/>
  </r>
  <r>
    <x v="1450"/>
    <n v="11"/>
    <n v="56"/>
    <n v="67"/>
    <n v="13"/>
    <n v="17"/>
    <x v="25"/>
    <n v="21"/>
    <n v="7"/>
    <n v="52"/>
    <n v="0.70000000000000007"/>
    <n v="0"/>
    <n v="0"/>
  </r>
  <r>
    <x v="1451"/>
    <n v="7"/>
    <n v="52"/>
    <n v="59"/>
    <n v="21"/>
    <n v="19"/>
    <x v="16"/>
    <n v="27"/>
    <n v="-1"/>
    <n v="54"/>
    <n v="0"/>
    <n v="1"/>
    <n v="1"/>
  </r>
  <r>
    <x v="1452"/>
    <n v="-1"/>
    <n v="54"/>
    <n v="53"/>
    <n v="27"/>
    <n v="20"/>
    <x v="23"/>
    <n v="16"/>
    <n v="3"/>
    <n v="61"/>
    <n v="0.30000000000000004"/>
    <n v="0"/>
    <n v="0"/>
  </r>
  <r>
    <x v="1453"/>
    <n v="3"/>
    <n v="61"/>
    <n v="64"/>
    <n v="16"/>
    <n v="13"/>
    <x v="8"/>
    <n v="23"/>
    <n v="-7"/>
    <n v="64"/>
    <n v="0"/>
    <n v="1"/>
    <n v="7"/>
  </r>
  <r>
    <x v="1454"/>
    <n v="-7"/>
    <n v="64"/>
    <n v="57"/>
    <n v="23"/>
    <n v="21"/>
    <x v="7"/>
    <n v="22"/>
    <n v="-8"/>
    <n v="66"/>
    <n v="0"/>
    <n v="1"/>
    <n v="8"/>
  </r>
  <r>
    <x v="1455"/>
    <n v="-8"/>
    <n v="66"/>
    <n v="58"/>
    <n v="22"/>
    <n v="27"/>
    <x v="23"/>
    <n v="19"/>
    <n v="0"/>
    <n v="61"/>
    <n v="0"/>
    <n v="0"/>
    <n v="0"/>
  </r>
  <r>
    <x v="1456"/>
    <n v="0"/>
    <n v="61"/>
    <n v="61"/>
    <n v="19"/>
    <n v="16"/>
    <x v="8"/>
    <n v="22"/>
    <n v="-6"/>
    <n v="64"/>
    <n v="0"/>
    <n v="1"/>
    <n v="6"/>
  </r>
  <r>
    <x v="1457"/>
    <n v="-6"/>
    <n v="64"/>
    <n v="58"/>
    <n v="22"/>
    <n v="23"/>
    <x v="22"/>
    <n v="15"/>
    <n v="2"/>
    <n v="63"/>
    <n v="0.2"/>
    <n v="0"/>
    <n v="0"/>
  </r>
  <r>
    <x v="1458"/>
    <n v="2"/>
    <n v="63"/>
    <n v="65"/>
    <n v="15"/>
    <n v="22"/>
    <x v="32"/>
    <n v="14"/>
    <n v="10"/>
    <n v="56"/>
    <n v="1"/>
    <n v="0"/>
    <n v="0"/>
  </r>
  <r>
    <x v="1459"/>
    <n v="10"/>
    <n v="56"/>
    <n v="66"/>
    <n v="14"/>
    <n v="19"/>
    <x v="9"/>
    <n v="23"/>
    <n v="6"/>
    <n v="51"/>
    <n v="0.60000000000000009"/>
    <n v="0"/>
    <n v="0"/>
  </r>
  <r>
    <x v="1460"/>
    <n v="6"/>
    <n v="51"/>
    <n v="57"/>
    <n v="23"/>
    <n v="22"/>
    <x v="25"/>
    <n v="16"/>
    <n v="12"/>
    <n v="52"/>
    <n v="1.2000000000000002"/>
    <n v="0"/>
    <n v="0"/>
  </r>
  <r>
    <x v="1461"/>
    <n v="12"/>
    <n v="52"/>
    <n v="64"/>
    <n v="16"/>
    <n v="15"/>
    <x v="12"/>
    <n v="17"/>
    <n v="10"/>
    <n v="53"/>
    <n v="1"/>
    <n v="0"/>
    <n v="0"/>
  </r>
  <r>
    <x v="1462"/>
    <n v="10"/>
    <n v="53"/>
    <n v="63"/>
    <n v="17"/>
    <n v="14"/>
    <x v="32"/>
    <n v="19"/>
    <n v="5"/>
    <n v="56"/>
    <n v="0.5"/>
    <n v="0"/>
    <n v="0"/>
  </r>
  <r>
    <x v="1463"/>
    <n v="5"/>
    <n v="56"/>
    <n v="61"/>
    <n v="19"/>
    <n v="23"/>
    <x v="25"/>
    <n v="17"/>
    <n v="11"/>
    <n v="52"/>
    <n v="1.1000000000000001"/>
    <n v="0"/>
    <n v="0"/>
  </r>
  <r>
    <x v="1464"/>
    <n v="11"/>
    <n v="52"/>
    <n v="63"/>
    <n v="17"/>
    <n v="16"/>
    <x v="12"/>
    <n v="23"/>
    <n v="4"/>
    <n v="53"/>
    <n v="0.4"/>
    <n v="0"/>
    <n v="0"/>
  </r>
  <r>
    <x v="1465"/>
    <n v="4"/>
    <n v="53"/>
    <n v="57"/>
    <n v="23"/>
    <n v="17"/>
    <x v="5"/>
    <n v="19"/>
    <n v="2"/>
    <n v="59"/>
    <n v="0.2"/>
    <n v="0"/>
    <n v="0"/>
  </r>
  <r>
    <x v="1466"/>
    <n v="2"/>
    <n v="59"/>
    <n v="61"/>
    <n v="19"/>
    <n v="19"/>
    <x v="5"/>
    <n v="14"/>
    <n v="7"/>
    <n v="59"/>
    <n v="0.70000000000000007"/>
    <n v="0"/>
    <n v="0"/>
  </r>
  <r>
    <x v="1467"/>
    <n v="7"/>
    <n v="59"/>
    <n v="66"/>
    <n v="14"/>
    <n v="17"/>
    <x v="32"/>
    <n v="25"/>
    <n v="-1"/>
    <n v="56"/>
    <n v="0"/>
    <n v="1"/>
    <n v="1"/>
  </r>
  <r>
    <x v="1468"/>
    <n v="-1"/>
    <n v="56"/>
    <n v="55"/>
    <n v="25"/>
    <n v="23"/>
    <x v="28"/>
    <n v="24"/>
    <n v="-2"/>
    <n v="58"/>
    <n v="0"/>
    <n v="1"/>
    <n v="2"/>
  </r>
  <r>
    <x v="1469"/>
    <n v="-2"/>
    <n v="58"/>
    <n v="56"/>
    <n v="24"/>
    <n v="19"/>
    <x v="22"/>
    <n v="27"/>
    <n v="-10"/>
    <n v="63"/>
    <n v="0"/>
    <n v="1"/>
    <n v="10"/>
  </r>
  <r>
    <x v="1470"/>
    <n v="-10"/>
    <n v="63"/>
    <n v="53"/>
    <n v="27"/>
    <n v="14"/>
    <x v="37"/>
    <n v="20"/>
    <n v="-16"/>
    <n v="76"/>
    <n v="0"/>
    <n v="1"/>
    <n v="16"/>
  </r>
  <r>
    <x v="1471"/>
    <n v="-16"/>
    <n v="76"/>
    <n v="60"/>
    <n v="20"/>
    <n v="25"/>
    <x v="20"/>
    <n v="24"/>
    <n v="-15"/>
    <n v="71"/>
    <n v="0"/>
    <n v="1"/>
    <n v="15"/>
  </r>
  <r>
    <x v="1472"/>
    <n v="-15"/>
    <n v="71"/>
    <n v="56"/>
    <n v="24"/>
    <n v="24"/>
    <x v="20"/>
    <n v="20"/>
    <n v="-11"/>
    <n v="71"/>
    <n v="0"/>
    <n v="1"/>
    <n v="11"/>
  </r>
  <r>
    <x v="1473"/>
    <n v="-11"/>
    <n v="71"/>
    <n v="60"/>
    <n v="20"/>
    <n v="27"/>
    <x v="8"/>
    <n v="16"/>
    <n v="0"/>
    <n v="64"/>
    <n v="0"/>
    <n v="0"/>
    <n v="0"/>
  </r>
  <r>
    <x v="1474"/>
    <n v="0"/>
    <n v="64"/>
    <n v="64"/>
    <n v="16"/>
    <n v="20"/>
    <x v="4"/>
    <n v="18"/>
    <n v="2"/>
    <n v="60"/>
    <n v="0.2"/>
    <n v="0"/>
    <n v="0"/>
  </r>
  <r>
    <x v="1475"/>
    <n v="2"/>
    <n v="60"/>
    <n v="62"/>
    <n v="18"/>
    <n v="24"/>
    <x v="16"/>
    <n v="18"/>
    <n v="8"/>
    <n v="54"/>
    <n v="0.8"/>
    <n v="0"/>
    <n v="0"/>
  </r>
  <r>
    <x v="1476"/>
    <n v="8"/>
    <n v="54"/>
    <n v="62"/>
    <n v="18"/>
    <n v="20"/>
    <x v="25"/>
    <n v="24"/>
    <n v="4"/>
    <n v="52"/>
    <n v="0.4"/>
    <n v="0"/>
    <n v="0"/>
  </r>
  <r>
    <x v="1477"/>
    <n v="4"/>
    <n v="52"/>
    <n v="56"/>
    <n v="24"/>
    <n v="16"/>
    <x v="4"/>
    <n v="14"/>
    <n v="6"/>
    <n v="60"/>
    <n v="0.60000000000000009"/>
    <n v="0"/>
    <n v="0"/>
  </r>
  <r>
    <x v="1478"/>
    <n v="6"/>
    <n v="60"/>
    <n v="66"/>
    <n v="14"/>
    <n v="18"/>
    <x v="32"/>
    <n v="15"/>
    <n v="9"/>
    <n v="56"/>
    <n v="0.9"/>
    <n v="0"/>
    <n v="0"/>
  </r>
  <r>
    <x v="1479"/>
    <n v="9"/>
    <n v="56"/>
    <n v="65"/>
    <n v="15"/>
    <n v="18"/>
    <x v="12"/>
    <n v="18"/>
    <n v="9"/>
    <n v="53"/>
    <n v="0.9"/>
    <n v="0"/>
    <n v="0"/>
  </r>
  <r>
    <x v="1480"/>
    <n v="9"/>
    <n v="53"/>
    <n v="62"/>
    <n v="18"/>
    <n v="24"/>
    <x v="14"/>
    <n v="13"/>
    <n v="20"/>
    <n v="47"/>
    <n v="2"/>
    <n v="0"/>
    <n v="0"/>
  </r>
  <r>
    <x v="1481"/>
    <n v="20"/>
    <n v="47"/>
    <n v="67"/>
    <n v="13"/>
    <n v="14"/>
    <x v="38"/>
    <n v="21"/>
    <n v="13"/>
    <n v="46"/>
    <n v="1.3"/>
    <n v="0"/>
    <n v="0"/>
  </r>
  <r>
    <x v="1482"/>
    <n v="13"/>
    <n v="46"/>
    <n v="59"/>
    <n v="21"/>
    <n v="15"/>
    <x v="25"/>
    <n v="21"/>
    <n v="7"/>
    <n v="52"/>
    <n v="0.70000000000000007"/>
    <n v="0"/>
    <n v="0"/>
  </r>
  <r>
    <x v="1483"/>
    <n v="7"/>
    <n v="52"/>
    <n v="59"/>
    <n v="21"/>
    <n v="18"/>
    <x v="27"/>
    <n v="17"/>
    <n v="8"/>
    <n v="55"/>
    <n v="0.8"/>
    <n v="0"/>
    <n v="0"/>
  </r>
  <r>
    <x v="1484"/>
    <n v="8"/>
    <n v="55"/>
    <n v="63"/>
    <n v="17"/>
    <n v="13"/>
    <x v="5"/>
    <n v="15"/>
    <n v="6"/>
    <n v="59"/>
    <n v="0.60000000000000009"/>
    <n v="0"/>
    <n v="0"/>
  </r>
  <r>
    <x v="1485"/>
    <n v="6"/>
    <n v="59"/>
    <n v="65"/>
    <n v="15"/>
    <n v="21"/>
    <x v="12"/>
    <n v="13"/>
    <n v="14"/>
    <n v="53"/>
    <n v="1.4000000000000001"/>
    <n v="0"/>
    <n v="0"/>
  </r>
  <r>
    <x v="1486"/>
    <n v="14"/>
    <n v="53"/>
    <n v="67"/>
    <n v="13"/>
    <n v="21"/>
    <x v="11"/>
    <n v="23"/>
    <n v="12"/>
    <n v="45"/>
    <n v="1.2000000000000002"/>
    <n v="0"/>
    <n v="0"/>
  </r>
  <r>
    <x v="1487"/>
    <n v="12"/>
    <n v="45"/>
    <n v="57"/>
    <n v="23"/>
    <n v="17"/>
    <x v="9"/>
    <n v="26"/>
    <n v="3"/>
    <n v="51"/>
    <n v="0.30000000000000004"/>
    <n v="0"/>
    <n v="0"/>
  </r>
  <r>
    <x v="1488"/>
    <n v="3"/>
    <n v="51"/>
    <n v="54"/>
    <n v="26"/>
    <n v="15"/>
    <x v="33"/>
    <n v="31"/>
    <n v="-13"/>
    <n v="62"/>
    <n v="0"/>
    <n v="1"/>
    <n v="13"/>
  </r>
  <r>
    <x v="1489"/>
    <n v="-13"/>
    <n v="62"/>
    <n v="49"/>
    <n v="31"/>
    <n v="13"/>
    <x v="0"/>
    <n v="32"/>
    <n v="-32"/>
    <n v="80"/>
    <n v="0"/>
    <n v="1"/>
    <n v="32"/>
  </r>
  <r>
    <x v="1490"/>
    <n v="-32"/>
    <n v="80"/>
    <n v="48"/>
    <n v="32"/>
    <n v="23"/>
    <x v="54"/>
    <n v="23"/>
    <n v="-32"/>
    <n v="89"/>
    <n v="0"/>
    <n v="1"/>
    <n v="23"/>
  </r>
  <r>
    <x v="1491"/>
    <n v="-32"/>
    <n v="89"/>
    <n v="57"/>
    <n v="23"/>
    <n v="26"/>
    <x v="47"/>
    <n v="21"/>
    <n v="-27"/>
    <n v="86"/>
    <n v="0"/>
    <n v="1"/>
    <n v="21"/>
  </r>
  <r>
    <x v="1492"/>
    <n v="-27"/>
    <n v="86"/>
    <n v="59"/>
    <n v="21"/>
    <n v="31"/>
    <x v="37"/>
    <n v="19"/>
    <n v="-15"/>
    <n v="76"/>
    <n v="0"/>
    <n v="1"/>
    <n v="15"/>
  </r>
  <r>
    <x v="1493"/>
    <n v="-15"/>
    <n v="76"/>
    <n v="61"/>
    <n v="19"/>
    <n v="32"/>
    <x v="22"/>
    <n v="22"/>
    <n v="-5"/>
    <n v="63"/>
    <n v="0"/>
    <n v="1"/>
    <n v="5"/>
  </r>
  <r>
    <x v="1494"/>
    <n v="-5"/>
    <n v="63"/>
    <n v="58"/>
    <n v="22"/>
    <n v="23"/>
    <x v="33"/>
    <n v="16"/>
    <n v="2"/>
    <n v="62"/>
    <n v="0.2"/>
    <n v="0"/>
    <n v="0"/>
  </r>
  <r>
    <x v="1495"/>
    <n v="2"/>
    <n v="62"/>
    <n v="64"/>
    <n v="16"/>
    <n v="21"/>
    <x v="24"/>
    <n v="16"/>
    <n v="7"/>
    <n v="57"/>
    <n v="0.70000000000000007"/>
    <n v="0"/>
    <n v="0"/>
  </r>
  <r>
    <x v="1496"/>
    <n v="7"/>
    <n v="57"/>
    <n v="64"/>
    <n v="16"/>
    <n v="19"/>
    <x v="16"/>
    <n v="23"/>
    <n v="3"/>
    <n v="54"/>
    <n v="0.30000000000000004"/>
    <n v="0"/>
    <n v="0"/>
  </r>
  <r>
    <x v="1497"/>
    <n v="3"/>
    <n v="54"/>
    <n v="57"/>
    <n v="23"/>
    <n v="22"/>
    <x v="27"/>
    <n v="16"/>
    <n v="9"/>
    <n v="55"/>
    <n v="0.9"/>
    <n v="0"/>
    <n v="0"/>
  </r>
  <r>
    <x v="1498"/>
    <n v="9"/>
    <n v="55"/>
    <n v="64"/>
    <n v="16"/>
    <n v="16"/>
    <x v="27"/>
    <n v="21"/>
    <n v="4"/>
    <n v="55"/>
    <n v="0.4"/>
    <n v="0"/>
    <n v="0"/>
  </r>
  <r>
    <x v="1499"/>
    <n v="4"/>
    <n v="55"/>
    <n v="59"/>
    <n v="21"/>
    <n v="16"/>
    <x v="4"/>
    <n v="16"/>
    <n v="4"/>
    <n v="60"/>
    <n v="0.4"/>
    <n v="0"/>
    <n v="0"/>
  </r>
  <r>
    <x v="1500"/>
    <n v="4"/>
    <n v="60"/>
    <n v="64"/>
    <n v="16"/>
    <n v="23"/>
    <x v="12"/>
    <n v="20"/>
    <n v="7"/>
    <n v="53"/>
    <n v="0.70000000000000007"/>
    <n v="0"/>
    <n v="0"/>
  </r>
  <r>
    <x v="1501"/>
    <n v="7"/>
    <n v="53"/>
    <n v="60"/>
    <n v="20"/>
    <n v="16"/>
    <x v="24"/>
    <n v="27"/>
    <n v="-4"/>
    <n v="57"/>
    <n v="0"/>
    <n v="1"/>
    <n v="4"/>
  </r>
  <r>
    <x v="1502"/>
    <n v="-4"/>
    <n v="57"/>
    <n v="53"/>
    <n v="27"/>
    <n v="21"/>
    <x v="22"/>
    <n v="21"/>
    <n v="-4"/>
    <n v="63"/>
    <n v="0"/>
    <n v="1"/>
    <n v="4"/>
  </r>
  <r>
    <x v="1503"/>
    <n v="-4"/>
    <n v="63"/>
    <n v="59"/>
    <n v="21"/>
    <n v="16"/>
    <x v="17"/>
    <n v="27"/>
    <n v="-15"/>
    <n v="68"/>
    <n v="0"/>
    <n v="1"/>
    <n v="15"/>
  </r>
  <r>
    <x v="1504"/>
    <n v="-15"/>
    <n v="68"/>
    <n v="53"/>
    <n v="27"/>
    <n v="20"/>
    <x v="44"/>
    <n v="23"/>
    <n v="-18"/>
    <n v="75"/>
    <n v="0"/>
    <n v="1"/>
    <n v="18"/>
  </r>
  <r>
    <x v="1505"/>
    <n v="-18"/>
    <n v="75"/>
    <n v="57"/>
    <n v="23"/>
    <n v="27"/>
    <x v="20"/>
    <n v="16"/>
    <n v="-7"/>
    <n v="71"/>
    <n v="0"/>
    <n v="1"/>
    <n v="7"/>
  </r>
  <r>
    <x v="1506"/>
    <n v="-7"/>
    <n v="71"/>
    <n v="64"/>
    <n v="16"/>
    <n v="21"/>
    <x v="7"/>
    <n v="24"/>
    <n v="-10"/>
    <n v="66"/>
    <n v="0"/>
    <n v="1"/>
    <n v="10"/>
  </r>
  <r>
    <x v="1507"/>
    <n v="-10"/>
    <n v="66"/>
    <n v="56"/>
    <n v="24"/>
    <n v="27"/>
    <x v="22"/>
    <n v="24"/>
    <n v="-7"/>
    <n v="63"/>
    <n v="0"/>
    <n v="1"/>
    <n v="7"/>
  </r>
  <r>
    <x v="1508"/>
    <n v="-7"/>
    <n v="63"/>
    <n v="56"/>
    <n v="24"/>
    <n v="23"/>
    <x v="8"/>
    <n v="21"/>
    <n v="-5"/>
    <n v="64"/>
    <n v="0"/>
    <n v="1"/>
    <n v="5"/>
  </r>
  <r>
    <x v="1509"/>
    <n v="-5"/>
    <n v="64"/>
    <n v="59"/>
    <n v="21"/>
    <n v="16"/>
    <x v="30"/>
    <n v="20"/>
    <n v="-9"/>
    <n v="69"/>
    <n v="0"/>
    <n v="1"/>
    <n v="9"/>
  </r>
  <r>
    <x v="1510"/>
    <n v="-9"/>
    <n v="69"/>
    <n v="60"/>
    <n v="20"/>
    <n v="24"/>
    <x v="26"/>
    <n v="16"/>
    <n v="-1"/>
    <n v="65"/>
    <n v="0"/>
    <n v="1"/>
    <n v="1"/>
  </r>
  <r>
    <x v="1511"/>
    <n v="-1"/>
    <n v="65"/>
    <n v="64"/>
    <n v="16"/>
    <n v="24"/>
    <x v="24"/>
    <n v="22"/>
    <n v="1"/>
    <n v="57"/>
    <n v="0.1"/>
    <n v="0"/>
    <n v="0"/>
  </r>
  <r>
    <x v="1512"/>
    <n v="1"/>
    <n v="57"/>
    <n v="58"/>
    <n v="22"/>
    <n v="21"/>
    <x v="28"/>
    <n v="24"/>
    <n v="-2"/>
    <n v="58"/>
    <n v="0"/>
    <n v="1"/>
    <n v="2"/>
  </r>
  <r>
    <x v="1513"/>
    <n v="-2"/>
    <n v="58"/>
    <n v="56"/>
    <n v="24"/>
    <n v="20"/>
    <x v="33"/>
    <n v="19"/>
    <n v="-1"/>
    <n v="62"/>
    <n v="0"/>
    <n v="1"/>
    <n v="1"/>
  </r>
  <r>
    <x v="1514"/>
    <n v="-1"/>
    <n v="62"/>
    <n v="61"/>
    <n v="19"/>
    <n v="16"/>
    <x v="26"/>
    <n v="18"/>
    <n v="-3"/>
    <n v="65"/>
    <n v="0"/>
    <n v="1"/>
    <n v="3"/>
  </r>
  <r>
    <x v="1515"/>
    <n v="-3"/>
    <n v="65"/>
    <n v="62"/>
    <n v="18"/>
    <n v="22"/>
    <x v="23"/>
    <n v="18"/>
    <n v="1"/>
    <n v="61"/>
    <n v="0.1"/>
    <n v="0"/>
    <n v="0"/>
  </r>
  <r>
    <x v="1516"/>
    <n v="1"/>
    <n v="61"/>
    <n v="62"/>
    <n v="18"/>
    <n v="24"/>
    <x v="27"/>
    <n v="16"/>
    <n v="9"/>
    <n v="55"/>
    <n v="0.9"/>
    <n v="0"/>
    <n v="0"/>
  </r>
  <r>
    <x v="1517"/>
    <n v="9"/>
    <n v="55"/>
    <n v="64"/>
    <n v="16"/>
    <n v="19"/>
    <x v="25"/>
    <n v="25"/>
    <n v="3"/>
    <n v="52"/>
    <n v="0.30000000000000004"/>
    <n v="0"/>
    <n v="0"/>
  </r>
  <r>
    <x v="1518"/>
    <n v="3"/>
    <n v="52"/>
    <n v="55"/>
    <n v="25"/>
    <n v="18"/>
    <x v="5"/>
    <n v="21"/>
    <n v="0"/>
    <n v="59"/>
    <n v="0"/>
    <n v="0"/>
    <n v="0"/>
  </r>
  <r>
    <x v="1519"/>
    <n v="0"/>
    <n v="59"/>
    <n v="59"/>
    <n v="21"/>
    <n v="18"/>
    <x v="33"/>
    <n v="22"/>
    <n v="-4"/>
    <n v="62"/>
    <n v="0"/>
    <n v="1"/>
    <n v="4"/>
  </r>
  <r>
    <x v="1520"/>
    <n v="-4"/>
    <n v="62"/>
    <n v="58"/>
    <n v="22"/>
    <n v="16"/>
    <x v="17"/>
    <n v="20"/>
    <n v="-8"/>
    <n v="68"/>
    <n v="0"/>
    <n v="1"/>
    <n v="8"/>
  </r>
  <r>
    <x v="1521"/>
    <n v="-8"/>
    <n v="68"/>
    <n v="60"/>
    <n v="20"/>
    <n v="25"/>
    <x v="22"/>
    <n v="18"/>
    <n v="-1"/>
    <n v="63"/>
    <n v="0"/>
    <n v="1"/>
    <n v="1"/>
  </r>
  <r>
    <x v="1522"/>
    <n v="-1"/>
    <n v="63"/>
    <n v="62"/>
    <n v="18"/>
    <n v="21"/>
    <x v="4"/>
    <n v="16"/>
    <n v="4"/>
    <n v="60"/>
    <n v="0.4"/>
    <n v="0"/>
    <n v="0"/>
  </r>
  <r>
    <x v="1523"/>
    <n v="4"/>
    <n v="60"/>
    <n v="64"/>
    <n v="16"/>
    <n v="22"/>
    <x v="16"/>
    <n v="24"/>
    <n v="2"/>
    <n v="54"/>
    <n v="0.2"/>
    <n v="0"/>
    <n v="0"/>
  </r>
  <r>
    <x v="1524"/>
    <n v="2"/>
    <n v="54"/>
    <n v="56"/>
    <n v="24"/>
    <n v="20"/>
    <x v="28"/>
    <n v="20"/>
    <n v="2"/>
    <n v="58"/>
    <n v="0.2"/>
    <n v="0"/>
    <n v="0"/>
  </r>
  <r>
    <x v="1525"/>
    <n v="2"/>
    <n v="58"/>
    <n v="60"/>
    <n v="20"/>
    <n v="18"/>
    <x v="4"/>
    <n v="26"/>
    <n v="-6"/>
    <n v="60"/>
    <n v="0"/>
    <n v="1"/>
    <n v="6"/>
  </r>
  <r>
    <x v="1526"/>
    <n v="-6"/>
    <n v="60"/>
    <n v="54"/>
    <n v="26"/>
    <n v="16"/>
    <x v="6"/>
    <n v="28"/>
    <n v="-18"/>
    <n v="70"/>
    <n v="0"/>
    <n v="1"/>
    <n v="18"/>
  </r>
  <r>
    <x v="1527"/>
    <n v="-18"/>
    <n v="70"/>
    <n v="52"/>
    <n v="28"/>
    <n v="24"/>
    <x v="39"/>
    <n v="13"/>
    <n v="-7"/>
    <n v="74"/>
    <n v="0"/>
    <n v="1"/>
    <n v="7"/>
  </r>
  <r>
    <x v="1528"/>
    <n v="-7"/>
    <n v="74"/>
    <n v="67"/>
    <n v="13"/>
    <n v="20"/>
    <x v="21"/>
    <n v="15"/>
    <n v="-2"/>
    <n v="67"/>
    <n v="0"/>
    <n v="1"/>
    <n v="2"/>
  </r>
  <r>
    <x v="1529"/>
    <n v="-2"/>
    <n v="67"/>
    <n v="65"/>
    <n v="15"/>
    <n v="26"/>
    <x v="32"/>
    <n v="21"/>
    <n v="3"/>
    <n v="56"/>
    <n v="0.30000000000000004"/>
    <n v="0"/>
    <n v="0"/>
  </r>
  <r>
    <x v="1530"/>
    <n v="3"/>
    <n v="56"/>
    <n v="59"/>
    <n v="21"/>
    <n v="28"/>
    <x v="10"/>
    <n v="22"/>
    <n v="9"/>
    <n v="49"/>
    <n v="0.9"/>
    <n v="0"/>
    <n v="0"/>
  </r>
  <r>
    <x v="1531"/>
    <n v="9"/>
    <n v="49"/>
    <n v="58"/>
    <n v="22"/>
    <n v="13"/>
    <x v="28"/>
    <n v="14"/>
    <n v="8"/>
    <n v="58"/>
    <n v="0.8"/>
    <n v="0"/>
    <n v="0"/>
  </r>
  <r>
    <x v="1532"/>
    <n v="8"/>
    <n v="58"/>
    <n v="66"/>
    <n v="14"/>
    <n v="15"/>
    <x v="24"/>
    <n v="13"/>
    <n v="10"/>
    <n v="57"/>
    <n v="1"/>
    <n v="0"/>
    <n v="0"/>
  </r>
  <r>
    <x v="1533"/>
    <n v="10"/>
    <n v="57"/>
    <n v="67"/>
    <n v="13"/>
    <n v="21"/>
    <x v="10"/>
    <n v="23"/>
    <n v="8"/>
    <n v="49"/>
    <n v="0.8"/>
    <n v="0"/>
    <n v="0"/>
  </r>
  <r>
    <x v="1534"/>
    <n v="8"/>
    <n v="49"/>
    <n v="57"/>
    <n v="23"/>
    <n v="22"/>
    <x v="13"/>
    <n v="24"/>
    <n v="6"/>
    <n v="50"/>
    <n v="0.60000000000000009"/>
    <n v="0"/>
    <n v="0"/>
  </r>
  <r>
    <x v="1535"/>
    <n v="6"/>
    <n v="50"/>
    <n v="56"/>
    <n v="24"/>
    <n v="14"/>
    <x v="4"/>
    <n v="16"/>
    <n v="4"/>
    <n v="60"/>
    <n v="0.4"/>
    <n v="0"/>
    <n v="0"/>
  </r>
  <r>
    <x v="1536"/>
    <n v="4"/>
    <n v="60"/>
    <n v="64"/>
    <n v="16"/>
    <n v="13"/>
    <x v="22"/>
    <n v="24"/>
    <n v="-7"/>
    <n v="63"/>
    <n v="0"/>
    <n v="1"/>
    <n v="7"/>
  </r>
  <r>
    <x v="1537"/>
    <n v="-7"/>
    <n v="63"/>
    <n v="56"/>
    <n v="24"/>
    <n v="23"/>
    <x v="8"/>
    <n v="27"/>
    <n v="-11"/>
    <n v="64"/>
    <n v="0"/>
    <n v="1"/>
    <n v="11"/>
  </r>
  <r>
    <x v="1538"/>
    <n v="-11"/>
    <n v="64"/>
    <n v="53"/>
    <n v="27"/>
    <n v="24"/>
    <x v="21"/>
    <n v="25"/>
    <n v="-12"/>
    <n v="67"/>
    <n v="0"/>
    <n v="1"/>
    <n v="12"/>
  </r>
  <r>
    <x v="1539"/>
    <n v="-12"/>
    <n v="67"/>
    <n v="55"/>
    <n v="25"/>
    <n v="16"/>
    <x v="37"/>
    <n v="26"/>
    <n v="-22"/>
    <n v="76"/>
    <n v="0"/>
    <n v="1"/>
    <n v="22"/>
  </r>
  <r>
    <x v="1540"/>
    <n v="-22"/>
    <n v="76"/>
    <n v="54"/>
    <n v="26"/>
    <n v="24"/>
    <x v="35"/>
    <n v="16"/>
    <n v="-14"/>
    <n v="78"/>
    <n v="0"/>
    <n v="1"/>
    <n v="14"/>
  </r>
  <r>
    <x v="1541"/>
    <n v="-14"/>
    <n v="78"/>
    <n v="64"/>
    <n v="16"/>
    <n v="27"/>
    <x v="21"/>
    <n v="20"/>
    <n v="-7"/>
    <n v="67"/>
    <n v="0"/>
    <n v="1"/>
    <n v="7"/>
  </r>
  <r>
    <x v="1542"/>
    <n v="-7"/>
    <n v="67"/>
    <n v="60"/>
    <n v="20"/>
    <n v="25"/>
    <x v="33"/>
    <n v="22"/>
    <n v="-4"/>
    <n v="62"/>
    <n v="0"/>
    <n v="1"/>
    <n v="4"/>
  </r>
  <r>
    <x v="1543"/>
    <n v="-4"/>
    <n v="62"/>
    <n v="58"/>
    <n v="22"/>
    <n v="26"/>
    <x v="28"/>
    <n v="19"/>
    <n v="3"/>
    <n v="58"/>
    <n v="0.30000000000000004"/>
    <n v="0"/>
    <n v="0"/>
  </r>
  <r>
    <x v="1544"/>
    <n v="3"/>
    <n v="58"/>
    <n v="61"/>
    <n v="19"/>
    <n v="16"/>
    <x v="23"/>
    <n v="18"/>
    <n v="1"/>
    <n v="61"/>
    <n v="0.1"/>
    <n v="0"/>
    <n v="0"/>
  </r>
  <r>
    <x v="1545"/>
    <n v="1"/>
    <n v="61"/>
    <n v="62"/>
    <n v="18"/>
    <n v="20"/>
    <x v="5"/>
    <n v="24"/>
    <n v="-3"/>
    <n v="59"/>
    <n v="0"/>
    <n v="1"/>
    <n v="3"/>
  </r>
  <r>
    <x v="1546"/>
    <n v="-3"/>
    <n v="59"/>
    <n v="56"/>
    <n v="24"/>
    <n v="22"/>
    <x v="23"/>
    <n v="18"/>
    <n v="1"/>
    <n v="61"/>
    <n v="0.1"/>
    <n v="0"/>
    <n v="0"/>
  </r>
  <r>
    <x v="1547"/>
    <n v="1"/>
    <n v="61"/>
    <n v="62"/>
    <n v="18"/>
    <n v="19"/>
    <x v="4"/>
    <n v="22"/>
    <n v="-2"/>
    <n v="60"/>
    <n v="0"/>
    <n v="1"/>
    <n v="2"/>
  </r>
  <r>
    <x v="1548"/>
    <n v="-2"/>
    <n v="60"/>
    <n v="58"/>
    <n v="22"/>
    <n v="18"/>
    <x v="8"/>
    <n v="17"/>
    <n v="-1"/>
    <n v="64"/>
    <n v="0"/>
    <n v="1"/>
    <n v="1"/>
  </r>
  <r>
    <x v="1549"/>
    <n v="-1"/>
    <n v="64"/>
    <n v="63"/>
    <n v="17"/>
    <n v="24"/>
    <x v="24"/>
    <n v="24"/>
    <n v="-1"/>
    <n v="57"/>
    <n v="0"/>
    <n v="1"/>
    <n v="1"/>
  </r>
  <r>
    <x v="1550"/>
    <n v="-1"/>
    <n v="57"/>
    <n v="56"/>
    <n v="24"/>
    <n v="18"/>
    <x v="22"/>
    <n v="18"/>
    <n v="-1"/>
    <n v="63"/>
    <n v="0"/>
    <n v="1"/>
    <n v="1"/>
  </r>
  <r>
    <x v="1551"/>
    <n v="-1"/>
    <n v="63"/>
    <n v="62"/>
    <n v="18"/>
    <n v="22"/>
    <x v="5"/>
    <n v="27"/>
    <n v="-6"/>
    <n v="59"/>
    <n v="0"/>
    <n v="1"/>
    <n v="6"/>
  </r>
  <r>
    <x v="1552"/>
    <n v="-6"/>
    <n v="59"/>
    <n v="53"/>
    <n v="27"/>
    <n v="17"/>
    <x v="30"/>
    <n v="19"/>
    <n v="-8"/>
    <n v="69"/>
    <n v="0"/>
    <n v="1"/>
    <n v="8"/>
  </r>
  <r>
    <x v="1553"/>
    <n v="-8"/>
    <n v="69"/>
    <n v="61"/>
    <n v="19"/>
    <n v="24"/>
    <x v="8"/>
    <n v="18"/>
    <n v="-2"/>
    <n v="64"/>
    <n v="0"/>
    <n v="1"/>
    <n v="2"/>
  </r>
  <r>
    <x v="1554"/>
    <n v="-2"/>
    <n v="64"/>
    <n v="62"/>
    <n v="18"/>
    <n v="18"/>
    <x v="8"/>
    <n v="16"/>
    <n v="0"/>
    <n v="64"/>
    <n v="0"/>
    <n v="0"/>
    <n v="0"/>
  </r>
  <r>
    <x v="1555"/>
    <n v="0"/>
    <n v="64"/>
    <n v="64"/>
    <n v="16"/>
    <n v="27"/>
    <x v="12"/>
    <n v="16"/>
    <n v="11"/>
    <n v="53"/>
    <n v="1.1000000000000001"/>
    <n v="0"/>
    <n v="0"/>
  </r>
  <r>
    <x v="1556"/>
    <n v="11"/>
    <n v="53"/>
    <n v="64"/>
    <n v="16"/>
    <n v="19"/>
    <x v="13"/>
    <n v="17"/>
    <n v="13"/>
    <n v="50"/>
    <n v="1.3"/>
    <n v="0"/>
    <n v="0"/>
  </r>
  <r>
    <x v="1557"/>
    <n v="13"/>
    <n v="50"/>
    <n v="63"/>
    <n v="17"/>
    <n v="18"/>
    <x v="10"/>
    <n v="19"/>
    <n v="12"/>
    <n v="49"/>
    <n v="1.2000000000000002"/>
    <n v="0"/>
    <n v="0"/>
  </r>
  <r>
    <x v="1558"/>
    <n v="12"/>
    <n v="49"/>
    <n v="61"/>
    <n v="19"/>
    <n v="16"/>
    <x v="25"/>
    <n v="16"/>
    <n v="12"/>
    <n v="52"/>
    <n v="1.2000000000000002"/>
    <n v="0"/>
    <n v="0"/>
  </r>
  <r>
    <x v="1559"/>
    <n v="12"/>
    <n v="52"/>
    <n v="64"/>
    <n v="16"/>
    <n v="16"/>
    <x v="25"/>
    <n v="18"/>
    <n v="10"/>
    <n v="52"/>
    <n v="1"/>
    <n v="0"/>
    <n v="0"/>
  </r>
  <r>
    <x v="1560"/>
    <n v="10"/>
    <n v="52"/>
    <n v="62"/>
    <n v="18"/>
    <n v="17"/>
    <x v="12"/>
    <n v="19"/>
    <n v="8"/>
    <n v="53"/>
    <n v="0.8"/>
    <n v="0"/>
    <n v="0"/>
  </r>
  <r>
    <x v="1561"/>
    <n v="8"/>
    <n v="53"/>
    <n v="61"/>
    <n v="19"/>
    <n v="19"/>
    <x v="12"/>
    <n v="32"/>
    <n v="-5"/>
    <n v="53"/>
    <n v="0"/>
    <n v="1"/>
    <n v="5"/>
  </r>
  <r>
    <x v="1562"/>
    <n v="-5"/>
    <n v="53"/>
    <n v="48"/>
    <n v="32"/>
    <n v="16"/>
    <x v="30"/>
    <n v="12"/>
    <n v="-1"/>
    <n v="69"/>
    <n v="0"/>
    <n v="1"/>
    <n v="1"/>
  </r>
  <r>
    <x v="1563"/>
    <n v="-1"/>
    <n v="69"/>
    <n v="68"/>
    <n v="12"/>
    <n v="18"/>
    <x v="22"/>
    <n v="19"/>
    <n v="-2"/>
    <n v="63"/>
    <n v="0"/>
    <n v="1"/>
    <n v="2"/>
  </r>
  <r>
    <x v="1564"/>
    <n v="-2"/>
    <n v="63"/>
    <n v="61"/>
    <n v="19"/>
    <n v="19"/>
    <x v="22"/>
    <n v="27"/>
    <n v="-10"/>
    <n v="63"/>
    <n v="0"/>
    <n v="1"/>
    <n v="10"/>
  </r>
  <r>
    <x v="1565"/>
    <n v="-10"/>
    <n v="63"/>
    <n v="53"/>
    <n v="27"/>
    <n v="32"/>
    <x v="28"/>
    <n v="26"/>
    <n v="-4"/>
    <n v="58"/>
    <n v="0"/>
    <n v="1"/>
    <n v="4"/>
  </r>
  <r>
    <x v="1566"/>
    <n v="-4"/>
    <n v="58"/>
    <n v="54"/>
    <n v="26"/>
    <n v="12"/>
    <x v="29"/>
    <n v="15"/>
    <n v="-7"/>
    <n v="72"/>
    <n v="0"/>
    <n v="1"/>
    <n v="7"/>
  </r>
  <r>
    <x v="1567"/>
    <n v="-7"/>
    <n v="72"/>
    <n v="65"/>
    <n v="15"/>
    <n v="19"/>
    <x v="17"/>
    <n v="18"/>
    <n v="-6"/>
    <n v="68"/>
    <n v="0"/>
    <n v="1"/>
    <n v="6"/>
  </r>
  <r>
    <x v="1568"/>
    <n v="-6"/>
    <n v="68"/>
    <n v="62"/>
    <n v="18"/>
    <n v="27"/>
    <x v="5"/>
    <n v="17"/>
    <n v="4"/>
    <n v="59"/>
    <n v="0.4"/>
    <n v="0"/>
    <n v="0"/>
  </r>
  <r>
    <x v="1569"/>
    <n v="4"/>
    <n v="59"/>
    <n v="63"/>
    <n v="17"/>
    <n v="26"/>
    <x v="13"/>
    <n v="22"/>
    <n v="8"/>
    <n v="50"/>
    <n v="0.8"/>
    <n v="0"/>
    <n v="0"/>
  </r>
  <r>
    <x v="1570"/>
    <n v="8"/>
    <n v="50"/>
    <n v="58"/>
    <n v="22"/>
    <n v="15"/>
    <x v="24"/>
    <n v="25"/>
    <n v="-2"/>
    <n v="57"/>
    <n v="0"/>
    <n v="1"/>
    <n v="2"/>
  </r>
  <r>
    <x v="1571"/>
    <n v="-2"/>
    <n v="57"/>
    <n v="55"/>
    <n v="25"/>
    <n v="18"/>
    <x v="8"/>
    <n v="23"/>
    <n v="-7"/>
    <n v="64"/>
    <n v="0"/>
    <n v="1"/>
    <n v="7"/>
  </r>
  <r>
    <x v="1572"/>
    <n v="-7"/>
    <n v="64"/>
    <n v="57"/>
    <n v="23"/>
    <n v="17"/>
    <x v="6"/>
    <n v="20"/>
    <n v="-10"/>
    <n v="70"/>
    <n v="0"/>
    <n v="1"/>
    <n v="10"/>
  </r>
  <r>
    <x v="1573"/>
    <n v="-10"/>
    <n v="70"/>
    <n v="60"/>
    <n v="20"/>
    <n v="22"/>
    <x v="17"/>
    <n v="23"/>
    <n v="-11"/>
    <n v="68"/>
    <n v="0"/>
    <n v="1"/>
    <n v="11"/>
  </r>
  <r>
    <x v="1574"/>
    <n v="-11"/>
    <n v="68"/>
    <n v="57"/>
    <n v="23"/>
    <n v="25"/>
    <x v="7"/>
    <n v="24"/>
    <n v="-10"/>
    <n v="66"/>
    <n v="0"/>
    <n v="1"/>
    <n v="10"/>
  </r>
  <r>
    <x v="1575"/>
    <n v="-10"/>
    <n v="66"/>
    <n v="56"/>
    <n v="24"/>
    <n v="23"/>
    <x v="21"/>
    <n v="21"/>
    <n v="-8"/>
    <n v="67"/>
    <n v="0"/>
    <n v="1"/>
    <n v="8"/>
  </r>
  <r>
    <x v="1576"/>
    <n v="-8"/>
    <n v="67"/>
    <n v="59"/>
    <n v="21"/>
    <n v="20"/>
    <x v="17"/>
    <n v="18"/>
    <n v="-6"/>
    <n v="68"/>
    <n v="0"/>
    <n v="1"/>
    <n v="6"/>
  </r>
  <r>
    <x v="1577"/>
    <n v="-6"/>
    <n v="68"/>
    <n v="62"/>
    <n v="18"/>
    <n v="23"/>
    <x v="22"/>
    <n v="26"/>
    <n v="-9"/>
    <n v="63"/>
    <n v="0"/>
    <n v="1"/>
    <n v="9"/>
  </r>
  <r>
    <x v="1578"/>
    <n v="-9"/>
    <n v="63"/>
    <n v="54"/>
    <n v="26"/>
    <n v="24"/>
    <x v="26"/>
    <n v="25"/>
    <n v="-10"/>
    <n v="65"/>
    <n v="0"/>
    <n v="1"/>
    <n v="10"/>
  </r>
  <r>
    <x v="1579"/>
    <n v="-10"/>
    <n v="65"/>
    <n v="55"/>
    <n v="25"/>
    <n v="21"/>
    <x v="30"/>
    <n v="12"/>
    <n v="-1"/>
    <n v="69"/>
    <n v="0"/>
    <n v="1"/>
    <n v="1"/>
  </r>
  <r>
    <x v="1580"/>
    <n v="-1"/>
    <n v="69"/>
    <n v="68"/>
    <n v="12"/>
    <n v="18"/>
    <x v="22"/>
    <n v="22"/>
    <n v="-5"/>
    <n v="63"/>
    <n v="0"/>
    <n v="1"/>
    <n v="5"/>
  </r>
  <r>
    <x v="1581"/>
    <n v="-5"/>
    <n v="63"/>
    <n v="58"/>
    <n v="22"/>
    <n v="26"/>
    <x v="5"/>
    <n v="21"/>
    <n v="0"/>
    <n v="59"/>
    <n v="0"/>
    <n v="0"/>
    <n v="0"/>
  </r>
  <r>
    <x v="1582"/>
    <n v="0"/>
    <n v="59"/>
    <n v="59"/>
    <n v="21"/>
    <n v="25"/>
    <x v="27"/>
    <n v="17"/>
    <n v="8"/>
    <n v="55"/>
    <n v="0.8"/>
    <n v="0"/>
    <n v="0"/>
  </r>
  <r>
    <x v="1583"/>
    <n v="8"/>
    <n v="55"/>
    <n v="63"/>
    <n v="17"/>
    <n v="12"/>
    <x v="4"/>
    <n v="22"/>
    <n v="-2"/>
    <n v="60"/>
    <n v="0"/>
    <n v="1"/>
    <n v="2"/>
  </r>
  <r>
    <x v="1584"/>
    <n v="-2"/>
    <n v="60"/>
    <n v="58"/>
    <n v="22"/>
    <n v="22"/>
    <x v="4"/>
    <n v="17"/>
    <n v="3"/>
    <n v="60"/>
    <n v="0.30000000000000004"/>
    <n v="0"/>
    <n v="0"/>
  </r>
  <r>
    <x v="1585"/>
    <n v="3"/>
    <n v="60"/>
    <n v="63"/>
    <n v="17"/>
    <n v="21"/>
    <x v="32"/>
    <n v="12"/>
    <n v="12"/>
    <n v="56"/>
    <n v="1.2000000000000002"/>
    <n v="0"/>
    <n v="0"/>
  </r>
  <r>
    <x v="1586"/>
    <n v="12"/>
    <n v="56"/>
    <n v="68"/>
    <n v="12"/>
    <n v="17"/>
    <x v="9"/>
    <n v="21"/>
    <n v="8"/>
    <n v="51"/>
    <n v="0.8"/>
    <n v="0"/>
    <n v="0"/>
  </r>
  <r>
    <x v="1587"/>
    <n v="8"/>
    <n v="51"/>
    <n v="59"/>
    <n v="21"/>
    <n v="22"/>
    <x v="13"/>
    <n v="21"/>
    <n v="9"/>
    <n v="50"/>
    <n v="0.9"/>
    <n v="0"/>
    <n v="0"/>
  </r>
  <r>
    <x v="1588"/>
    <n v="9"/>
    <n v="50"/>
    <n v="59"/>
    <n v="21"/>
    <n v="17"/>
    <x v="16"/>
    <n v="16"/>
    <n v="10"/>
    <n v="54"/>
    <n v="1"/>
    <n v="0"/>
    <n v="0"/>
  </r>
  <r>
    <x v="1589"/>
    <n v="10"/>
    <n v="54"/>
    <n v="64"/>
    <n v="16"/>
    <n v="12"/>
    <x v="28"/>
    <n v="20"/>
    <n v="2"/>
    <n v="58"/>
    <n v="0.2"/>
    <n v="0"/>
    <n v="0"/>
  </r>
  <r>
    <x v="1590"/>
    <n v="2"/>
    <n v="58"/>
    <n v="60"/>
    <n v="20"/>
    <n v="21"/>
    <x v="24"/>
    <n v="15"/>
    <n v="8"/>
    <n v="57"/>
    <n v="0.8"/>
    <n v="0"/>
    <n v="0"/>
  </r>
  <r>
    <x v="1591"/>
    <n v="8"/>
    <n v="57"/>
    <n v="65"/>
    <n v="15"/>
    <n v="21"/>
    <x v="9"/>
    <n v="21"/>
    <n v="8"/>
    <n v="51"/>
    <n v="0.8"/>
    <n v="0"/>
    <n v="0"/>
  </r>
  <r>
    <x v="1592"/>
    <n v="8"/>
    <n v="51"/>
    <n v="59"/>
    <n v="21"/>
    <n v="16"/>
    <x v="32"/>
    <n v="22"/>
    <n v="2"/>
    <n v="56"/>
    <n v="0.2"/>
    <n v="0"/>
    <n v="0"/>
  </r>
  <r>
    <x v="1593"/>
    <n v="2"/>
    <n v="56"/>
    <n v="58"/>
    <n v="22"/>
    <n v="20"/>
    <x v="28"/>
    <n v="22"/>
    <n v="0"/>
    <n v="58"/>
    <n v="0"/>
    <n v="0"/>
    <n v="0"/>
  </r>
  <r>
    <x v="1594"/>
    <n v="0"/>
    <n v="58"/>
    <n v="58"/>
    <n v="22"/>
    <n v="15"/>
    <x v="26"/>
    <n v="24"/>
    <n v="-9"/>
    <n v="65"/>
    <n v="0"/>
    <n v="1"/>
    <n v="9"/>
  </r>
  <r>
    <x v="1595"/>
    <n v="-9"/>
    <n v="65"/>
    <n v="56"/>
    <n v="24"/>
    <n v="21"/>
    <x v="17"/>
    <n v="20"/>
    <n v="-8"/>
    <n v="68"/>
    <n v="0"/>
    <n v="1"/>
    <n v="8"/>
  </r>
  <r>
    <x v="1596"/>
    <n v="-8"/>
    <n v="68"/>
    <n v="60"/>
    <n v="20"/>
    <n v="22"/>
    <x v="7"/>
    <n v="20"/>
    <n v="-6"/>
    <n v="66"/>
    <n v="0"/>
    <n v="1"/>
    <n v="6"/>
  </r>
  <r>
    <x v="1597"/>
    <n v="-6"/>
    <n v="66"/>
    <n v="60"/>
    <n v="20"/>
    <n v="22"/>
    <x v="8"/>
    <n v="17"/>
    <n v="-1"/>
    <n v="64"/>
    <n v="0"/>
    <n v="1"/>
    <n v="1"/>
  </r>
  <r>
    <x v="1598"/>
    <n v="-1"/>
    <n v="64"/>
    <n v="63"/>
    <n v="17"/>
    <n v="24"/>
    <x v="24"/>
    <n v="16"/>
    <n v="7"/>
    <n v="57"/>
    <n v="0.70000000000000007"/>
    <n v="0"/>
    <n v="0"/>
  </r>
  <r>
    <x v="1599"/>
    <n v="7"/>
    <n v="57"/>
    <n v="64"/>
    <n v="16"/>
    <n v="20"/>
    <x v="12"/>
    <n v="20"/>
    <n v="7"/>
    <n v="53"/>
    <n v="0.70000000000000007"/>
    <n v="0"/>
    <n v="0"/>
  </r>
  <r>
    <x v="1600"/>
    <n v="7"/>
    <n v="53"/>
    <n v="60"/>
    <n v="20"/>
    <n v="20"/>
    <x v="12"/>
    <n v="22"/>
    <n v="5"/>
    <n v="53"/>
    <n v="0.5"/>
    <n v="0"/>
    <n v="0"/>
  </r>
  <r>
    <x v="1601"/>
    <n v="5"/>
    <n v="53"/>
    <n v="58"/>
    <n v="22"/>
    <n v="17"/>
    <x v="28"/>
    <n v="16"/>
    <n v="6"/>
    <n v="58"/>
    <n v="0.60000000000000009"/>
    <n v="0"/>
    <n v="0"/>
  </r>
  <r>
    <x v="1602"/>
    <n v="6"/>
    <n v="58"/>
    <n v="64"/>
    <n v="16"/>
    <n v="16"/>
    <x v="28"/>
    <n v="26"/>
    <n v="-4"/>
    <n v="58"/>
    <n v="0"/>
    <n v="1"/>
    <n v="4"/>
  </r>
  <r>
    <x v="1603"/>
    <n v="-4"/>
    <n v="58"/>
    <n v="54"/>
    <n v="26"/>
    <n v="20"/>
    <x v="8"/>
    <n v="20"/>
    <n v="-4"/>
    <n v="64"/>
    <n v="0"/>
    <n v="1"/>
    <n v="4"/>
  </r>
  <r>
    <x v="1604"/>
    <n v="-4"/>
    <n v="64"/>
    <n v="60"/>
    <n v="20"/>
    <n v="22"/>
    <x v="33"/>
    <n v="19"/>
    <n v="-1"/>
    <n v="62"/>
    <n v="0"/>
    <n v="1"/>
    <n v="1"/>
  </r>
  <r>
    <x v="1605"/>
    <n v="-1"/>
    <n v="62"/>
    <n v="61"/>
    <n v="19"/>
    <n v="16"/>
    <x v="26"/>
    <n v="17"/>
    <n v="-2"/>
    <n v="65"/>
    <n v="0"/>
    <n v="1"/>
    <n v="2"/>
  </r>
  <r>
    <x v="1606"/>
    <n v="-2"/>
    <n v="65"/>
    <n v="63"/>
    <n v="17"/>
    <n v="26"/>
    <x v="32"/>
    <n v="23"/>
    <n v="1"/>
    <n v="56"/>
    <n v="0.1"/>
    <n v="0"/>
    <n v="0"/>
  </r>
  <r>
    <x v="1607"/>
    <n v="1"/>
    <n v="56"/>
    <n v="57"/>
    <n v="23"/>
    <n v="20"/>
    <x v="5"/>
    <n v="20"/>
    <n v="1"/>
    <n v="59"/>
    <n v="0.1"/>
    <n v="0"/>
    <n v="0"/>
  </r>
  <r>
    <x v="1608"/>
    <n v="1"/>
    <n v="59"/>
    <n v="60"/>
    <n v="20"/>
    <n v="19"/>
    <x v="4"/>
    <n v="30"/>
    <n v="-10"/>
    <n v="60"/>
    <n v="0"/>
    <n v="1"/>
    <n v="10"/>
  </r>
  <r>
    <x v="1609"/>
    <n v="-10"/>
    <n v="60"/>
    <n v="50"/>
    <n v="30"/>
    <n v="17"/>
    <x v="31"/>
    <n v="30"/>
    <n v="-23"/>
    <n v="73"/>
    <n v="0"/>
    <n v="1"/>
    <n v="23"/>
  </r>
  <r>
    <x v="1610"/>
    <n v="-23"/>
    <n v="73"/>
    <n v="50"/>
    <n v="30"/>
    <n v="23"/>
    <x v="0"/>
    <n v="22"/>
    <n v="-22"/>
    <n v="80"/>
    <n v="0"/>
    <n v="1"/>
    <n v="22"/>
  </r>
  <r>
    <x v="1611"/>
    <n v="-22"/>
    <n v="80"/>
    <n v="58"/>
    <n v="22"/>
    <n v="20"/>
    <x v="19"/>
    <n v="29"/>
    <n v="-31"/>
    <n v="82"/>
    <n v="0"/>
    <n v="1"/>
    <n v="29"/>
  </r>
  <r>
    <x v="1612"/>
    <n v="-31"/>
    <n v="82"/>
    <n v="51"/>
    <n v="29"/>
    <n v="30"/>
    <x v="41"/>
    <n v="16"/>
    <n v="-17"/>
    <n v="81"/>
    <n v="0"/>
    <n v="1"/>
    <n v="16"/>
  </r>
  <r>
    <x v="1613"/>
    <n v="-17"/>
    <n v="81"/>
    <n v="64"/>
    <n v="16"/>
    <n v="30"/>
    <x v="21"/>
    <n v="20"/>
    <n v="-7"/>
    <n v="67"/>
    <n v="0"/>
    <n v="1"/>
    <n v="7"/>
  </r>
  <r>
    <x v="1614"/>
    <n v="-7"/>
    <n v="67"/>
    <n v="60"/>
    <n v="20"/>
    <n v="22"/>
    <x v="26"/>
    <n v="22"/>
    <n v="-7"/>
    <n v="65"/>
    <n v="0"/>
    <n v="1"/>
    <n v="7"/>
  </r>
  <r>
    <x v="1615"/>
    <n v="-7"/>
    <n v="65"/>
    <n v="58"/>
    <n v="22"/>
    <n v="29"/>
    <x v="28"/>
    <n v="21"/>
    <n v="1"/>
    <n v="58"/>
    <n v="0.1"/>
    <n v="0"/>
    <n v="0"/>
  </r>
  <r>
    <x v="1616"/>
    <n v="1"/>
    <n v="58"/>
    <n v="59"/>
    <n v="21"/>
    <n v="16"/>
    <x v="22"/>
    <n v="25"/>
    <n v="-8"/>
    <n v="63"/>
    <n v="0"/>
    <n v="1"/>
    <n v="8"/>
  </r>
  <r>
    <x v="1617"/>
    <n v="-8"/>
    <n v="63"/>
    <n v="55"/>
    <n v="25"/>
    <n v="20"/>
    <x v="17"/>
    <n v="28"/>
    <n v="-16"/>
    <n v="68"/>
    <n v="0"/>
    <n v="1"/>
    <n v="16"/>
  </r>
  <r>
    <x v="1618"/>
    <n v="-16"/>
    <n v="68"/>
    <n v="52"/>
    <n v="28"/>
    <n v="22"/>
    <x v="39"/>
    <n v="20"/>
    <n v="-14"/>
    <n v="74"/>
    <n v="0"/>
    <n v="1"/>
    <n v="14"/>
  </r>
  <r>
    <x v="1619"/>
    <n v="-14"/>
    <n v="74"/>
    <n v="60"/>
    <n v="20"/>
    <n v="21"/>
    <x v="31"/>
    <n v="23"/>
    <n v="-16"/>
    <n v="73"/>
    <n v="0"/>
    <n v="1"/>
    <n v="16"/>
  </r>
  <r>
    <x v="1620"/>
    <n v="-16"/>
    <n v="73"/>
    <n v="57"/>
    <n v="23"/>
    <n v="25"/>
    <x v="20"/>
    <n v="15"/>
    <n v="-6"/>
    <n v="71"/>
    <n v="0"/>
    <n v="1"/>
    <n v="6"/>
  </r>
  <r>
    <x v="1621"/>
    <n v="-6"/>
    <n v="71"/>
    <n v="65"/>
    <n v="15"/>
    <n v="28"/>
    <x v="28"/>
    <n v="24"/>
    <n v="-2"/>
    <n v="58"/>
    <n v="0"/>
    <n v="1"/>
    <n v="2"/>
  </r>
  <r>
    <x v="1622"/>
    <n v="-2"/>
    <n v="58"/>
    <n v="56"/>
    <n v="24"/>
    <n v="20"/>
    <x v="33"/>
    <n v="25"/>
    <n v="-7"/>
    <n v="62"/>
    <n v="0"/>
    <n v="1"/>
    <n v="7"/>
  </r>
  <r>
    <x v="1623"/>
    <n v="-7"/>
    <n v="62"/>
    <n v="55"/>
    <n v="25"/>
    <n v="23"/>
    <x v="8"/>
    <n v="24"/>
    <n v="-8"/>
    <n v="64"/>
    <n v="0"/>
    <n v="1"/>
    <n v="8"/>
  </r>
  <r>
    <x v="1624"/>
    <n v="-8"/>
    <n v="64"/>
    <n v="56"/>
    <n v="24"/>
    <n v="15"/>
    <x v="31"/>
    <n v="21"/>
    <n v="-14"/>
    <n v="73"/>
    <n v="0"/>
    <n v="1"/>
    <n v="14"/>
  </r>
  <r>
    <x v="1625"/>
    <n v="-14"/>
    <n v="73"/>
    <n v="59"/>
    <n v="21"/>
    <n v="24"/>
    <x v="6"/>
    <n v="25"/>
    <n v="-15"/>
    <n v="70"/>
    <n v="0"/>
    <n v="1"/>
    <n v="15"/>
  </r>
  <r>
    <x v="1626"/>
    <n v="-15"/>
    <n v="70"/>
    <n v="55"/>
    <n v="25"/>
    <n v="25"/>
    <x v="6"/>
    <n v="21"/>
    <n v="-11"/>
    <n v="70"/>
    <n v="0"/>
    <n v="1"/>
    <n v="11"/>
  </r>
  <r>
    <x v="1627"/>
    <n v="-11"/>
    <n v="70"/>
    <n v="59"/>
    <n v="21"/>
    <n v="24"/>
    <x v="21"/>
    <n v="25"/>
    <n v="-12"/>
    <n v="67"/>
    <n v="0"/>
    <n v="1"/>
    <n v="12"/>
  </r>
  <r>
    <x v="1628"/>
    <n v="-12"/>
    <n v="67"/>
    <n v="55"/>
    <n v="25"/>
    <n v="21"/>
    <x v="20"/>
    <n v="17"/>
    <n v="-8"/>
    <n v="71"/>
    <n v="0"/>
    <n v="1"/>
    <n v="8"/>
  </r>
  <r>
    <x v="1629"/>
    <n v="-8"/>
    <n v="71"/>
    <n v="63"/>
    <n v="17"/>
    <n v="25"/>
    <x v="22"/>
    <n v="14"/>
    <n v="3"/>
    <n v="63"/>
    <n v="0.30000000000000004"/>
    <n v="0"/>
    <n v="0"/>
  </r>
  <r>
    <x v="1630"/>
    <n v="3"/>
    <n v="63"/>
    <n v="66"/>
    <n v="14"/>
    <n v="21"/>
    <x v="32"/>
    <n v="21"/>
    <n v="3"/>
    <n v="56"/>
    <n v="0.30000000000000004"/>
    <n v="0"/>
    <n v="0"/>
  </r>
  <r>
    <x v="1631"/>
    <n v="3"/>
    <n v="56"/>
    <n v="59"/>
    <n v="21"/>
    <n v="25"/>
    <x v="25"/>
    <n v="22"/>
    <n v="6"/>
    <n v="52"/>
    <n v="0.60000000000000009"/>
    <n v="0"/>
    <n v="0"/>
  </r>
  <r>
    <x v="1632"/>
    <n v="6"/>
    <n v="52"/>
    <n v="58"/>
    <n v="22"/>
    <n v="17"/>
    <x v="24"/>
    <n v="19"/>
    <n v="4"/>
    <n v="57"/>
    <n v="0.4"/>
    <n v="0"/>
    <n v="0"/>
  </r>
  <r>
    <x v="1633"/>
    <n v="4"/>
    <n v="57"/>
    <n v="61"/>
    <n v="19"/>
    <n v="14"/>
    <x v="33"/>
    <n v="17"/>
    <n v="1"/>
    <n v="62"/>
    <n v="0.1"/>
    <n v="0"/>
    <n v="0"/>
  </r>
  <r>
    <x v="1634"/>
    <n v="1"/>
    <n v="62"/>
    <n v="63"/>
    <n v="17"/>
    <n v="21"/>
    <x v="28"/>
    <n v="18"/>
    <n v="4"/>
    <n v="58"/>
    <n v="0.4"/>
    <n v="0"/>
    <n v="0"/>
  </r>
  <r>
    <x v="1635"/>
    <n v="4"/>
    <n v="58"/>
    <n v="62"/>
    <n v="18"/>
    <n v="22"/>
    <x v="16"/>
    <n v="22"/>
    <n v="4"/>
    <n v="54"/>
    <n v="0.4"/>
    <n v="0"/>
    <n v="0"/>
  </r>
  <r>
    <x v="1636"/>
    <n v="4"/>
    <n v="54"/>
    <n v="58"/>
    <n v="22"/>
    <n v="19"/>
    <x v="24"/>
    <n v="21"/>
    <n v="2"/>
    <n v="57"/>
    <n v="0.2"/>
    <n v="0"/>
    <n v="0"/>
  </r>
  <r>
    <x v="1637"/>
    <n v="2"/>
    <n v="57"/>
    <n v="59"/>
    <n v="21"/>
    <n v="17"/>
    <x v="23"/>
    <n v="13"/>
    <n v="6"/>
    <n v="61"/>
    <n v="0.60000000000000009"/>
    <n v="0"/>
    <n v="0"/>
  </r>
  <r>
    <x v="1638"/>
    <n v="6"/>
    <n v="61"/>
    <n v="67"/>
    <n v="13"/>
    <n v="18"/>
    <x v="32"/>
    <n v="24"/>
    <n v="0"/>
    <n v="56"/>
    <n v="0"/>
    <n v="0"/>
    <n v="0"/>
  </r>
  <r>
    <x v="1639"/>
    <n v="0"/>
    <n v="56"/>
    <n v="56"/>
    <n v="24"/>
    <n v="22"/>
    <x v="28"/>
    <n v="23"/>
    <n v="-1"/>
    <n v="58"/>
    <n v="0"/>
    <n v="1"/>
    <n v="1"/>
  </r>
  <r>
    <x v="1640"/>
    <n v="-1"/>
    <n v="58"/>
    <n v="57"/>
    <n v="23"/>
    <n v="21"/>
    <x v="4"/>
    <n v="29"/>
    <n v="-9"/>
    <n v="60"/>
    <n v="0"/>
    <n v="1"/>
    <n v="9"/>
  </r>
  <r>
    <x v="1641"/>
    <n v="-9"/>
    <n v="60"/>
    <n v="51"/>
    <n v="29"/>
    <n v="13"/>
    <x v="37"/>
    <n v="14"/>
    <n v="-10"/>
    <n v="76"/>
    <n v="0"/>
    <n v="1"/>
    <n v="10"/>
  </r>
  <r>
    <x v="1642"/>
    <n v="-10"/>
    <n v="76"/>
    <n v="66"/>
    <n v="14"/>
    <n v="24"/>
    <x v="7"/>
    <n v="25"/>
    <n v="-11"/>
    <n v="66"/>
    <n v="0"/>
    <n v="1"/>
    <n v="11"/>
  </r>
  <r>
    <x v="1643"/>
    <n v="-11"/>
    <n v="66"/>
    <n v="55"/>
    <n v="25"/>
    <n v="23"/>
    <x v="17"/>
    <n v="19"/>
    <n v="-7"/>
    <n v="68"/>
    <n v="0"/>
    <n v="1"/>
    <n v="7"/>
  </r>
  <r>
    <x v="1644"/>
    <n v="-7"/>
    <n v="68"/>
    <n v="61"/>
    <n v="19"/>
    <n v="29"/>
    <x v="28"/>
    <n v="25"/>
    <n v="-3"/>
    <n v="58"/>
    <n v="0"/>
    <n v="1"/>
    <n v="3"/>
  </r>
  <r>
    <x v="1645"/>
    <n v="-3"/>
    <n v="58"/>
    <n v="55"/>
    <n v="25"/>
    <n v="14"/>
    <x v="30"/>
    <n v="25"/>
    <n v="-14"/>
    <n v="69"/>
    <n v="0"/>
    <n v="1"/>
    <n v="14"/>
  </r>
  <r>
    <x v="1646"/>
    <n v="-14"/>
    <n v="69"/>
    <n v="55"/>
    <n v="25"/>
    <n v="25"/>
    <x v="30"/>
    <n v="14"/>
    <n v="-3"/>
    <n v="69"/>
    <n v="0"/>
    <n v="1"/>
    <n v="3"/>
  </r>
  <r>
    <x v="1647"/>
    <n v="-3"/>
    <n v="69"/>
    <n v="66"/>
    <n v="14"/>
    <n v="19"/>
    <x v="8"/>
    <n v="27"/>
    <n v="-11"/>
    <n v="64"/>
    <n v="0"/>
    <n v="1"/>
    <n v="11"/>
  </r>
  <r>
    <x v="1648"/>
    <n v="-11"/>
    <n v="64"/>
    <n v="53"/>
    <n v="27"/>
    <n v="25"/>
    <x v="7"/>
    <n v="23"/>
    <n v="-9"/>
    <n v="66"/>
    <n v="0"/>
    <n v="1"/>
    <n v="9"/>
  </r>
  <r>
    <x v="1649"/>
    <n v="-9"/>
    <n v="66"/>
    <n v="57"/>
    <n v="23"/>
    <n v="25"/>
    <x v="8"/>
    <n v="21"/>
    <n v="-5"/>
    <n v="64"/>
    <n v="0"/>
    <n v="1"/>
    <n v="5"/>
  </r>
  <r>
    <x v="1650"/>
    <n v="-5"/>
    <n v="64"/>
    <n v="59"/>
    <n v="21"/>
    <n v="14"/>
    <x v="20"/>
    <n v="22"/>
    <n v="-13"/>
    <n v="71"/>
    <n v="0"/>
    <n v="1"/>
    <n v="13"/>
  </r>
  <r>
    <x v="1651"/>
    <n v="-13"/>
    <n v="71"/>
    <n v="58"/>
    <n v="22"/>
    <n v="27"/>
    <x v="7"/>
    <n v="20"/>
    <n v="-6"/>
    <n v="66"/>
    <n v="0"/>
    <n v="1"/>
    <n v="6"/>
  </r>
  <r>
    <x v="1652"/>
    <n v="-6"/>
    <n v="66"/>
    <n v="60"/>
    <n v="20"/>
    <n v="23"/>
    <x v="22"/>
    <n v="21"/>
    <n v="-4"/>
    <n v="63"/>
    <n v="0"/>
    <n v="1"/>
    <n v="4"/>
  </r>
  <r>
    <x v="1653"/>
    <n v="-4"/>
    <n v="63"/>
    <n v="59"/>
    <n v="21"/>
    <n v="21"/>
    <x v="22"/>
    <n v="12"/>
    <n v="5"/>
    <n v="63"/>
    <n v="0.5"/>
    <n v="0"/>
    <n v="0"/>
  </r>
  <r>
    <x v="1654"/>
    <n v="5"/>
    <n v="63"/>
    <n v="68"/>
    <n v="12"/>
    <n v="22"/>
    <x v="12"/>
    <n v="17"/>
    <n v="10"/>
    <n v="53"/>
    <n v="1"/>
    <n v="0"/>
    <n v="0"/>
  </r>
  <r>
    <x v="1655"/>
    <n v="10"/>
    <n v="53"/>
    <n v="63"/>
    <n v="17"/>
    <n v="20"/>
    <x v="13"/>
    <n v="19"/>
    <n v="11"/>
    <n v="50"/>
    <n v="1.1000000000000001"/>
    <n v="0"/>
    <n v="0"/>
  </r>
  <r>
    <x v="1656"/>
    <n v="11"/>
    <n v="50"/>
    <n v="61"/>
    <n v="19"/>
    <n v="21"/>
    <x v="15"/>
    <n v="26"/>
    <n v="6"/>
    <n v="48"/>
    <n v="0.60000000000000009"/>
    <n v="0"/>
    <n v="0"/>
  </r>
  <r>
    <x v="1657"/>
    <n v="6"/>
    <n v="48"/>
    <n v="54"/>
    <n v="26"/>
    <n v="12"/>
    <x v="33"/>
    <n v="14"/>
    <n v="4"/>
    <n v="62"/>
    <n v="0.4"/>
    <n v="0"/>
    <n v="0"/>
  </r>
  <r>
    <x v="1658"/>
    <n v="4"/>
    <n v="62"/>
    <n v="66"/>
    <n v="14"/>
    <n v="17"/>
    <x v="5"/>
    <n v="14"/>
    <n v="7"/>
    <n v="59"/>
    <n v="0.70000000000000007"/>
    <n v="0"/>
    <n v="0"/>
  </r>
  <r>
    <x v="1659"/>
    <n v="7"/>
    <n v="59"/>
    <n v="66"/>
    <n v="14"/>
    <n v="19"/>
    <x v="16"/>
    <n v="9"/>
    <n v="17"/>
    <n v="54"/>
    <n v="1.7000000000000002"/>
    <n v="0"/>
    <n v="0"/>
  </r>
  <r>
    <x v="1660"/>
    <n v="17"/>
    <n v="54"/>
    <n v="71"/>
    <n v="9"/>
    <n v="26"/>
    <x v="55"/>
    <n v="21"/>
    <n v="22"/>
    <n v="37"/>
    <n v="2.2000000000000002"/>
    <n v="0"/>
    <n v="0"/>
  </r>
  <r>
    <x v="1661"/>
    <n v="22"/>
    <n v="37"/>
    <n v="59"/>
    <n v="21"/>
    <n v="14"/>
    <x v="45"/>
    <n v="26"/>
    <n v="10"/>
    <n v="44"/>
    <n v="1"/>
    <n v="0"/>
    <n v="0"/>
  </r>
  <r>
    <x v="1662"/>
    <n v="10"/>
    <n v="44"/>
    <n v="54"/>
    <n v="26"/>
    <n v="14"/>
    <x v="32"/>
    <n v="25"/>
    <n v="-1"/>
    <n v="56"/>
    <n v="0"/>
    <n v="1"/>
    <n v="1"/>
  </r>
  <r>
    <x v="1663"/>
    <n v="-1"/>
    <n v="56"/>
    <n v="55"/>
    <n v="25"/>
    <n v="9"/>
    <x v="29"/>
    <n v="20"/>
    <n v="-12"/>
    <n v="72"/>
    <n v="0"/>
    <n v="1"/>
    <n v="12"/>
  </r>
  <r>
    <x v="1664"/>
    <n v="-12"/>
    <n v="72"/>
    <n v="60"/>
    <n v="20"/>
    <n v="21"/>
    <x v="20"/>
    <n v="23"/>
    <n v="-14"/>
    <n v="71"/>
    <n v="0"/>
    <n v="1"/>
    <n v="14"/>
  </r>
  <r>
    <x v="1665"/>
    <n v="-14"/>
    <n v="71"/>
    <n v="57"/>
    <n v="23"/>
    <n v="26"/>
    <x v="17"/>
    <n v="22"/>
    <n v="-10"/>
    <n v="68"/>
    <n v="0"/>
    <n v="1"/>
    <n v="10"/>
  </r>
  <r>
    <x v="1666"/>
    <n v="-10"/>
    <n v="68"/>
    <n v="58"/>
    <n v="22"/>
    <n v="25"/>
    <x v="26"/>
    <n v="14"/>
    <n v="1"/>
    <n v="65"/>
    <n v="0.1"/>
    <n v="0"/>
    <n v="0"/>
  </r>
  <r>
    <x v="1667"/>
    <n v="1"/>
    <n v="65"/>
    <n v="66"/>
    <n v="14"/>
    <n v="20"/>
    <x v="5"/>
    <n v="21"/>
    <n v="0"/>
    <n v="59"/>
    <n v="0"/>
    <n v="0"/>
    <n v="0"/>
  </r>
  <r>
    <x v="1668"/>
    <n v="0"/>
    <n v="59"/>
    <n v="59"/>
    <n v="21"/>
    <n v="23"/>
    <x v="24"/>
    <n v="11"/>
    <n v="12"/>
    <n v="57"/>
    <n v="1.2000000000000002"/>
    <n v="0"/>
    <n v="0"/>
  </r>
  <r>
    <x v="1669"/>
    <n v="12"/>
    <n v="57"/>
    <n v="69"/>
    <n v="11"/>
    <n v="22"/>
    <x v="38"/>
    <n v="14"/>
    <n v="20"/>
    <n v="46"/>
    <n v="2"/>
    <n v="0"/>
    <n v="0"/>
  </r>
  <r>
    <x v="1670"/>
    <n v="20"/>
    <n v="46"/>
    <n v="66"/>
    <n v="14"/>
    <n v="14"/>
    <x v="38"/>
    <n v="23"/>
    <n v="11"/>
    <n v="46"/>
    <n v="1.1000000000000001"/>
    <n v="0"/>
    <n v="0"/>
  </r>
  <r>
    <x v="1671"/>
    <n v="11"/>
    <n v="46"/>
    <n v="57"/>
    <n v="23"/>
    <n v="21"/>
    <x v="15"/>
    <n v="17"/>
    <n v="15"/>
    <n v="48"/>
    <n v="1.5"/>
    <n v="0"/>
    <n v="0"/>
  </r>
  <r>
    <x v="1672"/>
    <n v="15"/>
    <n v="48"/>
    <n v="63"/>
    <n v="17"/>
    <n v="11"/>
    <x v="16"/>
    <n v="29"/>
    <n v="-3"/>
    <n v="54"/>
    <n v="0"/>
    <n v="1"/>
    <n v="3"/>
  </r>
  <r>
    <x v="1673"/>
    <n v="-3"/>
    <n v="54"/>
    <n v="51"/>
    <n v="29"/>
    <n v="14"/>
    <x v="30"/>
    <n v="19"/>
    <n v="-8"/>
    <n v="69"/>
    <n v="0"/>
    <n v="1"/>
    <n v="8"/>
  </r>
  <r>
    <x v="1674"/>
    <n v="-8"/>
    <n v="69"/>
    <n v="61"/>
    <n v="19"/>
    <n v="23"/>
    <x v="26"/>
    <n v="19"/>
    <n v="-4"/>
    <n v="65"/>
    <n v="0"/>
    <n v="1"/>
    <n v="4"/>
  </r>
  <r>
    <x v="1675"/>
    <n v="-4"/>
    <n v="65"/>
    <n v="61"/>
    <n v="19"/>
    <n v="17"/>
    <x v="21"/>
    <n v="24"/>
    <n v="-11"/>
    <n v="67"/>
    <n v="0"/>
    <n v="1"/>
    <n v="11"/>
  </r>
  <r>
    <x v="1676"/>
    <n v="-11"/>
    <n v="67"/>
    <n v="56"/>
    <n v="24"/>
    <n v="29"/>
    <x v="33"/>
    <n v="22"/>
    <n v="-4"/>
    <n v="62"/>
    <n v="0"/>
    <n v="1"/>
    <n v="4"/>
  </r>
  <r>
    <x v="1677"/>
    <n v="-4"/>
    <n v="62"/>
    <n v="58"/>
    <n v="22"/>
    <n v="19"/>
    <x v="26"/>
    <n v="19"/>
    <n v="-4"/>
    <n v="65"/>
    <n v="0"/>
    <n v="1"/>
    <n v="4"/>
  </r>
  <r>
    <x v="1678"/>
    <n v="-4"/>
    <n v="65"/>
    <n v="61"/>
    <n v="19"/>
    <n v="19"/>
    <x v="26"/>
    <n v="20"/>
    <n v="-5"/>
    <n v="65"/>
    <n v="0"/>
    <n v="1"/>
    <n v="5"/>
  </r>
  <r>
    <x v="1679"/>
    <n v="-5"/>
    <n v="65"/>
    <n v="60"/>
    <n v="20"/>
    <n v="24"/>
    <x v="23"/>
    <n v="20"/>
    <n v="-1"/>
    <n v="61"/>
    <n v="0"/>
    <n v="1"/>
    <n v="1"/>
  </r>
  <r>
    <x v="1680"/>
    <n v="-1"/>
    <n v="61"/>
    <n v="60"/>
    <n v="20"/>
    <n v="22"/>
    <x v="5"/>
    <n v="18"/>
    <n v="3"/>
    <n v="59"/>
    <n v="0.30000000000000004"/>
    <n v="0"/>
    <n v="0"/>
  </r>
  <r>
    <x v="1681"/>
    <n v="3"/>
    <n v="59"/>
    <n v="62"/>
    <n v="18"/>
    <n v="19"/>
    <x v="28"/>
    <n v="22"/>
    <n v="0"/>
    <n v="58"/>
    <n v="0"/>
    <n v="0"/>
    <n v="0"/>
  </r>
  <r>
    <x v="1682"/>
    <n v="0"/>
    <n v="58"/>
    <n v="58"/>
    <n v="22"/>
    <n v="20"/>
    <x v="4"/>
    <n v="16"/>
    <n v="4"/>
    <n v="60"/>
    <n v="0.4"/>
    <n v="0"/>
    <n v="0"/>
  </r>
  <r>
    <x v="1683"/>
    <n v="4"/>
    <n v="60"/>
    <n v="64"/>
    <n v="16"/>
    <n v="20"/>
    <x v="32"/>
    <n v="17"/>
    <n v="7"/>
    <n v="56"/>
    <n v="0.70000000000000007"/>
    <n v="0"/>
    <n v="0"/>
  </r>
  <r>
    <x v="1684"/>
    <n v="7"/>
    <n v="56"/>
    <n v="63"/>
    <n v="17"/>
    <n v="18"/>
    <x v="27"/>
    <n v="12"/>
    <n v="13"/>
    <n v="55"/>
    <n v="1.3"/>
    <n v="0"/>
    <n v="0"/>
  </r>
  <r>
    <x v="1685"/>
    <n v="13"/>
    <n v="55"/>
    <n v="68"/>
    <n v="12"/>
    <n v="22"/>
    <x v="11"/>
    <n v="23"/>
    <n v="12"/>
    <n v="45"/>
    <n v="1.2000000000000002"/>
    <n v="0"/>
    <n v="0"/>
  </r>
  <r>
    <x v="1686"/>
    <n v="12"/>
    <n v="45"/>
    <n v="57"/>
    <n v="23"/>
    <n v="16"/>
    <x v="25"/>
    <n v="19"/>
    <n v="9"/>
    <n v="52"/>
    <n v="0.9"/>
    <n v="0"/>
    <n v="0"/>
  </r>
  <r>
    <x v="1687"/>
    <n v="9"/>
    <n v="52"/>
    <n v="61"/>
    <n v="19"/>
    <n v="17"/>
    <x v="16"/>
    <n v="22"/>
    <n v="4"/>
    <n v="54"/>
    <n v="0.4"/>
    <n v="0"/>
    <n v="0"/>
  </r>
  <r>
    <x v="1688"/>
    <n v="4"/>
    <n v="54"/>
    <n v="58"/>
    <n v="22"/>
    <n v="12"/>
    <x v="8"/>
    <n v="15"/>
    <n v="1"/>
    <n v="64"/>
    <n v="0.1"/>
    <n v="0"/>
    <n v="0"/>
  </r>
  <r>
    <x v="1689"/>
    <n v="1"/>
    <n v="64"/>
    <n v="65"/>
    <n v="15"/>
    <n v="23"/>
    <x v="32"/>
    <n v="27"/>
    <n v="-3"/>
    <n v="56"/>
    <n v="0"/>
    <n v="1"/>
    <n v="3"/>
  </r>
  <r>
    <x v="1690"/>
    <n v="-3"/>
    <n v="56"/>
    <n v="53"/>
    <n v="27"/>
    <n v="19"/>
    <x v="8"/>
    <n v="15"/>
    <n v="1"/>
    <n v="64"/>
    <n v="0.1"/>
    <n v="0"/>
    <n v="0"/>
  </r>
  <r>
    <x v="1691"/>
    <n v="1"/>
    <n v="64"/>
    <n v="65"/>
    <n v="15"/>
    <n v="22"/>
    <x v="24"/>
    <n v="25"/>
    <n v="-2"/>
    <n v="57"/>
    <n v="0"/>
    <n v="1"/>
    <n v="2"/>
  </r>
  <r>
    <x v="1692"/>
    <n v="-2"/>
    <n v="57"/>
    <n v="55"/>
    <n v="25"/>
    <n v="15"/>
    <x v="21"/>
    <n v="22"/>
    <n v="-9"/>
    <n v="67"/>
    <n v="0"/>
    <n v="1"/>
    <n v="9"/>
  </r>
  <r>
    <x v="1693"/>
    <n v="-9"/>
    <n v="67"/>
    <n v="58"/>
    <n v="22"/>
    <n v="27"/>
    <x v="33"/>
    <n v="14"/>
    <n v="4"/>
    <n v="62"/>
    <n v="0.4"/>
    <n v="0"/>
    <n v="0"/>
  </r>
  <r>
    <x v="1694"/>
    <n v="4"/>
    <n v="62"/>
    <n v="66"/>
    <n v="14"/>
    <n v="15"/>
    <x v="23"/>
    <n v="20"/>
    <n v="-1"/>
    <n v="61"/>
    <n v="0"/>
    <n v="1"/>
    <n v="1"/>
  </r>
  <r>
    <x v="1695"/>
    <n v="-1"/>
    <n v="61"/>
    <n v="60"/>
    <n v="20"/>
    <n v="25"/>
    <x v="32"/>
    <n v="21"/>
    <n v="3"/>
    <n v="56"/>
    <n v="0.30000000000000004"/>
    <n v="0"/>
    <n v="0"/>
  </r>
  <r>
    <x v="1696"/>
    <n v="3"/>
    <n v="56"/>
    <n v="59"/>
    <n v="21"/>
    <n v="22"/>
    <x v="27"/>
    <n v="17"/>
    <n v="8"/>
    <n v="55"/>
    <n v="0.8"/>
    <n v="0"/>
    <n v="0"/>
  </r>
  <r>
    <x v="1697"/>
    <n v="8"/>
    <n v="55"/>
    <n v="63"/>
    <n v="17"/>
    <n v="14"/>
    <x v="28"/>
    <n v="28"/>
    <n v="-6"/>
    <n v="58"/>
    <n v="0"/>
    <n v="1"/>
    <n v="6"/>
  </r>
  <r>
    <x v="1698"/>
    <n v="-6"/>
    <n v="58"/>
    <n v="52"/>
    <n v="28"/>
    <n v="20"/>
    <x v="7"/>
    <n v="12"/>
    <n v="2"/>
    <n v="66"/>
    <n v="0.2"/>
    <n v="0"/>
    <n v="0"/>
  </r>
  <r>
    <x v="1699"/>
    <n v="2"/>
    <n v="66"/>
    <n v="68"/>
    <n v="12"/>
    <n v="21"/>
    <x v="24"/>
    <n v="16"/>
    <n v="7"/>
    <n v="57"/>
    <n v="0.70000000000000007"/>
    <n v="0"/>
    <n v="0"/>
  </r>
  <r>
    <x v="1700"/>
    <n v="7"/>
    <n v="57"/>
    <n v="64"/>
    <n v="16"/>
    <n v="17"/>
    <x v="32"/>
    <n v="20"/>
    <n v="4"/>
    <n v="56"/>
    <n v="0.4"/>
    <n v="0"/>
    <n v="0"/>
  </r>
  <r>
    <x v="1701"/>
    <n v="4"/>
    <n v="56"/>
    <n v="60"/>
    <n v="20"/>
    <n v="28"/>
    <x v="15"/>
    <n v="20"/>
    <n v="12"/>
    <n v="48"/>
    <n v="1.2000000000000002"/>
    <n v="0"/>
    <n v="0"/>
  </r>
  <r>
    <x v="1702"/>
    <n v="12"/>
    <n v="48"/>
    <n v="60"/>
    <n v="20"/>
    <n v="12"/>
    <x v="32"/>
    <n v="19"/>
    <n v="5"/>
    <n v="56"/>
    <n v="0.5"/>
    <n v="0"/>
    <n v="0"/>
  </r>
  <r>
    <x v="1703"/>
    <n v="5"/>
    <n v="56"/>
    <n v="61"/>
    <n v="19"/>
    <n v="16"/>
    <x v="5"/>
    <n v="17"/>
    <n v="4"/>
    <n v="59"/>
    <n v="0.4"/>
    <n v="0"/>
    <n v="0"/>
  </r>
  <r>
    <x v="1704"/>
    <n v="4"/>
    <n v="59"/>
    <n v="63"/>
    <n v="17"/>
    <n v="20"/>
    <x v="32"/>
    <n v="20"/>
    <n v="4"/>
    <n v="56"/>
    <n v="0.4"/>
    <n v="0"/>
    <n v="0"/>
  </r>
  <r>
    <x v="1705"/>
    <n v="4"/>
    <n v="56"/>
    <n v="60"/>
    <n v="20"/>
    <n v="20"/>
    <x v="32"/>
    <n v="21"/>
    <n v="3"/>
    <n v="56"/>
    <n v="0.30000000000000004"/>
    <n v="0"/>
    <n v="0"/>
  </r>
  <r>
    <x v="1706"/>
    <n v="3"/>
    <n v="56"/>
    <n v="59"/>
    <n v="21"/>
    <n v="19"/>
    <x v="28"/>
    <n v="20"/>
    <n v="2"/>
    <n v="58"/>
    <n v="0.2"/>
    <n v="0"/>
    <n v="0"/>
  </r>
  <r>
    <x v="1707"/>
    <n v="2"/>
    <n v="58"/>
    <n v="60"/>
    <n v="20"/>
    <n v="17"/>
    <x v="23"/>
    <n v="16"/>
    <n v="3"/>
    <n v="61"/>
    <n v="0.30000000000000004"/>
    <n v="0"/>
    <n v="0"/>
  </r>
  <r>
    <x v="1708"/>
    <n v="3"/>
    <n v="61"/>
    <n v="64"/>
    <n v="16"/>
    <n v="20"/>
    <x v="24"/>
    <n v="17"/>
    <n v="6"/>
    <n v="57"/>
    <n v="0.60000000000000009"/>
    <n v="0"/>
    <n v="0"/>
  </r>
  <r>
    <x v="1709"/>
    <n v="6"/>
    <n v="57"/>
    <n v="63"/>
    <n v="17"/>
    <n v="21"/>
    <x v="12"/>
    <n v="20"/>
    <n v="7"/>
    <n v="53"/>
    <n v="0.70000000000000007"/>
    <n v="0"/>
    <n v="0"/>
  </r>
  <r>
    <x v="1710"/>
    <n v="7"/>
    <n v="53"/>
    <n v="60"/>
    <n v="20"/>
    <n v="20"/>
    <x v="12"/>
    <n v="20"/>
    <n v="7"/>
    <n v="53"/>
    <n v="0.70000000000000007"/>
    <n v="0"/>
    <n v="0"/>
  </r>
  <r>
    <x v="1711"/>
    <n v="7"/>
    <n v="53"/>
    <n v="60"/>
    <n v="20"/>
    <n v="16"/>
    <x v="24"/>
    <n v="18"/>
    <n v="5"/>
    <n v="57"/>
    <n v="0.5"/>
    <n v="0"/>
    <n v="0"/>
  </r>
  <r>
    <x v="1712"/>
    <n v="5"/>
    <n v="57"/>
    <n v="62"/>
    <n v="18"/>
    <n v="17"/>
    <x v="28"/>
    <n v="21"/>
    <n v="1"/>
    <n v="58"/>
    <n v="0.1"/>
    <n v="0"/>
    <n v="0"/>
  </r>
  <r>
    <x v="1713"/>
    <n v="1"/>
    <n v="58"/>
    <n v="59"/>
    <n v="21"/>
    <n v="20"/>
    <x v="5"/>
    <n v="19"/>
    <n v="2"/>
    <n v="59"/>
    <n v="0.2"/>
    <n v="0"/>
    <n v="0"/>
  </r>
  <r>
    <x v="1714"/>
    <n v="2"/>
    <n v="59"/>
    <n v="61"/>
    <n v="19"/>
    <n v="20"/>
    <x v="28"/>
    <n v="18"/>
    <n v="4"/>
    <n v="58"/>
    <n v="0.4"/>
    <n v="0"/>
    <n v="0"/>
  </r>
  <r>
    <x v="1715"/>
    <n v="4"/>
    <n v="58"/>
    <n v="62"/>
    <n v="18"/>
    <n v="18"/>
    <x v="28"/>
    <n v="16"/>
    <n v="6"/>
    <n v="58"/>
    <n v="0.60000000000000009"/>
    <n v="0"/>
    <n v="0"/>
  </r>
  <r>
    <x v="1716"/>
    <n v="6"/>
    <n v="58"/>
    <n v="64"/>
    <n v="16"/>
    <n v="21"/>
    <x v="12"/>
    <n v="13"/>
    <n v="14"/>
    <n v="53"/>
    <n v="1.4000000000000001"/>
    <n v="0"/>
    <n v="0"/>
  </r>
  <r>
    <x v="1717"/>
    <n v="14"/>
    <n v="53"/>
    <n v="67"/>
    <n v="13"/>
    <n v="19"/>
    <x v="14"/>
    <n v="22"/>
    <n v="11"/>
    <n v="47"/>
    <n v="1.1000000000000001"/>
    <n v="0"/>
    <n v="0"/>
  </r>
  <r>
    <x v="1718"/>
    <n v="11"/>
    <n v="47"/>
    <n v="58"/>
    <n v="22"/>
    <n v="18"/>
    <x v="9"/>
    <n v="26"/>
    <n v="3"/>
    <n v="51"/>
    <n v="0.30000000000000004"/>
    <n v="0"/>
    <n v="0"/>
  </r>
  <r>
    <x v="1719"/>
    <n v="3"/>
    <n v="51"/>
    <n v="54"/>
    <n v="26"/>
    <n v="16"/>
    <x v="23"/>
    <n v="14"/>
    <n v="5"/>
    <n v="61"/>
    <n v="0.5"/>
    <n v="0"/>
    <n v="0"/>
  </r>
  <r>
    <x v="1720"/>
    <n v="5"/>
    <n v="61"/>
    <n v="66"/>
    <n v="14"/>
    <n v="13"/>
    <x v="33"/>
    <n v="27"/>
    <n v="-9"/>
    <n v="62"/>
    <n v="0"/>
    <n v="1"/>
    <n v="9"/>
  </r>
  <r>
    <x v="1721"/>
    <n v="-9"/>
    <n v="62"/>
    <n v="53"/>
    <n v="27"/>
    <n v="22"/>
    <x v="21"/>
    <n v="24"/>
    <n v="-11"/>
    <n v="67"/>
    <n v="0"/>
    <n v="1"/>
    <n v="11"/>
  </r>
  <r>
    <x v="1722"/>
    <n v="-11"/>
    <n v="67"/>
    <n v="56"/>
    <n v="24"/>
    <n v="26"/>
    <x v="26"/>
    <n v="25"/>
    <n v="-10"/>
    <n v="65"/>
    <n v="0"/>
    <n v="1"/>
    <n v="10"/>
  </r>
  <r>
    <x v="1723"/>
    <n v="-10"/>
    <n v="65"/>
    <n v="55"/>
    <n v="25"/>
    <n v="14"/>
    <x v="37"/>
    <n v="17"/>
    <n v="-13"/>
    <n v="76"/>
    <n v="0"/>
    <n v="1"/>
    <n v="13"/>
  </r>
  <r>
    <x v="1724"/>
    <n v="-13"/>
    <n v="76"/>
    <n v="63"/>
    <n v="17"/>
    <n v="27"/>
    <x v="7"/>
    <n v="35"/>
    <n v="-21"/>
    <n v="66"/>
    <n v="0"/>
    <n v="1"/>
    <n v="21"/>
  </r>
  <r>
    <x v="1725"/>
    <n v="-21"/>
    <n v="66"/>
    <n v="45"/>
    <n v="35"/>
    <n v="24"/>
    <x v="18"/>
    <n v="21"/>
    <n v="-18"/>
    <n v="77"/>
    <n v="0"/>
    <n v="1"/>
    <n v="18"/>
  </r>
  <r>
    <x v="1726"/>
    <n v="-18"/>
    <n v="77"/>
    <n v="59"/>
    <n v="21"/>
    <n v="25"/>
    <x v="31"/>
    <n v="19"/>
    <n v="-12"/>
    <n v="73"/>
    <n v="0"/>
    <n v="1"/>
    <n v="12"/>
  </r>
  <r>
    <x v="1727"/>
    <n v="-12"/>
    <n v="73"/>
    <n v="61"/>
    <n v="19"/>
    <n v="17"/>
    <x v="44"/>
    <n v="20"/>
    <n v="-15"/>
    <n v="75"/>
    <n v="0"/>
    <n v="1"/>
    <n v="15"/>
  </r>
  <r>
    <x v="1728"/>
    <n v="-15"/>
    <n v="75"/>
    <n v="60"/>
    <n v="20"/>
    <n v="35"/>
    <x v="4"/>
    <n v="17"/>
    <n v="3"/>
    <n v="60"/>
    <n v="0.30000000000000004"/>
    <n v="0"/>
    <n v="0"/>
  </r>
  <r>
    <x v="1729"/>
    <n v="3"/>
    <n v="60"/>
    <n v="63"/>
    <n v="17"/>
    <n v="21"/>
    <x v="32"/>
    <n v="18"/>
    <n v="6"/>
    <n v="56"/>
    <n v="0.60000000000000009"/>
    <n v="0"/>
    <n v="0"/>
  </r>
  <r>
    <x v="1730"/>
    <n v="6"/>
    <n v="56"/>
    <n v="62"/>
    <n v="18"/>
    <n v="19"/>
    <x v="27"/>
    <n v="20"/>
    <n v="5"/>
    <n v="55"/>
    <n v="0.5"/>
    <n v="0"/>
    <n v="0"/>
  </r>
  <r>
    <x v="1731"/>
    <n v="5"/>
    <n v="55"/>
    <n v="60"/>
    <n v="20"/>
    <n v="20"/>
    <x v="27"/>
    <n v="14"/>
    <n v="11"/>
    <n v="55"/>
    <n v="1.1000000000000001"/>
    <n v="0"/>
    <n v="0"/>
  </r>
  <r>
    <x v="1732"/>
    <n v="11"/>
    <n v="55"/>
    <n v="66"/>
    <n v="14"/>
    <n v="17"/>
    <x v="25"/>
    <n v="24"/>
    <n v="4"/>
    <n v="52"/>
    <n v="0.4"/>
    <n v="0"/>
    <n v="0"/>
  </r>
  <r>
    <x v="1733"/>
    <n v="4"/>
    <n v="52"/>
    <n v="56"/>
    <n v="24"/>
    <n v="18"/>
    <x v="28"/>
    <n v="21"/>
    <n v="1"/>
    <n v="58"/>
    <n v="0.1"/>
    <n v="0"/>
    <n v="0"/>
  </r>
  <r>
    <x v="1734"/>
    <n v="1"/>
    <n v="58"/>
    <n v="59"/>
    <n v="21"/>
    <n v="20"/>
    <x v="5"/>
    <n v="13"/>
    <n v="8"/>
    <n v="59"/>
    <n v="0.8"/>
    <n v="0"/>
    <n v="0"/>
  </r>
  <r>
    <x v="1735"/>
    <n v="8"/>
    <n v="59"/>
    <n v="67"/>
    <n v="13"/>
    <n v="14"/>
    <x v="28"/>
    <n v="19"/>
    <n v="3"/>
    <n v="58"/>
    <n v="0.30000000000000004"/>
    <n v="0"/>
    <n v="0"/>
  </r>
  <r>
    <x v="1736"/>
    <n v="3"/>
    <n v="58"/>
    <n v="61"/>
    <n v="19"/>
    <n v="24"/>
    <x v="12"/>
    <n v="28"/>
    <n v="-1"/>
    <n v="53"/>
    <n v="0"/>
    <n v="1"/>
    <n v="1"/>
  </r>
  <r>
    <x v="1737"/>
    <n v="-1"/>
    <n v="53"/>
    <n v="52"/>
    <n v="28"/>
    <n v="21"/>
    <x v="4"/>
    <n v="18"/>
    <n v="2"/>
    <n v="60"/>
    <n v="0.2"/>
    <n v="0"/>
    <n v="0"/>
  </r>
  <r>
    <x v="1738"/>
    <n v="2"/>
    <n v="60"/>
    <n v="62"/>
    <n v="18"/>
    <n v="13"/>
    <x v="26"/>
    <n v="9"/>
    <n v="6"/>
    <n v="65"/>
    <n v="0.60000000000000009"/>
    <n v="0"/>
    <n v="0"/>
  </r>
  <r>
    <x v="1739"/>
    <n v="6"/>
    <n v="65"/>
    <n v="71"/>
    <n v="9"/>
    <n v="19"/>
    <x v="27"/>
    <n v="19"/>
    <n v="6"/>
    <n v="55"/>
    <n v="0.60000000000000009"/>
    <n v="0"/>
    <n v="0"/>
  </r>
  <r>
    <x v="1740"/>
    <n v="6"/>
    <n v="55"/>
    <n v="61"/>
    <n v="19"/>
    <n v="28"/>
    <x v="38"/>
    <n v="20"/>
    <n v="14"/>
    <n v="46"/>
    <n v="1.4000000000000001"/>
    <n v="0"/>
    <n v="0"/>
  </r>
  <r>
    <x v="1741"/>
    <n v="14"/>
    <n v="46"/>
    <n v="60"/>
    <n v="20"/>
    <n v="18"/>
    <x v="15"/>
    <n v="21"/>
    <n v="11"/>
    <n v="48"/>
    <n v="1.1000000000000001"/>
    <n v="0"/>
    <n v="0"/>
  </r>
  <r>
    <x v="1742"/>
    <n v="11"/>
    <n v="48"/>
    <n v="59"/>
    <n v="21"/>
    <n v="9"/>
    <x v="4"/>
    <n v="23"/>
    <n v="-3"/>
    <n v="60"/>
    <n v="0"/>
    <n v="1"/>
    <n v="3"/>
  </r>
  <r>
    <x v="1743"/>
    <n v="-3"/>
    <n v="60"/>
    <n v="57"/>
    <n v="23"/>
    <n v="19"/>
    <x v="8"/>
    <n v="20"/>
    <n v="-4"/>
    <n v="64"/>
    <n v="0"/>
    <n v="1"/>
    <n v="4"/>
  </r>
  <r>
    <x v="1744"/>
    <n v="-4"/>
    <n v="64"/>
    <n v="60"/>
    <n v="20"/>
    <n v="20"/>
    <x v="8"/>
    <n v="20"/>
    <n v="-4"/>
    <n v="64"/>
    <n v="0"/>
    <n v="1"/>
    <n v="4"/>
  </r>
  <r>
    <x v="1745"/>
    <n v="-4"/>
    <n v="64"/>
    <n v="60"/>
    <n v="20"/>
    <n v="21"/>
    <x v="22"/>
    <n v="18"/>
    <n v="-1"/>
    <n v="63"/>
    <n v="0"/>
    <n v="1"/>
    <n v="1"/>
  </r>
  <r>
    <x v="1746"/>
    <n v="-1"/>
    <n v="63"/>
    <n v="62"/>
    <n v="18"/>
    <n v="23"/>
    <x v="28"/>
    <n v="20"/>
    <n v="2"/>
    <n v="58"/>
    <n v="0.2"/>
    <n v="0"/>
    <n v="0"/>
  </r>
  <r>
    <x v="1747"/>
    <n v="2"/>
    <n v="58"/>
    <n v="60"/>
    <n v="20"/>
    <n v="20"/>
    <x v="28"/>
    <n v="28"/>
    <n v="-6"/>
    <n v="58"/>
    <n v="0"/>
    <n v="1"/>
    <n v="6"/>
  </r>
  <r>
    <x v="1748"/>
    <n v="-6"/>
    <n v="58"/>
    <n v="52"/>
    <n v="28"/>
    <n v="20"/>
    <x v="7"/>
    <n v="25"/>
    <n v="-11"/>
    <n v="66"/>
    <n v="0"/>
    <n v="1"/>
    <n v="11"/>
  </r>
  <r>
    <x v="1749"/>
    <n v="-11"/>
    <n v="66"/>
    <n v="55"/>
    <n v="25"/>
    <n v="18"/>
    <x v="31"/>
    <n v="25"/>
    <n v="-18"/>
    <n v="73"/>
    <n v="0"/>
    <n v="1"/>
    <n v="18"/>
  </r>
  <r>
    <x v="1750"/>
    <n v="-18"/>
    <n v="73"/>
    <n v="55"/>
    <n v="25"/>
    <n v="20"/>
    <x v="35"/>
    <n v="17"/>
    <n v="-15"/>
    <n v="78"/>
    <n v="0"/>
    <n v="1"/>
    <n v="15"/>
  </r>
  <r>
    <x v="1751"/>
    <n v="-15"/>
    <n v="78"/>
    <n v="63"/>
    <n v="17"/>
    <n v="28"/>
    <x v="21"/>
    <n v="27"/>
    <n v="-14"/>
    <n v="67"/>
    <n v="0"/>
    <n v="1"/>
    <n v="14"/>
  </r>
  <r>
    <x v="1752"/>
    <n v="-14"/>
    <n v="67"/>
    <n v="53"/>
    <n v="27"/>
    <n v="25"/>
    <x v="30"/>
    <n v="26"/>
    <n v="-15"/>
    <n v="69"/>
    <n v="0"/>
    <n v="1"/>
    <n v="15"/>
  </r>
  <r>
    <x v="1753"/>
    <n v="-15"/>
    <n v="69"/>
    <n v="54"/>
    <n v="26"/>
    <n v="25"/>
    <x v="6"/>
    <n v="27"/>
    <n v="-17"/>
    <n v="70"/>
    <n v="0"/>
    <n v="1"/>
    <n v="17"/>
  </r>
  <r>
    <x v="1754"/>
    <n v="-17"/>
    <n v="70"/>
    <n v="53"/>
    <n v="27"/>
    <n v="17"/>
    <x v="0"/>
    <n v="15"/>
    <n v="-15"/>
    <n v="80"/>
    <n v="0"/>
    <n v="1"/>
    <n v="15"/>
  </r>
  <r>
    <x v="1755"/>
    <n v="-15"/>
    <n v="80"/>
    <n v="65"/>
    <n v="15"/>
    <n v="27"/>
    <x v="17"/>
    <n v="22"/>
    <n v="-10"/>
    <n v="68"/>
    <n v="0"/>
    <n v="1"/>
    <n v="10"/>
  </r>
  <r>
    <x v="1756"/>
    <n v="-10"/>
    <n v="68"/>
    <n v="58"/>
    <n v="22"/>
    <n v="26"/>
    <x v="8"/>
    <n v="12"/>
    <n v="4"/>
    <n v="64"/>
    <n v="0.4"/>
    <n v="0"/>
    <n v="0"/>
  </r>
  <r>
    <x v="1757"/>
    <n v="4"/>
    <n v="64"/>
    <n v="68"/>
    <n v="12"/>
    <n v="27"/>
    <x v="10"/>
    <n v="16"/>
    <n v="15"/>
    <n v="49"/>
    <n v="1.5"/>
    <n v="0"/>
    <n v="0"/>
  </r>
  <r>
    <x v="1758"/>
    <n v="15"/>
    <n v="49"/>
    <n v="64"/>
    <n v="16"/>
    <n v="15"/>
    <x v="13"/>
    <n v="21"/>
    <n v="9"/>
    <n v="50"/>
    <n v="0.9"/>
    <n v="0"/>
    <n v="0"/>
  </r>
  <r>
    <x v="1759"/>
    <n v="9"/>
    <n v="50"/>
    <n v="59"/>
    <n v="21"/>
    <n v="22"/>
    <x v="10"/>
    <n v="15"/>
    <n v="16"/>
    <n v="49"/>
    <n v="1.6"/>
    <n v="0"/>
    <n v="0"/>
  </r>
  <r>
    <x v="1760"/>
    <n v="16"/>
    <n v="49"/>
    <n v="65"/>
    <n v="15"/>
    <n v="12"/>
    <x v="25"/>
    <n v="18"/>
    <n v="10"/>
    <n v="52"/>
    <n v="1"/>
    <n v="0"/>
    <n v="0"/>
  </r>
  <r>
    <x v="1761"/>
    <n v="10"/>
    <n v="52"/>
    <n v="62"/>
    <n v="18"/>
    <n v="16"/>
    <x v="16"/>
    <n v="23"/>
    <n v="3"/>
    <n v="54"/>
    <n v="0.30000000000000004"/>
    <n v="0"/>
    <n v="0"/>
  </r>
  <r>
    <x v="1762"/>
    <n v="3"/>
    <n v="54"/>
    <n v="57"/>
    <n v="23"/>
    <n v="21"/>
    <x v="32"/>
    <n v="14"/>
    <n v="10"/>
    <n v="56"/>
    <n v="1"/>
    <n v="0"/>
    <n v="0"/>
  </r>
  <r>
    <x v="1763"/>
    <n v="10"/>
    <n v="56"/>
    <n v="66"/>
    <n v="14"/>
    <n v="15"/>
    <x v="27"/>
    <n v="17"/>
    <n v="8"/>
    <n v="55"/>
    <n v="0.8"/>
    <n v="0"/>
    <n v="0"/>
  </r>
  <r>
    <x v="1764"/>
    <n v="8"/>
    <n v="55"/>
    <n v="63"/>
    <n v="17"/>
    <n v="18"/>
    <x v="16"/>
    <n v="16"/>
    <n v="10"/>
    <n v="54"/>
    <n v="1"/>
    <n v="0"/>
    <n v="0"/>
  </r>
  <r>
    <x v="1765"/>
    <n v="10"/>
    <n v="54"/>
    <n v="64"/>
    <n v="16"/>
    <n v="23"/>
    <x v="14"/>
    <n v="17"/>
    <n v="16"/>
    <n v="47"/>
    <n v="1.6"/>
    <n v="0"/>
    <n v="0"/>
  </r>
  <r>
    <x v="1766"/>
    <n v="16"/>
    <n v="47"/>
    <n v="63"/>
    <n v="17"/>
    <n v="14"/>
    <x v="13"/>
    <n v="26"/>
    <n v="4"/>
    <n v="50"/>
    <n v="0.4"/>
    <n v="0"/>
    <n v="0"/>
  </r>
  <r>
    <x v="1767"/>
    <n v="4"/>
    <n v="50"/>
    <n v="54"/>
    <n v="26"/>
    <n v="17"/>
    <x v="5"/>
    <n v="18"/>
    <n v="3"/>
    <n v="59"/>
    <n v="0.30000000000000004"/>
    <n v="0"/>
    <n v="0"/>
  </r>
  <r>
    <x v="1768"/>
    <n v="3"/>
    <n v="59"/>
    <n v="62"/>
    <n v="18"/>
    <n v="16"/>
    <x v="23"/>
    <n v="16"/>
    <n v="3"/>
    <n v="61"/>
    <n v="0.30000000000000004"/>
    <n v="0"/>
    <n v="0"/>
  </r>
  <r>
    <x v="1769"/>
    <n v="3"/>
    <n v="61"/>
    <n v="64"/>
    <n v="16"/>
    <n v="17"/>
    <x v="4"/>
    <n v="27"/>
    <n v="-7"/>
    <n v="60"/>
    <n v="0"/>
    <n v="1"/>
    <n v="7"/>
  </r>
  <r>
    <x v="1770"/>
    <n v="-7"/>
    <n v="60"/>
    <n v="53"/>
    <n v="27"/>
    <n v="26"/>
    <x v="23"/>
    <n v="25"/>
    <n v="-6"/>
    <n v="61"/>
    <n v="0"/>
    <n v="1"/>
    <n v="6"/>
  </r>
  <r>
    <x v="1771"/>
    <n v="-6"/>
    <n v="61"/>
    <n v="55"/>
    <n v="25"/>
    <n v="18"/>
    <x v="17"/>
    <n v="17"/>
    <n v="-5"/>
    <n v="68"/>
    <n v="0"/>
    <n v="1"/>
    <n v="5"/>
  </r>
  <r>
    <x v="1772"/>
    <n v="-5"/>
    <n v="68"/>
    <n v="63"/>
    <n v="17"/>
    <n v="16"/>
    <x v="30"/>
    <n v="21"/>
    <n v="-10"/>
    <n v="69"/>
    <n v="0"/>
    <n v="1"/>
    <n v="10"/>
  </r>
  <r>
    <x v="1773"/>
    <n v="-10"/>
    <n v="69"/>
    <n v="59"/>
    <n v="21"/>
    <n v="27"/>
    <x v="22"/>
    <n v="20"/>
    <n v="-3"/>
    <n v="63"/>
    <n v="0"/>
    <n v="1"/>
    <n v="3"/>
  </r>
  <r>
    <x v="1774"/>
    <n v="-3"/>
    <n v="63"/>
    <n v="60"/>
    <n v="20"/>
    <n v="25"/>
    <x v="28"/>
    <n v="20"/>
    <n v="2"/>
    <n v="58"/>
    <n v="0.2"/>
    <n v="0"/>
    <n v="0"/>
  </r>
  <r>
    <x v="1775"/>
    <n v="2"/>
    <n v="58"/>
    <n v="60"/>
    <n v="20"/>
    <n v="17"/>
    <x v="23"/>
    <n v="21"/>
    <n v="-2"/>
    <n v="61"/>
    <n v="0"/>
    <n v="1"/>
    <n v="2"/>
  </r>
  <r>
    <x v="1776"/>
    <n v="-2"/>
    <n v="61"/>
    <n v="59"/>
    <n v="21"/>
    <n v="21"/>
    <x v="23"/>
    <n v="21"/>
    <n v="-2"/>
    <n v="61"/>
    <n v="0"/>
    <n v="1"/>
    <n v="2"/>
  </r>
  <r>
    <x v="1777"/>
    <n v="-2"/>
    <n v="61"/>
    <n v="59"/>
    <n v="21"/>
    <n v="20"/>
    <x v="33"/>
    <n v="21"/>
    <n v="-3"/>
    <n v="62"/>
    <n v="0"/>
    <n v="1"/>
    <n v="3"/>
  </r>
  <r>
    <x v="1778"/>
    <n v="-3"/>
    <n v="62"/>
    <n v="59"/>
    <n v="21"/>
    <n v="20"/>
    <x v="22"/>
    <n v="20"/>
    <n v="-3"/>
    <n v="63"/>
    <n v="0"/>
    <n v="1"/>
    <n v="3"/>
  </r>
  <r>
    <x v="1779"/>
    <n v="-3"/>
    <n v="63"/>
    <n v="60"/>
    <n v="20"/>
    <n v="21"/>
    <x v="33"/>
    <n v="20"/>
    <n v="-2"/>
    <n v="62"/>
    <n v="0"/>
    <n v="1"/>
    <n v="2"/>
  </r>
  <r>
    <x v="1780"/>
    <n v="-2"/>
    <n v="62"/>
    <n v="60"/>
    <n v="20"/>
    <n v="21"/>
    <x v="23"/>
    <n v="26"/>
    <n v="-7"/>
    <n v="61"/>
    <n v="0"/>
    <n v="1"/>
    <n v="7"/>
  </r>
  <r>
    <x v="1781"/>
    <n v="-7"/>
    <n v="61"/>
    <n v="54"/>
    <n v="26"/>
    <n v="21"/>
    <x v="7"/>
    <n v="20"/>
    <n v="-6"/>
    <n v="66"/>
    <n v="0"/>
    <n v="1"/>
    <n v="6"/>
  </r>
  <r>
    <x v="1782"/>
    <n v="-6"/>
    <n v="66"/>
    <n v="60"/>
    <n v="20"/>
    <n v="20"/>
    <x v="7"/>
    <n v="19"/>
    <n v="-5"/>
    <n v="66"/>
    <n v="0"/>
    <n v="1"/>
    <n v="5"/>
  </r>
  <r>
    <x v="1783"/>
    <n v="-5"/>
    <n v="66"/>
    <n v="61"/>
    <n v="19"/>
    <n v="20"/>
    <x v="26"/>
    <n v="19"/>
    <n v="-4"/>
    <n v="65"/>
    <n v="0"/>
    <n v="1"/>
    <n v="4"/>
  </r>
  <r>
    <x v="1784"/>
    <n v="-4"/>
    <n v="65"/>
    <n v="61"/>
    <n v="19"/>
    <n v="26"/>
    <x v="28"/>
    <n v="30"/>
    <n v="-8"/>
    <n v="58"/>
    <n v="0"/>
    <n v="1"/>
    <n v="8"/>
  </r>
  <r>
    <x v="1785"/>
    <n v="-8"/>
    <n v="58"/>
    <n v="50"/>
    <n v="30"/>
    <n v="20"/>
    <x v="17"/>
    <n v="17"/>
    <n v="-5"/>
    <n v="68"/>
    <n v="0"/>
    <n v="1"/>
    <n v="5"/>
  </r>
  <r>
    <x v="1786"/>
    <n v="-5"/>
    <n v="68"/>
    <n v="63"/>
    <n v="17"/>
    <n v="19"/>
    <x v="7"/>
    <n v="22"/>
    <n v="-8"/>
    <n v="66"/>
    <n v="0"/>
    <n v="1"/>
    <n v="8"/>
  </r>
  <r>
    <x v="1787"/>
    <n v="-8"/>
    <n v="66"/>
    <n v="58"/>
    <n v="22"/>
    <n v="19"/>
    <x v="30"/>
    <n v="26"/>
    <n v="-15"/>
    <n v="69"/>
    <n v="0"/>
    <n v="1"/>
    <n v="15"/>
  </r>
  <r>
    <x v="1788"/>
    <n v="-15"/>
    <n v="69"/>
    <n v="54"/>
    <n v="26"/>
    <n v="30"/>
    <x v="26"/>
    <n v="22"/>
    <n v="-7"/>
    <n v="65"/>
    <n v="0"/>
    <n v="1"/>
    <n v="7"/>
  </r>
  <r>
    <x v="1789"/>
    <n v="-7"/>
    <n v="65"/>
    <n v="58"/>
    <n v="22"/>
    <n v="17"/>
    <x v="6"/>
    <n v="24"/>
    <n v="-14"/>
    <n v="70"/>
    <n v="0"/>
    <n v="1"/>
    <n v="14"/>
  </r>
  <r>
    <x v="1790"/>
    <n v="-14"/>
    <n v="70"/>
    <n v="56"/>
    <n v="24"/>
    <n v="22"/>
    <x v="29"/>
    <n v="18"/>
    <n v="-10"/>
    <n v="72"/>
    <n v="0"/>
    <n v="1"/>
    <n v="10"/>
  </r>
  <r>
    <x v="1791"/>
    <n v="-10"/>
    <n v="72"/>
    <n v="62"/>
    <n v="18"/>
    <n v="26"/>
    <x v="8"/>
    <n v="21"/>
    <n v="-5"/>
    <n v="64"/>
    <n v="0"/>
    <n v="1"/>
    <n v="5"/>
  </r>
  <r>
    <x v="1792"/>
    <n v="-5"/>
    <n v="64"/>
    <n v="59"/>
    <n v="21"/>
    <n v="22"/>
    <x v="22"/>
    <n v="22"/>
    <n v="-5"/>
    <n v="63"/>
    <n v="0"/>
    <n v="1"/>
    <n v="5"/>
  </r>
  <r>
    <x v="1793"/>
    <n v="-5"/>
    <n v="63"/>
    <n v="58"/>
    <n v="22"/>
    <n v="24"/>
    <x v="23"/>
    <n v="21"/>
    <n v="-2"/>
    <n v="61"/>
    <n v="0"/>
    <n v="1"/>
    <n v="2"/>
  </r>
  <r>
    <x v="1794"/>
    <n v="-2"/>
    <n v="61"/>
    <n v="59"/>
    <n v="21"/>
    <n v="18"/>
    <x v="8"/>
    <n v="25"/>
    <n v="-9"/>
    <n v="64"/>
    <n v="0"/>
    <n v="1"/>
    <n v="9"/>
  </r>
  <r>
    <x v="1795"/>
    <n v="-9"/>
    <n v="64"/>
    <n v="55"/>
    <n v="25"/>
    <n v="21"/>
    <x v="17"/>
    <n v="20"/>
    <n v="-8"/>
    <n v="68"/>
    <n v="0"/>
    <n v="1"/>
    <n v="8"/>
  </r>
  <r>
    <x v="1796"/>
    <n v="-8"/>
    <n v="68"/>
    <n v="60"/>
    <n v="20"/>
    <n v="22"/>
    <x v="7"/>
    <n v="13"/>
    <n v="1"/>
    <n v="66"/>
    <n v="0.1"/>
    <n v="0"/>
    <n v="0"/>
  </r>
  <r>
    <x v="1797"/>
    <n v="1"/>
    <n v="66"/>
    <n v="67"/>
    <n v="13"/>
    <n v="21"/>
    <x v="28"/>
    <n v="25"/>
    <n v="-3"/>
    <n v="58"/>
    <n v="0"/>
    <n v="1"/>
    <n v="3"/>
  </r>
  <r>
    <x v="1798"/>
    <n v="-3"/>
    <n v="58"/>
    <n v="55"/>
    <n v="25"/>
    <n v="25"/>
    <x v="28"/>
    <n v="17"/>
    <n v="5"/>
    <n v="58"/>
    <n v="0.5"/>
    <n v="0"/>
    <n v="0"/>
  </r>
  <r>
    <x v="1799"/>
    <n v="5"/>
    <n v="58"/>
    <n v="63"/>
    <n v="17"/>
    <n v="20"/>
    <x v="27"/>
    <n v="26"/>
    <n v="-1"/>
    <n v="55"/>
    <n v="0"/>
    <n v="1"/>
    <n v="1"/>
  </r>
  <r>
    <x v="1800"/>
    <n v="-1"/>
    <n v="55"/>
    <n v="54"/>
    <n v="26"/>
    <n v="13"/>
    <x v="17"/>
    <n v="19"/>
    <n v="-7"/>
    <n v="68"/>
    <n v="0"/>
    <n v="1"/>
    <n v="7"/>
  </r>
  <r>
    <x v="1801"/>
    <n v="-7"/>
    <n v="68"/>
    <n v="61"/>
    <n v="19"/>
    <n v="25"/>
    <x v="33"/>
    <n v="25"/>
    <n v="-7"/>
    <n v="62"/>
    <n v="0"/>
    <n v="1"/>
    <n v="7"/>
  </r>
  <r>
    <x v="1802"/>
    <n v="-7"/>
    <n v="62"/>
    <n v="55"/>
    <n v="25"/>
    <n v="17"/>
    <x v="6"/>
    <n v="20"/>
    <n v="-10"/>
    <n v="70"/>
    <n v="0"/>
    <n v="1"/>
    <n v="10"/>
  </r>
  <r>
    <x v="1803"/>
    <n v="-10"/>
    <n v="70"/>
    <n v="60"/>
    <n v="20"/>
    <n v="26"/>
    <x v="8"/>
    <n v="21"/>
    <n v="-5"/>
    <n v="64"/>
    <n v="0"/>
    <n v="1"/>
    <n v="5"/>
  </r>
  <r>
    <x v="1804"/>
    <n v="-5"/>
    <n v="64"/>
    <n v="59"/>
    <n v="21"/>
    <n v="19"/>
    <x v="7"/>
    <n v="15"/>
    <n v="-1"/>
    <n v="66"/>
    <n v="0"/>
    <n v="1"/>
    <n v="1"/>
  </r>
  <r>
    <x v="1805"/>
    <n v="-1"/>
    <n v="66"/>
    <n v="65"/>
    <n v="15"/>
    <n v="25"/>
    <x v="32"/>
    <n v="21"/>
    <n v="3"/>
    <n v="56"/>
    <n v="0.30000000000000004"/>
    <n v="0"/>
    <n v="0"/>
  </r>
  <r>
    <x v="1806"/>
    <n v="3"/>
    <n v="56"/>
    <n v="59"/>
    <n v="21"/>
    <n v="20"/>
    <x v="24"/>
    <n v="19"/>
    <n v="4"/>
    <n v="57"/>
    <n v="0.4"/>
    <n v="0"/>
    <n v="0"/>
  </r>
  <r>
    <x v="1807"/>
    <n v="4"/>
    <n v="57"/>
    <n v="61"/>
    <n v="19"/>
    <n v="21"/>
    <x v="27"/>
    <n v="21"/>
    <n v="4"/>
    <n v="55"/>
    <n v="0.4"/>
    <n v="0"/>
    <n v="0"/>
  </r>
  <r>
    <x v="1808"/>
    <n v="4"/>
    <n v="55"/>
    <n v="59"/>
    <n v="21"/>
    <n v="15"/>
    <x v="23"/>
    <n v="19"/>
    <n v="0"/>
    <n v="61"/>
    <n v="0"/>
    <n v="0"/>
    <n v="0"/>
  </r>
  <r>
    <x v="1809"/>
    <n v="0"/>
    <n v="61"/>
    <n v="61"/>
    <n v="19"/>
    <n v="21"/>
    <x v="5"/>
    <n v="20"/>
    <n v="1"/>
    <n v="59"/>
    <n v="0.1"/>
    <n v="0"/>
    <n v="0"/>
  </r>
  <r>
    <x v="1810"/>
    <n v="1"/>
    <n v="59"/>
    <n v="60"/>
    <n v="20"/>
    <n v="19"/>
    <x v="4"/>
    <n v="18"/>
    <n v="2"/>
    <n v="60"/>
    <n v="0.2"/>
    <n v="0"/>
    <n v="0"/>
  </r>
  <r>
    <x v="1811"/>
    <n v="2"/>
    <n v="60"/>
    <n v="62"/>
    <n v="18"/>
    <n v="21"/>
    <x v="24"/>
    <n v="19"/>
    <n v="4"/>
    <n v="57"/>
    <n v="0.4"/>
    <n v="0"/>
    <n v="0"/>
  </r>
  <r>
    <x v="1812"/>
    <n v="4"/>
    <n v="57"/>
    <n v="61"/>
    <n v="19"/>
    <n v="19"/>
    <x v="24"/>
    <n v="19"/>
    <n v="4"/>
    <n v="57"/>
    <n v="0.4"/>
    <n v="0"/>
    <n v="0"/>
  </r>
  <r>
    <x v="1813"/>
    <n v="4"/>
    <n v="57"/>
    <n v="61"/>
    <n v="19"/>
    <n v="20"/>
    <x v="32"/>
    <n v="22"/>
    <n v="2"/>
    <n v="56"/>
    <n v="0.2"/>
    <n v="0"/>
    <n v="0"/>
  </r>
  <r>
    <x v="1814"/>
    <n v="2"/>
    <n v="56"/>
    <n v="58"/>
    <n v="22"/>
    <n v="18"/>
    <x v="4"/>
    <n v="18"/>
    <n v="2"/>
    <n v="60"/>
    <n v="0.2"/>
    <n v="0"/>
    <n v="0"/>
  </r>
  <r>
    <x v="1815"/>
    <n v="2"/>
    <n v="60"/>
    <n v="62"/>
    <n v="18"/>
    <n v="19"/>
    <x v="5"/>
    <n v="24"/>
    <n v="-3"/>
    <n v="59"/>
    <n v="0"/>
    <n v="1"/>
    <n v="3"/>
  </r>
  <r>
    <x v="1816"/>
    <n v="-3"/>
    <n v="59"/>
    <n v="56"/>
    <n v="24"/>
    <n v="19"/>
    <x v="8"/>
    <n v="13"/>
    <n v="3"/>
    <n v="64"/>
    <n v="0.30000000000000004"/>
    <n v="0"/>
    <n v="0"/>
  </r>
  <r>
    <x v="1817"/>
    <n v="3"/>
    <n v="64"/>
    <n v="67"/>
    <n v="13"/>
    <n v="22"/>
    <x v="27"/>
    <n v="19"/>
    <n v="6"/>
    <n v="55"/>
    <n v="0.60000000000000009"/>
    <n v="0"/>
    <n v="0"/>
  </r>
  <r>
    <x v="1818"/>
    <n v="6"/>
    <n v="55"/>
    <n v="61"/>
    <n v="19"/>
    <n v="18"/>
    <x v="32"/>
    <n v="16"/>
    <n v="8"/>
    <n v="56"/>
    <n v="0.8"/>
    <n v="0"/>
    <n v="0"/>
  </r>
  <r>
    <x v="1819"/>
    <n v="8"/>
    <n v="56"/>
    <n v="64"/>
    <n v="16"/>
    <n v="24"/>
    <x v="15"/>
    <n v="16"/>
    <n v="16"/>
    <n v="48"/>
    <n v="1.6"/>
    <n v="0"/>
    <n v="0"/>
  </r>
  <r>
    <x v="1820"/>
    <n v="16"/>
    <n v="48"/>
    <n v="64"/>
    <n v="16"/>
    <n v="13"/>
    <x v="9"/>
    <n v="10"/>
    <n v="19"/>
    <n v="51"/>
    <n v="1.9000000000000001"/>
    <n v="0"/>
    <n v="0"/>
  </r>
  <r>
    <x v="1821"/>
    <n v="19"/>
    <n v="51"/>
    <n v="70"/>
    <n v="10"/>
    <n v="19"/>
    <x v="40"/>
    <n v="17"/>
    <n v="21"/>
    <n v="42"/>
    <n v="2.1"/>
    <n v="0"/>
    <n v="0"/>
  </r>
  <r>
    <x v="1822"/>
    <n v="21"/>
    <n v="42"/>
    <n v="63"/>
    <n v="17"/>
    <n v="16"/>
    <x v="51"/>
    <n v="30"/>
    <n v="7"/>
    <n v="43"/>
    <n v="0.70000000000000007"/>
    <n v="0"/>
    <n v="0"/>
  </r>
  <r>
    <x v="1823"/>
    <n v="7"/>
    <n v="43"/>
    <n v="50"/>
    <n v="30"/>
    <n v="16"/>
    <x v="24"/>
    <n v="15"/>
    <n v="8"/>
    <n v="57"/>
    <n v="0.8"/>
    <n v="0"/>
    <n v="0"/>
  </r>
  <r>
    <x v="1824"/>
    <n v="8"/>
    <n v="57"/>
    <n v="65"/>
    <n v="15"/>
    <n v="10"/>
    <x v="33"/>
    <n v="17"/>
    <n v="1"/>
    <n v="62"/>
    <n v="0.1"/>
    <n v="0"/>
    <n v="0"/>
  </r>
  <r>
    <x v="1825"/>
    <n v="1"/>
    <n v="62"/>
    <n v="63"/>
    <n v="17"/>
    <n v="17"/>
    <x v="33"/>
    <n v="21"/>
    <n v="-3"/>
    <n v="62"/>
    <n v="0"/>
    <n v="1"/>
    <n v="3"/>
  </r>
  <r>
    <x v="1826"/>
    <n v="-3"/>
    <n v="62"/>
    <n v="59"/>
    <n v="21"/>
    <n v="30"/>
    <x v="12"/>
    <n v="13"/>
    <n v="14"/>
    <n v="53"/>
    <n v="1.4000000000000001"/>
    <n v="0"/>
    <n v="0"/>
  </r>
  <r>
    <x v="1827"/>
    <n v="14"/>
    <n v="53"/>
    <n v="67"/>
    <n v="13"/>
    <n v="15"/>
    <x v="9"/>
    <n v="11"/>
    <n v="18"/>
    <n v="51"/>
    <n v="1.8"/>
    <n v="0"/>
    <n v="0"/>
  </r>
  <r>
    <x v="1828"/>
    <n v="18"/>
    <n v="51"/>
    <n v="69"/>
    <n v="11"/>
    <n v="17"/>
    <x v="11"/>
    <n v="23"/>
    <n v="12"/>
    <n v="45"/>
    <n v="1.2000000000000002"/>
    <n v="0"/>
    <n v="0"/>
  </r>
  <r>
    <x v="1829"/>
    <n v="12"/>
    <n v="45"/>
    <n v="57"/>
    <n v="23"/>
    <n v="21"/>
    <x v="14"/>
    <n v="24"/>
    <n v="9"/>
    <n v="47"/>
    <n v="0.9"/>
    <n v="0"/>
    <n v="0"/>
  </r>
  <r>
    <x v="1830"/>
    <n v="9"/>
    <n v="47"/>
    <n v="56"/>
    <n v="24"/>
    <n v="13"/>
    <x v="28"/>
    <n v="22"/>
    <n v="0"/>
    <n v="58"/>
    <n v="0"/>
    <n v="0"/>
    <n v="0"/>
  </r>
  <r>
    <x v="1831"/>
    <n v="0"/>
    <n v="58"/>
    <n v="58"/>
    <n v="22"/>
    <n v="11"/>
    <x v="30"/>
    <n v="18"/>
    <n v="-7"/>
    <n v="69"/>
    <n v="0"/>
    <n v="1"/>
    <n v="7"/>
  </r>
  <r>
    <x v="1832"/>
    <n v="-7"/>
    <n v="69"/>
    <n v="62"/>
    <n v="18"/>
    <n v="23"/>
    <x v="8"/>
    <n v="22"/>
    <n v="-6"/>
    <n v="64"/>
    <n v="0"/>
    <n v="1"/>
    <n v="6"/>
  </r>
  <r>
    <x v="1833"/>
    <n v="-6"/>
    <n v="64"/>
    <n v="58"/>
    <n v="22"/>
    <n v="24"/>
    <x v="33"/>
    <n v="26"/>
    <n v="-8"/>
    <n v="62"/>
    <n v="0"/>
    <n v="1"/>
    <n v="8"/>
  </r>
  <r>
    <x v="1834"/>
    <n v="-8"/>
    <n v="62"/>
    <n v="54"/>
    <n v="26"/>
    <n v="22"/>
    <x v="7"/>
    <n v="12"/>
    <n v="2"/>
    <n v="66"/>
    <n v="0.2"/>
    <n v="0"/>
    <n v="0"/>
  </r>
  <r>
    <x v="1835"/>
    <n v="2"/>
    <n v="66"/>
    <n v="68"/>
    <n v="12"/>
    <n v="18"/>
    <x v="4"/>
    <n v="16"/>
    <n v="4"/>
    <n v="60"/>
    <n v="0.4"/>
    <n v="0"/>
    <n v="0"/>
  </r>
  <r>
    <x v="1836"/>
    <n v="4"/>
    <n v="60"/>
    <n v="64"/>
    <n v="16"/>
    <n v="22"/>
    <x v="16"/>
    <n v="25"/>
    <n v="1"/>
    <n v="54"/>
    <n v="0.1"/>
    <n v="0"/>
    <n v="0"/>
  </r>
  <r>
    <x v="1837"/>
    <n v="1"/>
    <n v="54"/>
    <n v="55"/>
    <n v="25"/>
    <n v="26"/>
    <x v="12"/>
    <n v="24"/>
    <n v="3"/>
    <n v="53"/>
    <n v="0.30000000000000004"/>
    <n v="0"/>
    <n v="0"/>
  </r>
  <r>
    <x v="1838"/>
    <n v="3"/>
    <n v="53"/>
    <n v="56"/>
    <n v="24"/>
    <n v="12"/>
    <x v="26"/>
    <n v="24"/>
    <n v="-9"/>
    <n v="65"/>
    <n v="0"/>
    <n v="1"/>
    <n v="9"/>
  </r>
  <r>
    <x v="1839"/>
    <n v="-9"/>
    <n v="65"/>
    <n v="56"/>
    <n v="24"/>
    <n v="16"/>
    <x v="31"/>
    <n v="19"/>
    <n v="-12"/>
    <n v="73"/>
    <n v="0"/>
    <n v="1"/>
    <n v="12"/>
  </r>
  <r>
    <x v="1840"/>
    <n v="-12"/>
    <n v="73"/>
    <n v="61"/>
    <n v="19"/>
    <n v="25"/>
    <x v="21"/>
    <n v="22"/>
    <n v="-9"/>
    <n v="67"/>
    <n v="0"/>
    <n v="1"/>
    <n v="9"/>
  </r>
  <r>
    <x v="1841"/>
    <n v="-9"/>
    <n v="67"/>
    <n v="58"/>
    <n v="22"/>
    <n v="24"/>
    <x v="26"/>
    <n v="15"/>
    <n v="0"/>
    <n v="65"/>
    <n v="0"/>
    <n v="0"/>
    <n v="0"/>
  </r>
  <r>
    <x v="1842"/>
    <n v="0"/>
    <n v="65"/>
    <n v="65"/>
    <n v="15"/>
    <n v="24"/>
    <x v="32"/>
    <n v="21"/>
    <n v="3"/>
    <n v="56"/>
    <n v="0.30000000000000004"/>
    <n v="0"/>
    <n v="0"/>
  </r>
  <r>
    <x v="1843"/>
    <n v="3"/>
    <n v="56"/>
    <n v="59"/>
    <n v="21"/>
    <n v="19"/>
    <x v="28"/>
    <n v="17"/>
    <n v="5"/>
    <n v="58"/>
    <n v="0.5"/>
    <n v="0"/>
    <n v="0"/>
  </r>
  <r>
    <x v="1844"/>
    <n v="5"/>
    <n v="58"/>
    <n v="63"/>
    <n v="17"/>
    <n v="22"/>
    <x v="12"/>
    <n v="22"/>
    <n v="5"/>
    <n v="53"/>
    <n v="0.5"/>
    <n v="0"/>
    <n v="0"/>
  </r>
  <r>
    <x v="1845"/>
    <n v="5"/>
    <n v="53"/>
    <n v="58"/>
    <n v="22"/>
    <n v="15"/>
    <x v="4"/>
    <n v="22"/>
    <n v="-2"/>
    <n v="60"/>
    <n v="0"/>
    <n v="1"/>
    <n v="2"/>
  </r>
  <r>
    <x v="1846"/>
    <n v="-2"/>
    <n v="60"/>
    <n v="58"/>
    <n v="22"/>
    <n v="21"/>
    <x v="23"/>
    <n v="20"/>
    <n v="-1"/>
    <n v="61"/>
    <n v="0"/>
    <n v="1"/>
    <n v="1"/>
  </r>
  <r>
    <x v="1847"/>
    <n v="-1"/>
    <n v="61"/>
    <n v="60"/>
    <n v="20"/>
    <n v="17"/>
    <x v="8"/>
    <n v="17"/>
    <n v="-1"/>
    <n v="64"/>
    <n v="0"/>
    <n v="1"/>
    <n v="1"/>
  </r>
  <r>
    <x v="1848"/>
    <n v="-1"/>
    <n v="64"/>
    <n v="63"/>
    <n v="17"/>
    <n v="22"/>
    <x v="5"/>
    <n v="27"/>
    <n v="-6"/>
    <n v="59"/>
    <n v="0"/>
    <n v="1"/>
    <n v="6"/>
  </r>
  <r>
    <x v="1849"/>
    <n v="-6"/>
    <n v="59"/>
    <n v="53"/>
    <n v="27"/>
    <n v="22"/>
    <x v="8"/>
    <n v="23"/>
    <n v="-7"/>
    <n v="64"/>
    <n v="0"/>
    <n v="1"/>
    <n v="7"/>
  </r>
  <r>
    <x v="1850"/>
    <n v="-7"/>
    <n v="64"/>
    <n v="57"/>
    <n v="23"/>
    <n v="20"/>
    <x v="21"/>
    <n v="20"/>
    <n v="-7"/>
    <n v="67"/>
    <n v="0"/>
    <n v="1"/>
    <n v="7"/>
  </r>
  <r>
    <x v="1851"/>
    <n v="-7"/>
    <n v="67"/>
    <n v="60"/>
    <n v="20"/>
    <n v="17"/>
    <x v="6"/>
    <n v="11"/>
    <n v="-1"/>
    <n v="70"/>
    <n v="0"/>
    <n v="1"/>
    <n v="1"/>
  </r>
  <r>
    <x v="1852"/>
    <n v="-1"/>
    <n v="70"/>
    <n v="69"/>
    <n v="11"/>
    <n v="27"/>
    <x v="16"/>
    <n v="18"/>
    <n v="8"/>
    <n v="54"/>
    <n v="0.8"/>
    <n v="0"/>
    <n v="0"/>
  </r>
  <r>
    <x v="1853"/>
    <n v="8"/>
    <n v="54"/>
    <n v="62"/>
    <n v="18"/>
    <n v="23"/>
    <x v="10"/>
    <n v="21"/>
    <n v="10"/>
    <n v="49"/>
    <n v="1"/>
    <n v="0"/>
    <n v="0"/>
  </r>
  <r>
    <x v="1854"/>
    <n v="10"/>
    <n v="49"/>
    <n v="59"/>
    <n v="21"/>
    <n v="20"/>
    <x v="13"/>
    <n v="18"/>
    <n v="12"/>
    <n v="50"/>
    <n v="1.2000000000000002"/>
    <n v="0"/>
    <n v="0"/>
  </r>
  <r>
    <x v="1855"/>
    <n v="12"/>
    <n v="50"/>
    <n v="62"/>
    <n v="18"/>
    <n v="11"/>
    <x v="24"/>
    <n v="24"/>
    <n v="-1"/>
    <n v="57"/>
    <n v="0"/>
    <n v="1"/>
    <n v="1"/>
  </r>
  <r>
    <x v="1856"/>
    <n v="-1"/>
    <n v="57"/>
    <n v="56"/>
    <n v="24"/>
    <n v="18"/>
    <x v="22"/>
    <n v="17"/>
    <n v="0"/>
    <n v="63"/>
    <n v="0"/>
    <n v="0"/>
    <n v="0"/>
  </r>
  <r>
    <x v="1857"/>
    <n v="0"/>
    <n v="63"/>
    <n v="63"/>
    <n v="17"/>
    <n v="21"/>
    <x v="5"/>
    <n v="22"/>
    <n v="-1"/>
    <n v="59"/>
    <n v="0"/>
    <n v="1"/>
    <n v="1"/>
  </r>
  <r>
    <x v="1858"/>
    <n v="-1"/>
    <n v="59"/>
    <n v="58"/>
    <n v="22"/>
    <n v="18"/>
    <x v="22"/>
    <n v="25"/>
    <n v="-8"/>
    <n v="63"/>
    <n v="0"/>
    <n v="1"/>
    <n v="8"/>
  </r>
  <r>
    <x v="1859"/>
    <n v="-8"/>
    <n v="63"/>
    <n v="55"/>
    <n v="25"/>
    <n v="24"/>
    <x v="8"/>
    <n v="23"/>
    <n v="-7"/>
    <n v="64"/>
    <n v="0"/>
    <n v="1"/>
    <n v="7"/>
  </r>
  <r>
    <x v="1860"/>
    <n v="-7"/>
    <n v="64"/>
    <n v="57"/>
    <n v="23"/>
    <n v="17"/>
    <x v="6"/>
    <n v="18"/>
    <n v="-8"/>
    <n v="70"/>
    <n v="0"/>
    <n v="1"/>
    <n v="8"/>
  </r>
  <r>
    <x v="1861"/>
    <n v="-8"/>
    <n v="70"/>
    <n v="62"/>
    <n v="18"/>
    <n v="22"/>
    <x v="7"/>
    <n v="22"/>
    <n v="-8"/>
    <n v="66"/>
    <n v="0"/>
    <n v="1"/>
    <n v="8"/>
  </r>
  <r>
    <x v="1862"/>
    <n v="-8"/>
    <n v="66"/>
    <n v="58"/>
    <n v="22"/>
    <n v="25"/>
    <x v="22"/>
    <n v="24"/>
    <n v="-7"/>
    <n v="63"/>
    <n v="0"/>
    <n v="1"/>
    <n v="7"/>
  </r>
  <r>
    <x v="1863"/>
    <n v="-7"/>
    <n v="63"/>
    <n v="56"/>
    <n v="24"/>
    <n v="23"/>
    <x v="8"/>
    <n v="18"/>
    <n v="-2"/>
    <n v="64"/>
    <n v="0"/>
    <n v="1"/>
    <n v="2"/>
  </r>
  <r>
    <x v="1864"/>
    <n v="-2"/>
    <n v="64"/>
    <n v="62"/>
    <n v="18"/>
    <n v="18"/>
    <x v="8"/>
    <n v="22"/>
    <n v="-6"/>
    <n v="64"/>
    <n v="0"/>
    <n v="1"/>
    <n v="6"/>
  </r>
  <r>
    <x v="1865"/>
    <n v="-6"/>
    <n v="64"/>
    <n v="58"/>
    <n v="22"/>
    <n v="22"/>
    <x v="8"/>
    <n v="21"/>
    <n v="-5"/>
    <n v="64"/>
    <n v="0"/>
    <n v="1"/>
    <n v="5"/>
  </r>
  <r>
    <x v="1866"/>
    <n v="-5"/>
    <n v="64"/>
    <n v="59"/>
    <n v="21"/>
    <n v="24"/>
    <x v="23"/>
    <n v="25"/>
    <n v="-6"/>
    <n v="61"/>
    <n v="0"/>
    <n v="1"/>
    <n v="6"/>
  </r>
  <r>
    <x v="1867"/>
    <n v="-6"/>
    <n v="61"/>
    <n v="55"/>
    <n v="25"/>
    <n v="18"/>
    <x v="17"/>
    <n v="19"/>
    <n v="-7"/>
    <n v="68"/>
    <n v="0"/>
    <n v="1"/>
    <n v="7"/>
  </r>
  <r>
    <x v="1868"/>
    <n v="-7"/>
    <n v="68"/>
    <n v="61"/>
    <n v="19"/>
    <n v="22"/>
    <x v="26"/>
    <n v="18"/>
    <n v="-3"/>
    <n v="65"/>
    <n v="0"/>
    <n v="1"/>
    <n v="3"/>
  </r>
  <r>
    <x v="1869"/>
    <n v="-3"/>
    <n v="65"/>
    <n v="62"/>
    <n v="18"/>
    <n v="21"/>
    <x v="33"/>
    <n v="14"/>
    <n v="4"/>
    <n v="62"/>
    <n v="0.4"/>
    <n v="0"/>
    <n v="0"/>
  </r>
  <r>
    <x v="1870"/>
    <n v="4"/>
    <n v="62"/>
    <n v="66"/>
    <n v="14"/>
    <n v="25"/>
    <x v="9"/>
    <n v="17"/>
    <n v="12"/>
    <n v="51"/>
    <n v="1.2000000000000002"/>
    <n v="0"/>
    <n v="0"/>
  </r>
  <r>
    <x v="1871"/>
    <n v="12"/>
    <n v="51"/>
    <n v="63"/>
    <n v="17"/>
    <n v="19"/>
    <x v="10"/>
    <n v="20"/>
    <n v="11"/>
    <n v="49"/>
    <n v="1.1000000000000001"/>
    <n v="0"/>
    <n v="0"/>
  </r>
  <r>
    <x v="1872"/>
    <n v="11"/>
    <n v="49"/>
    <n v="60"/>
    <n v="20"/>
    <n v="18"/>
    <x v="9"/>
    <n v="15"/>
    <n v="14"/>
    <n v="51"/>
    <n v="1.4000000000000001"/>
    <n v="0"/>
    <n v="0"/>
  </r>
  <r>
    <x v="1873"/>
    <n v="14"/>
    <n v="51"/>
    <n v="65"/>
    <n v="15"/>
    <n v="14"/>
    <x v="25"/>
    <n v="15"/>
    <n v="13"/>
    <n v="52"/>
    <n v="1.3"/>
    <n v="0"/>
    <n v="0"/>
  </r>
  <r>
    <x v="1874"/>
    <n v="13"/>
    <n v="52"/>
    <n v="65"/>
    <n v="15"/>
    <n v="17"/>
    <x v="13"/>
    <n v="11"/>
    <n v="19"/>
    <n v="50"/>
    <n v="1.9000000000000001"/>
    <n v="0"/>
    <n v="0"/>
  </r>
  <r>
    <x v="1875"/>
    <n v="19"/>
    <n v="50"/>
    <n v="69"/>
    <n v="11"/>
    <n v="20"/>
    <x v="52"/>
    <n v="28"/>
    <n v="11"/>
    <n v="41"/>
    <n v="1.1000000000000001"/>
    <n v="0"/>
    <n v="0"/>
  </r>
  <r>
    <x v="1876"/>
    <n v="11"/>
    <n v="41"/>
    <n v="52"/>
    <n v="28"/>
    <n v="15"/>
    <x v="16"/>
    <n v="25"/>
    <n v="1"/>
    <n v="54"/>
    <n v="0.1"/>
    <n v="0"/>
    <n v="0"/>
  </r>
  <r>
    <x v="1877"/>
    <n v="1"/>
    <n v="54"/>
    <n v="55"/>
    <n v="25"/>
    <n v="15"/>
    <x v="8"/>
    <n v="22"/>
    <n v="-6"/>
    <n v="64"/>
    <n v="0"/>
    <n v="1"/>
    <n v="6"/>
  </r>
  <r>
    <x v="1878"/>
    <n v="-6"/>
    <n v="64"/>
    <n v="58"/>
    <n v="22"/>
    <n v="11"/>
    <x v="44"/>
    <n v="12"/>
    <n v="-7"/>
    <n v="75"/>
    <n v="0"/>
    <n v="1"/>
    <n v="7"/>
  </r>
  <r>
    <x v="1879"/>
    <n v="-7"/>
    <n v="75"/>
    <n v="68"/>
    <n v="12"/>
    <n v="28"/>
    <x v="5"/>
    <n v="29"/>
    <n v="-8"/>
    <n v="59"/>
    <n v="0"/>
    <n v="1"/>
    <n v="8"/>
  </r>
  <r>
    <x v="1880"/>
    <n v="-8"/>
    <n v="59"/>
    <n v="51"/>
    <n v="29"/>
    <n v="25"/>
    <x v="22"/>
    <n v="30"/>
    <n v="-13"/>
    <n v="63"/>
    <n v="0"/>
    <n v="1"/>
    <n v="13"/>
  </r>
  <r>
    <x v="1881"/>
    <n v="-13"/>
    <n v="63"/>
    <n v="50"/>
    <n v="30"/>
    <n v="22"/>
    <x v="20"/>
    <n v="18"/>
    <n v="-9"/>
    <n v="71"/>
    <n v="0"/>
    <n v="1"/>
    <n v="9"/>
  </r>
  <r>
    <x v="1882"/>
    <n v="-9"/>
    <n v="71"/>
    <n v="62"/>
    <n v="18"/>
    <n v="12"/>
    <x v="18"/>
    <n v="11"/>
    <n v="-8"/>
    <n v="77"/>
    <n v="0"/>
    <n v="1"/>
    <n v="8"/>
  </r>
  <r>
    <x v="1883"/>
    <n v="-8"/>
    <n v="77"/>
    <n v="69"/>
    <n v="11"/>
    <n v="29"/>
    <x v="5"/>
    <n v="20"/>
    <n v="1"/>
    <n v="59"/>
    <n v="0.1"/>
    <n v="0"/>
    <n v="0"/>
  </r>
  <r>
    <x v="1884"/>
    <n v="1"/>
    <n v="59"/>
    <n v="60"/>
    <n v="20"/>
    <n v="30"/>
    <x v="10"/>
    <n v="21"/>
    <n v="10"/>
    <n v="49"/>
    <n v="1"/>
    <n v="0"/>
    <n v="0"/>
  </r>
  <r>
    <x v="1885"/>
    <n v="10"/>
    <n v="49"/>
    <n v="59"/>
    <n v="21"/>
    <n v="18"/>
    <x v="25"/>
    <n v="23"/>
    <n v="5"/>
    <n v="52"/>
    <n v="0.5"/>
    <n v="0"/>
    <n v="0"/>
  </r>
  <r>
    <x v="1886"/>
    <n v="5"/>
    <n v="52"/>
    <n v="57"/>
    <n v="23"/>
    <n v="11"/>
    <x v="8"/>
    <n v="19"/>
    <n v="-3"/>
    <n v="64"/>
    <n v="0"/>
    <n v="1"/>
    <n v="3"/>
  </r>
  <r>
    <x v="1887"/>
    <n v="-3"/>
    <n v="64"/>
    <n v="61"/>
    <n v="19"/>
    <n v="20"/>
    <x v="22"/>
    <n v="27"/>
    <n v="-10"/>
    <n v="63"/>
    <n v="0"/>
    <n v="1"/>
    <n v="10"/>
  </r>
  <r>
    <x v="1888"/>
    <n v="-10"/>
    <n v="63"/>
    <n v="53"/>
    <n v="27"/>
    <n v="21"/>
    <x v="30"/>
    <n v="20"/>
    <n v="-9"/>
    <n v="69"/>
    <n v="0"/>
    <n v="1"/>
    <n v="9"/>
  </r>
  <r>
    <x v="1889"/>
    <n v="-9"/>
    <n v="69"/>
    <n v="60"/>
    <n v="20"/>
    <n v="23"/>
    <x v="7"/>
    <n v="24"/>
    <n v="-10"/>
    <n v="66"/>
    <n v="0"/>
    <n v="1"/>
    <n v="10"/>
  </r>
  <r>
    <x v="1890"/>
    <n v="-10"/>
    <n v="66"/>
    <n v="56"/>
    <n v="24"/>
    <n v="19"/>
    <x v="20"/>
    <n v="13"/>
    <n v="-4"/>
    <n v="71"/>
    <n v="0"/>
    <n v="1"/>
    <n v="4"/>
  </r>
  <r>
    <x v="1891"/>
    <n v="-4"/>
    <n v="71"/>
    <n v="67"/>
    <n v="13"/>
    <n v="27"/>
    <x v="24"/>
    <n v="34"/>
    <n v="-11"/>
    <n v="57"/>
    <n v="0"/>
    <n v="1"/>
    <n v="11"/>
  </r>
  <r>
    <x v="1892"/>
    <n v="-11"/>
    <n v="57"/>
    <n v="46"/>
    <n v="34"/>
    <n v="20"/>
    <x v="20"/>
    <n v="15"/>
    <n v="-6"/>
    <n v="71"/>
    <n v="0"/>
    <n v="1"/>
    <n v="6"/>
  </r>
  <r>
    <x v="1893"/>
    <n v="-6"/>
    <n v="71"/>
    <n v="65"/>
    <n v="15"/>
    <n v="24"/>
    <x v="33"/>
    <n v="23"/>
    <n v="-5"/>
    <n v="62"/>
    <n v="0"/>
    <n v="1"/>
    <n v="5"/>
  </r>
  <r>
    <x v="1894"/>
    <n v="-5"/>
    <n v="62"/>
    <n v="57"/>
    <n v="23"/>
    <n v="13"/>
    <x v="29"/>
    <n v="11"/>
    <n v="-3"/>
    <n v="72"/>
    <n v="0"/>
    <n v="1"/>
    <n v="3"/>
  </r>
  <r>
    <x v="1895"/>
    <n v="-3"/>
    <n v="72"/>
    <n v="69"/>
    <n v="11"/>
    <n v="34"/>
    <x v="10"/>
    <n v="22"/>
    <n v="9"/>
    <n v="49"/>
    <n v="0.9"/>
    <n v="0"/>
    <n v="0"/>
  </r>
  <r>
    <x v="1896"/>
    <n v="9"/>
    <n v="49"/>
    <n v="58"/>
    <n v="22"/>
    <n v="15"/>
    <x v="32"/>
    <n v="21"/>
    <n v="3"/>
    <n v="56"/>
    <n v="0.30000000000000004"/>
    <n v="0"/>
    <n v="0"/>
  </r>
  <r>
    <x v="1897"/>
    <n v="3"/>
    <n v="56"/>
    <n v="59"/>
    <n v="21"/>
    <n v="23"/>
    <x v="16"/>
    <n v="17"/>
    <n v="9"/>
    <n v="54"/>
    <n v="0.9"/>
    <n v="0"/>
    <n v="0"/>
  </r>
  <r>
    <x v="1898"/>
    <n v="9"/>
    <n v="54"/>
    <n v="63"/>
    <n v="17"/>
    <n v="11"/>
    <x v="4"/>
    <n v="24"/>
    <n v="-4"/>
    <n v="60"/>
    <n v="0"/>
    <n v="1"/>
    <n v="4"/>
  </r>
  <r>
    <x v="1899"/>
    <n v="-4"/>
    <n v="60"/>
    <n v="56"/>
    <n v="24"/>
    <n v="22"/>
    <x v="33"/>
    <n v="23"/>
    <n v="-5"/>
    <n v="62"/>
    <n v="0"/>
    <n v="1"/>
    <n v="5"/>
  </r>
  <r>
    <x v="1900"/>
    <n v="-5"/>
    <n v="62"/>
    <n v="57"/>
    <n v="23"/>
    <n v="21"/>
    <x v="8"/>
    <n v="22"/>
    <n v="-6"/>
    <n v="64"/>
    <n v="0"/>
    <n v="1"/>
    <n v="6"/>
  </r>
  <r>
    <x v="1901"/>
    <n v="-6"/>
    <n v="64"/>
    <n v="58"/>
    <n v="22"/>
    <n v="17"/>
    <x v="30"/>
    <n v="16"/>
    <n v="-5"/>
    <n v="69"/>
    <n v="0"/>
    <n v="1"/>
    <n v="5"/>
  </r>
  <r>
    <x v="1902"/>
    <n v="-5"/>
    <n v="69"/>
    <n v="64"/>
    <n v="16"/>
    <n v="24"/>
    <x v="23"/>
    <n v="24"/>
    <n v="-5"/>
    <n v="61"/>
    <n v="0"/>
    <n v="1"/>
    <n v="5"/>
  </r>
  <r>
    <x v="1903"/>
    <n v="-5"/>
    <n v="61"/>
    <n v="56"/>
    <n v="24"/>
    <n v="23"/>
    <x v="33"/>
    <n v="21"/>
    <n v="-3"/>
    <n v="62"/>
    <n v="0"/>
    <n v="1"/>
    <n v="3"/>
  </r>
  <r>
    <x v="1904"/>
    <n v="-3"/>
    <n v="62"/>
    <n v="59"/>
    <n v="21"/>
    <n v="22"/>
    <x v="23"/>
    <n v="20"/>
    <n v="-1"/>
    <n v="61"/>
    <n v="0"/>
    <n v="1"/>
    <n v="1"/>
  </r>
  <r>
    <x v="1905"/>
    <n v="-1"/>
    <n v="61"/>
    <n v="60"/>
    <n v="20"/>
    <n v="16"/>
    <x v="26"/>
    <n v="17"/>
    <n v="-2"/>
    <n v="65"/>
    <n v="0"/>
    <n v="1"/>
    <n v="2"/>
  </r>
  <r>
    <x v="1906"/>
    <n v="-2"/>
    <n v="65"/>
    <n v="63"/>
    <n v="17"/>
    <n v="24"/>
    <x v="28"/>
    <n v="18"/>
    <n v="4"/>
    <n v="58"/>
    <n v="0.4"/>
    <n v="0"/>
    <n v="0"/>
  </r>
  <r>
    <x v="1907"/>
    <n v="4"/>
    <n v="58"/>
    <n v="62"/>
    <n v="18"/>
    <n v="21"/>
    <x v="27"/>
    <n v="23"/>
    <n v="2"/>
    <n v="55"/>
    <n v="0.2"/>
    <n v="0"/>
    <n v="0"/>
  </r>
  <r>
    <x v="1908"/>
    <n v="2"/>
    <n v="55"/>
    <n v="57"/>
    <n v="23"/>
    <n v="20"/>
    <x v="28"/>
    <n v="21"/>
    <n v="1"/>
    <n v="58"/>
    <n v="0.1"/>
    <n v="0"/>
    <n v="0"/>
  </r>
  <r>
    <x v="1909"/>
    <n v="1"/>
    <n v="58"/>
    <n v="59"/>
    <n v="21"/>
    <n v="17"/>
    <x v="33"/>
    <n v="16"/>
    <n v="2"/>
    <n v="62"/>
    <n v="0.2"/>
    <n v="0"/>
    <n v="0"/>
  </r>
  <r>
    <x v="1910"/>
    <n v="2"/>
    <n v="62"/>
    <n v="64"/>
    <n v="16"/>
    <n v="18"/>
    <x v="4"/>
    <n v="19"/>
    <n v="1"/>
    <n v="60"/>
    <n v="0.1"/>
    <n v="0"/>
    <n v="0"/>
  </r>
  <r>
    <x v="1911"/>
    <n v="1"/>
    <n v="60"/>
    <n v="61"/>
    <n v="19"/>
    <n v="23"/>
    <x v="32"/>
    <n v="18"/>
    <n v="6"/>
    <n v="56"/>
    <n v="0.60000000000000009"/>
    <n v="0"/>
    <n v="0"/>
  </r>
  <r>
    <x v="1912"/>
    <n v="6"/>
    <n v="56"/>
    <n v="62"/>
    <n v="18"/>
    <n v="21"/>
    <x v="12"/>
    <n v="24"/>
    <n v="3"/>
    <n v="53"/>
    <n v="0.30000000000000004"/>
    <n v="0"/>
    <n v="0"/>
  </r>
  <r>
    <x v="1913"/>
    <n v="3"/>
    <n v="53"/>
    <n v="56"/>
    <n v="24"/>
    <n v="16"/>
    <x v="23"/>
    <n v="17"/>
    <n v="2"/>
    <n v="61"/>
    <n v="0.2"/>
    <n v="0"/>
    <n v="0"/>
  </r>
  <r>
    <x v="1914"/>
    <n v="2"/>
    <n v="61"/>
    <n v="63"/>
    <n v="17"/>
    <n v="19"/>
    <x v="5"/>
    <n v="14"/>
    <n v="7"/>
    <n v="59"/>
    <n v="0.70000000000000007"/>
    <n v="0"/>
    <n v="0"/>
  </r>
  <r>
    <x v="1915"/>
    <n v="7"/>
    <n v="59"/>
    <n v="66"/>
    <n v="14"/>
    <n v="18"/>
    <x v="27"/>
    <n v="16"/>
    <n v="9"/>
    <n v="55"/>
    <n v="0.9"/>
    <n v="0"/>
    <n v="0"/>
  </r>
  <r>
    <x v="1916"/>
    <n v="9"/>
    <n v="55"/>
    <n v="64"/>
    <n v="16"/>
    <n v="24"/>
    <x v="14"/>
    <n v="24"/>
    <n v="9"/>
    <n v="47"/>
    <n v="0.9"/>
    <n v="0"/>
    <n v="0"/>
  </r>
  <r>
    <x v="1917"/>
    <n v="9"/>
    <n v="47"/>
    <n v="56"/>
    <n v="24"/>
    <n v="17"/>
    <x v="16"/>
    <n v="10"/>
    <n v="16"/>
    <n v="54"/>
    <n v="1.6"/>
    <n v="0"/>
    <n v="0"/>
  </r>
  <r>
    <x v="1918"/>
    <n v="16"/>
    <n v="54"/>
    <n v="70"/>
    <n v="10"/>
    <n v="14"/>
    <x v="13"/>
    <n v="19"/>
    <n v="11"/>
    <n v="50"/>
    <n v="1.1000000000000001"/>
    <n v="0"/>
    <n v="0"/>
  </r>
  <r>
    <x v="1919"/>
    <n v="11"/>
    <n v="50"/>
    <n v="61"/>
    <n v="19"/>
    <n v="16"/>
    <x v="12"/>
    <n v="26"/>
    <n v="1"/>
    <n v="53"/>
    <n v="0.1"/>
    <n v="0"/>
    <n v="0"/>
  </r>
  <r>
    <x v="1920"/>
    <n v="1"/>
    <n v="53"/>
    <n v="54"/>
    <n v="26"/>
    <n v="24"/>
    <x v="27"/>
    <n v="30"/>
    <n v="-5"/>
    <n v="55"/>
    <n v="0"/>
    <n v="1"/>
    <n v="5"/>
  </r>
  <r>
    <x v="1921"/>
    <n v="-5"/>
    <n v="55"/>
    <n v="50"/>
    <n v="30"/>
    <n v="10"/>
    <x v="44"/>
    <n v="25"/>
    <n v="-20"/>
    <n v="75"/>
    <n v="0"/>
    <n v="1"/>
    <n v="20"/>
  </r>
  <r>
    <x v="1922"/>
    <n v="-20"/>
    <n v="75"/>
    <n v="55"/>
    <n v="25"/>
    <n v="19"/>
    <x v="41"/>
    <n v="19"/>
    <n v="-20"/>
    <n v="81"/>
    <n v="0"/>
    <n v="1"/>
    <n v="19"/>
  </r>
  <r>
    <x v="1923"/>
    <n v="-20"/>
    <n v="81"/>
    <n v="61"/>
    <n v="19"/>
    <n v="26"/>
    <x v="39"/>
    <n v="14"/>
    <n v="-8"/>
    <n v="74"/>
    <n v="0"/>
    <n v="1"/>
    <n v="8"/>
  </r>
  <r>
    <x v="1924"/>
    <n v="-8"/>
    <n v="74"/>
    <n v="66"/>
    <n v="14"/>
    <n v="30"/>
    <x v="28"/>
    <n v="18"/>
    <n v="4"/>
    <n v="58"/>
    <n v="0.4"/>
    <n v="0"/>
    <n v="0"/>
  </r>
  <r>
    <x v="1925"/>
    <n v="4"/>
    <n v="58"/>
    <n v="62"/>
    <n v="18"/>
    <n v="25"/>
    <x v="9"/>
    <n v="20"/>
    <n v="9"/>
    <n v="51"/>
    <n v="0.9"/>
    <n v="0"/>
    <n v="0"/>
  </r>
  <r>
    <x v="1926"/>
    <n v="9"/>
    <n v="51"/>
    <n v="60"/>
    <n v="20"/>
    <n v="19"/>
    <x v="25"/>
    <n v="22"/>
    <n v="6"/>
    <n v="52"/>
    <n v="0.60000000000000009"/>
    <n v="0"/>
    <n v="0"/>
  </r>
  <r>
    <x v="1927"/>
    <n v="6"/>
    <n v="52"/>
    <n v="58"/>
    <n v="22"/>
    <n v="14"/>
    <x v="4"/>
    <n v="18"/>
    <n v="2"/>
    <n v="60"/>
    <n v="0.2"/>
    <n v="0"/>
    <n v="0"/>
  </r>
  <r>
    <x v="1928"/>
    <n v="2"/>
    <n v="60"/>
    <n v="62"/>
    <n v="18"/>
    <n v="18"/>
    <x v="4"/>
    <n v="19"/>
    <n v="1"/>
    <n v="60"/>
    <n v="0.1"/>
    <n v="0"/>
    <n v="0"/>
  </r>
  <r>
    <x v="1929"/>
    <n v="1"/>
    <n v="60"/>
    <n v="61"/>
    <n v="19"/>
    <n v="20"/>
    <x v="5"/>
    <n v="26"/>
    <n v="-5"/>
    <n v="59"/>
    <n v="0"/>
    <n v="1"/>
    <n v="5"/>
  </r>
  <r>
    <x v="1930"/>
    <n v="-5"/>
    <n v="59"/>
    <n v="54"/>
    <n v="26"/>
    <n v="22"/>
    <x v="22"/>
    <n v="12"/>
    <n v="5"/>
    <n v="63"/>
    <n v="0.5"/>
    <n v="0"/>
    <n v="0"/>
  </r>
  <r>
    <x v="1931"/>
    <n v="5"/>
    <n v="63"/>
    <n v="68"/>
    <n v="12"/>
    <n v="18"/>
    <x v="24"/>
    <n v="11"/>
    <n v="12"/>
    <n v="57"/>
    <n v="1.2000000000000002"/>
    <n v="0"/>
    <n v="0"/>
  </r>
  <r>
    <x v="1932"/>
    <n v="12"/>
    <n v="57"/>
    <n v="69"/>
    <n v="11"/>
    <n v="19"/>
    <x v="10"/>
    <n v="21"/>
    <n v="10"/>
    <n v="49"/>
    <n v="1"/>
    <n v="0"/>
    <n v="0"/>
  </r>
  <r>
    <x v="1933"/>
    <n v="10"/>
    <n v="49"/>
    <n v="59"/>
    <n v="21"/>
    <n v="26"/>
    <x v="45"/>
    <n v="13"/>
    <n v="23"/>
    <n v="44"/>
    <n v="2.3000000000000003"/>
    <n v="0"/>
    <n v="0"/>
  </r>
  <r>
    <x v="1934"/>
    <n v="23"/>
    <n v="44"/>
    <n v="67"/>
    <n v="13"/>
    <n v="12"/>
    <x v="11"/>
    <n v="21"/>
    <n v="14"/>
    <n v="45"/>
    <n v="1.4000000000000001"/>
    <n v="0"/>
    <n v="0"/>
  </r>
  <r>
    <x v="1935"/>
    <n v="14"/>
    <n v="45"/>
    <n v="59"/>
    <n v="21"/>
    <n v="11"/>
    <x v="27"/>
    <n v="21"/>
    <n v="4"/>
    <n v="55"/>
    <n v="0.4"/>
    <n v="0"/>
    <n v="0"/>
  </r>
  <r>
    <x v="1936"/>
    <n v="4"/>
    <n v="55"/>
    <n v="59"/>
    <n v="21"/>
    <n v="21"/>
    <x v="27"/>
    <n v="18"/>
    <n v="7"/>
    <n v="55"/>
    <n v="0.70000000000000007"/>
    <n v="0"/>
    <n v="0"/>
  </r>
  <r>
    <x v="1937"/>
    <n v="7"/>
    <n v="55"/>
    <n v="62"/>
    <n v="18"/>
    <n v="13"/>
    <x v="4"/>
    <n v="15"/>
    <n v="5"/>
    <n v="60"/>
    <n v="0.5"/>
    <n v="0"/>
    <n v="0"/>
  </r>
  <r>
    <x v="1938"/>
    <n v="5"/>
    <n v="60"/>
    <n v="65"/>
    <n v="15"/>
    <n v="21"/>
    <x v="16"/>
    <n v="20"/>
    <n v="6"/>
    <n v="54"/>
    <n v="0.60000000000000009"/>
    <n v="0"/>
    <n v="0"/>
  </r>
  <r>
    <x v="1939"/>
    <n v="6"/>
    <n v="54"/>
    <n v="60"/>
    <n v="20"/>
    <n v="21"/>
    <x v="12"/>
    <n v="17"/>
    <n v="10"/>
    <n v="53"/>
    <n v="1"/>
    <n v="0"/>
    <n v="0"/>
  </r>
  <r>
    <x v="1940"/>
    <n v="10"/>
    <n v="53"/>
    <n v="63"/>
    <n v="17"/>
    <n v="18"/>
    <x v="25"/>
    <n v="21"/>
    <n v="7"/>
    <n v="52"/>
    <n v="0.70000000000000007"/>
    <n v="0"/>
    <n v="0"/>
  </r>
  <r>
    <x v="1941"/>
    <n v="7"/>
    <n v="52"/>
    <n v="59"/>
    <n v="21"/>
    <n v="15"/>
    <x v="28"/>
    <n v="14"/>
    <n v="8"/>
    <n v="58"/>
    <n v="0.8"/>
    <n v="0"/>
    <n v="0"/>
  </r>
  <r>
    <x v="1942"/>
    <n v="8"/>
    <n v="58"/>
    <n v="66"/>
    <n v="14"/>
    <n v="20"/>
    <x v="25"/>
    <n v="20"/>
    <n v="8"/>
    <n v="52"/>
    <n v="0.8"/>
    <n v="0"/>
    <n v="0"/>
  </r>
  <r>
    <x v="1943"/>
    <n v="8"/>
    <n v="52"/>
    <n v="60"/>
    <n v="20"/>
    <n v="17"/>
    <x v="27"/>
    <n v="24"/>
    <n v="1"/>
    <n v="55"/>
    <n v="0.1"/>
    <n v="0"/>
    <n v="0"/>
  </r>
  <r>
    <x v="1944"/>
    <n v="1"/>
    <n v="55"/>
    <n v="56"/>
    <n v="24"/>
    <n v="21"/>
    <x v="28"/>
    <n v="20"/>
    <n v="2"/>
    <n v="58"/>
    <n v="0.2"/>
    <n v="0"/>
    <n v="0"/>
  </r>
  <r>
    <x v="1945"/>
    <n v="2"/>
    <n v="58"/>
    <n v="60"/>
    <n v="20"/>
    <n v="14"/>
    <x v="8"/>
    <n v="16"/>
    <n v="0"/>
    <n v="64"/>
    <n v="0"/>
    <n v="0"/>
    <n v="0"/>
  </r>
  <r>
    <x v="1946"/>
    <n v="0"/>
    <n v="64"/>
    <n v="64"/>
    <n v="16"/>
    <n v="20"/>
    <x v="4"/>
    <n v="15"/>
    <n v="5"/>
    <n v="60"/>
    <n v="0.5"/>
    <n v="0"/>
    <n v="0"/>
  </r>
  <r>
    <x v="1947"/>
    <n v="5"/>
    <n v="60"/>
    <n v="65"/>
    <n v="15"/>
    <n v="24"/>
    <x v="9"/>
    <n v="15"/>
    <n v="14"/>
    <n v="51"/>
    <n v="1.4000000000000001"/>
    <n v="0"/>
    <n v="0"/>
  </r>
  <r>
    <x v="1948"/>
    <n v="14"/>
    <n v="51"/>
    <n v="65"/>
    <n v="15"/>
    <n v="20"/>
    <x v="38"/>
    <n v="25"/>
    <n v="9"/>
    <n v="46"/>
    <n v="0.9"/>
    <n v="0"/>
    <n v="0"/>
  </r>
  <r>
    <x v="1949"/>
    <n v="9"/>
    <n v="46"/>
    <n v="55"/>
    <n v="25"/>
    <n v="16"/>
    <x v="27"/>
    <n v="18"/>
    <n v="7"/>
    <n v="55"/>
    <n v="0.70000000000000007"/>
    <n v="0"/>
    <n v="0"/>
  </r>
  <r>
    <x v="1950"/>
    <n v="7"/>
    <n v="55"/>
    <n v="62"/>
    <n v="18"/>
    <n v="15"/>
    <x v="28"/>
    <n v="14"/>
    <n v="8"/>
    <n v="58"/>
    <n v="0.8"/>
    <n v="0"/>
    <n v="0"/>
  </r>
  <r>
    <x v="1951"/>
    <n v="8"/>
    <n v="58"/>
    <n v="66"/>
    <n v="14"/>
    <n v="15"/>
    <x v="24"/>
    <n v="14"/>
    <n v="9"/>
    <n v="57"/>
    <n v="0.9"/>
    <n v="0"/>
    <n v="0"/>
  </r>
  <r>
    <x v="1952"/>
    <n v="9"/>
    <n v="57"/>
    <n v="66"/>
    <n v="14"/>
    <n v="25"/>
    <x v="38"/>
    <n v="15"/>
    <n v="19"/>
    <n v="46"/>
    <n v="1.9000000000000001"/>
    <n v="0"/>
    <n v="0"/>
  </r>
  <r>
    <x v="1953"/>
    <n v="19"/>
    <n v="46"/>
    <n v="65"/>
    <n v="15"/>
    <n v="18"/>
    <x v="51"/>
    <n v="30"/>
    <n v="7"/>
    <n v="43"/>
    <n v="0.70000000000000007"/>
    <n v="0"/>
    <n v="0"/>
  </r>
  <r>
    <x v="1954"/>
    <n v="7"/>
    <n v="43"/>
    <n v="50"/>
    <n v="30"/>
    <n v="14"/>
    <x v="5"/>
    <n v="16"/>
    <n v="5"/>
    <n v="59"/>
    <n v="0.5"/>
    <n v="0"/>
    <n v="0"/>
  </r>
  <r>
    <x v="1955"/>
    <n v="5"/>
    <n v="59"/>
    <n v="64"/>
    <n v="16"/>
    <n v="14"/>
    <x v="23"/>
    <n v="17"/>
    <n v="2"/>
    <n v="61"/>
    <n v="0.2"/>
    <n v="0"/>
    <n v="0"/>
  </r>
  <r>
    <x v="1956"/>
    <n v="2"/>
    <n v="61"/>
    <n v="63"/>
    <n v="17"/>
    <n v="15"/>
    <x v="22"/>
    <n v="16"/>
    <n v="1"/>
    <n v="63"/>
    <n v="0.1"/>
    <n v="0"/>
    <n v="0"/>
  </r>
  <r>
    <x v="1957"/>
    <n v="1"/>
    <n v="63"/>
    <n v="64"/>
    <n v="16"/>
    <n v="30"/>
    <x v="10"/>
    <n v="18"/>
    <n v="13"/>
    <n v="49"/>
    <n v="1.3"/>
    <n v="0"/>
    <n v="0"/>
  </r>
  <r>
    <x v="1958"/>
    <n v="13"/>
    <n v="49"/>
    <n v="62"/>
    <n v="18"/>
    <n v="16"/>
    <x v="9"/>
    <n v="24"/>
    <n v="5"/>
    <n v="51"/>
    <n v="0.5"/>
    <n v="0"/>
    <n v="0"/>
  </r>
  <r>
    <x v="1959"/>
    <n v="5"/>
    <n v="51"/>
    <n v="56"/>
    <n v="24"/>
    <n v="17"/>
    <x v="28"/>
    <n v="26"/>
    <n v="-4"/>
    <n v="58"/>
    <n v="0"/>
    <n v="1"/>
    <n v="4"/>
  </r>
  <r>
    <x v="1960"/>
    <n v="-4"/>
    <n v="58"/>
    <n v="54"/>
    <n v="26"/>
    <n v="16"/>
    <x v="17"/>
    <n v="22"/>
    <n v="-10"/>
    <n v="68"/>
    <n v="0"/>
    <n v="1"/>
    <n v="10"/>
  </r>
  <r>
    <x v="1961"/>
    <n v="-10"/>
    <n v="68"/>
    <n v="58"/>
    <n v="22"/>
    <n v="18"/>
    <x v="29"/>
    <n v="13"/>
    <n v="-5"/>
    <n v="72"/>
    <n v="0"/>
    <n v="1"/>
    <n v="5"/>
  </r>
  <r>
    <x v="1962"/>
    <n v="-5"/>
    <n v="72"/>
    <n v="67"/>
    <n v="13"/>
    <n v="24"/>
    <x v="23"/>
    <n v="19"/>
    <n v="0"/>
    <n v="61"/>
    <n v="0"/>
    <n v="0"/>
    <n v="0"/>
  </r>
  <r>
    <x v="1963"/>
    <n v="0"/>
    <n v="61"/>
    <n v="61"/>
    <n v="19"/>
    <n v="26"/>
    <x v="16"/>
    <n v="16"/>
    <n v="10"/>
    <n v="54"/>
    <n v="1"/>
    <n v="0"/>
    <n v="0"/>
  </r>
  <r>
    <x v="1964"/>
    <n v="10"/>
    <n v="54"/>
    <n v="64"/>
    <n v="16"/>
    <n v="22"/>
    <x v="15"/>
    <n v="23"/>
    <n v="9"/>
    <n v="48"/>
    <n v="0.9"/>
    <n v="0"/>
    <n v="0"/>
  </r>
  <r>
    <x v="1965"/>
    <n v="9"/>
    <n v="48"/>
    <n v="57"/>
    <n v="23"/>
    <n v="13"/>
    <x v="28"/>
    <n v="19"/>
    <n v="3"/>
    <n v="58"/>
    <n v="0.30000000000000004"/>
    <n v="0"/>
    <n v="0"/>
  </r>
  <r>
    <x v="1966"/>
    <n v="3"/>
    <n v="58"/>
    <n v="61"/>
    <n v="19"/>
    <n v="19"/>
    <x v="28"/>
    <n v="22"/>
    <n v="0"/>
    <n v="58"/>
    <n v="0"/>
    <n v="0"/>
    <n v="0"/>
  </r>
  <r>
    <x v="1967"/>
    <n v="0"/>
    <n v="58"/>
    <n v="58"/>
    <n v="22"/>
    <n v="16"/>
    <x v="8"/>
    <n v="25"/>
    <n v="-9"/>
    <n v="64"/>
    <n v="0"/>
    <n v="1"/>
    <n v="9"/>
  </r>
  <r>
    <x v="1968"/>
    <n v="-9"/>
    <n v="64"/>
    <n v="55"/>
    <n v="25"/>
    <n v="23"/>
    <x v="7"/>
    <n v="23"/>
    <n v="-9"/>
    <n v="66"/>
    <n v="0"/>
    <n v="1"/>
    <n v="9"/>
  </r>
  <r>
    <x v="1969"/>
    <n v="-9"/>
    <n v="66"/>
    <n v="57"/>
    <n v="23"/>
    <n v="19"/>
    <x v="6"/>
    <n v="16"/>
    <n v="-6"/>
    <n v="70"/>
    <n v="0"/>
    <n v="1"/>
    <n v="6"/>
  </r>
  <r>
    <x v="1970"/>
    <n v="-6"/>
    <n v="70"/>
    <n v="64"/>
    <n v="16"/>
    <n v="22"/>
    <x v="8"/>
    <n v="15"/>
    <n v="1"/>
    <n v="64"/>
    <n v="0.1"/>
    <n v="0"/>
    <n v="0"/>
  </r>
  <r>
    <x v="1971"/>
    <n v="1"/>
    <n v="64"/>
    <n v="65"/>
    <n v="15"/>
    <n v="25"/>
    <x v="16"/>
    <n v="16"/>
    <n v="10"/>
    <n v="54"/>
    <n v="1"/>
    <n v="0"/>
    <n v="0"/>
  </r>
  <r>
    <x v="1972"/>
    <n v="10"/>
    <n v="54"/>
    <n v="64"/>
    <n v="16"/>
    <n v="23"/>
    <x v="14"/>
    <n v="21"/>
    <n v="12"/>
    <n v="47"/>
    <n v="1.2000000000000002"/>
    <n v="0"/>
    <n v="0"/>
  </r>
  <r>
    <x v="1973"/>
    <n v="12"/>
    <n v="47"/>
    <n v="59"/>
    <n v="21"/>
    <n v="16"/>
    <x v="25"/>
    <n v="22"/>
    <n v="6"/>
    <n v="52"/>
    <n v="0.60000000000000009"/>
    <n v="0"/>
    <n v="0"/>
  </r>
  <r>
    <x v="1974"/>
    <n v="6"/>
    <n v="52"/>
    <n v="58"/>
    <n v="22"/>
    <n v="15"/>
    <x v="5"/>
    <n v="29"/>
    <n v="-8"/>
    <n v="59"/>
    <n v="0"/>
    <n v="1"/>
    <n v="8"/>
  </r>
  <r>
    <x v="1975"/>
    <n v="-8"/>
    <n v="59"/>
    <n v="51"/>
    <n v="29"/>
    <n v="16"/>
    <x v="29"/>
    <n v="21"/>
    <n v="-13"/>
    <n v="72"/>
    <n v="0"/>
    <n v="1"/>
    <n v="13"/>
  </r>
  <r>
    <x v="1976"/>
    <n v="-13"/>
    <n v="72"/>
    <n v="59"/>
    <n v="21"/>
    <n v="21"/>
    <x v="29"/>
    <n v="17"/>
    <n v="-9"/>
    <n v="72"/>
    <n v="0"/>
    <n v="1"/>
    <n v="9"/>
  </r>
  <r>
    <x v="1977"/>
    <n v="-9"/>
    <n v="72"/>
    <n v="63"/>
    <n v="17"/>
    <n v="22"/>
    <x v="21"/>
    <n v="17"/>
    <n v="-4"/>
    <n v="67"/>
    <n v="0"/>
    <n v="1"/>
    <n v="4"/>
  </r>
  <r>
    <x v="1978"/>
    <n v="-4"/>
    <n v="67"/>
    <n v="63"/>
    <n v="17"/>
    <n v="29"/>
    <x v="27"/>
    <n v="18"/>
    <n v="7"/>
    <n v="55"/>
    <n v="0.70000000000000007"/>
    <n v="0"/>
    <n v="0"/>
  </r>
  <r>
    <x v="1979"/>
    <n v="7"/>
    <n v="55"/>
    <n v="62"/>
    <n v="18"/>
    <n v="21"/>
    <x v="25"/>
    <n v="21"/>
    <n v="7"/>
    <n v="52"/>
    <n v="0.70000000000000007"/>
    <n v="0"/>
    <n v="0"/>
  </r>
  <r>
    <x v="1980"/>
    <n v="7"/>
    <n v="52"/>
    <n v="59"/>
    <n v="21"/>
    <n v="17"/>
    <x v="32"/>
    <n v="18"/>
    <n v="6"/>
    <n v="56"/>
    <n v="0.60000000000000009"/>
    <n v="0"/>
    <n v="0"/>
  </r>
  <r>
    <x v="1981"/>
    <n v="6"/>
    <n v="56"/>
    <n v="62"/>
    <n v="18"/>
    <n v="17"/>
    <x v="24"/>
    <n v="15"/>
    <n v="8"/>
    <n v="57"/>
    <n v="0.8"/>
    <n v="0"/>
    <n v="0"/>
  </r>
  <r>
    <x v="1982"/>
    <n v="8"/>
    <n v="57"/>
    <n v="65"/>
    <n v="15"/>
    <n v="18"/>
    <x v="16"/>
    <n v="37"/>
    <n v="-11"/>
    <n v="54"/>
    <n v="0"/>
    <n v="1"/>
    <n v="11"/>
  </r>
  <r>
    <x v="1983"/>
    <n v="-11"/>
    <n v="54"/>
    <n v="43"/>
    <n v="37"/>
    <n v="21"/>
    <x v="6"/>
    <n v="18"/>
    <n v="-8"/>
    <n v="70"/>
    <n v="0"/>
    <n v="1"/>
    <n v="8"/>
  </r>
  <r>
    <x v="1984"/>
    <n v="-8"/>
    <n v="70"/>
    <n v="62"/>
    <n v="18"/>
    <n v="18"/>
    <x v="6"/>
    <n v="18"/>
    <n v="-8"/>
    <n v="70"/>
    <n v="0"/>
    <n v="1"/>
    <n v="8"/>
  </r>
  <r>
    <x v="1985"/>
    <n v="-8"/>
    <n v="70"/>
    <n v="62"/>
    <n v="18"/>
    <n v="15"/>
    <x v="31"/>
    <n v="15"/>
    <n v="-8"/>
    <n v="73"/>
    <n v="0"/>
    <n v="1"/>
    <n v="8"/>
  </r>
  <r>
    <x v="1986"/>
    <n v="-8"/>
    <n v="73"/>
    <n v="65"/>
    <n v="15"/>
    <n v="37"/>
    <x v="9"/>
    <n v="19"/>
    <n v="10"/>
    <n v="51"/>
    <n v="1"/>
    <n v="0"/>
    <n v="0"/>
  </r>
  <r>
    <x v="1987"/>
    <n v="10"/>
    <n v="51"/>
    <n v="61"/>
    <n v="19"/>
    <n v="18"/>
    <x v="25"/>
    <n v="21"/>
    <n v="7"/>
    <n v="52"/>
    <n v="0.70000000000000007"/>
    <n v="0"/>
    <n v="0"/>
  </r>
  <r>
    <x v="1988"/>
    <n v="7"/>
    <n v="52"/>
    <n v="59"/>
    <n v="21"/>
    <n v="18"/>
    <x v="27"/>
    <n v="21"/>
    <n v="4"/>
    <n v="55"/>
    <n v="0.4"/>
    <n v="0"/>
    <n v="0"/>
  </r>
  <r>
    <x v="1989"/>
    <n v="4"/>
    <n v="55"/>
    <n v="59"/>
    <n v="21"/>
    <n v="15"/>
    <x v="23"/>
    <n v="21"/>
    <n v="-2"/>
    <n v="61"/>
    <n v="0"/>
    <n v="1"/>
    <n v="2"/>
  </r>
  <r>
    <x v="1990"/>
    <n v="-2"/>
    <n v="61"/>
    <n v="59"/>
    <n v="21"/>
    <n v="19"/>
    <x v="22"/>
    <n v="21"/>
    <n v="-4"/>
    <n v="63"/>
    <n v="0"/>
    <n v="1"/>
    <n v="4"/>
  </r>
  <r>
    <x v="1991"/>
    <n v="-4"/>
    <n v="63"/>
    <n v="59"/>
    <n v="21"/>
    <n v="21"/>
    <x v="22"/>
    <n v="22"/>
    <n v="-5"/>
    <n v="63"/>
    <n v="0"/>
    <n v="1"/>
    <n v="5"/>
  </r>
  <r>
    <x v="1992"/>
    <n v="-5"/>
    <n v="63"/>
    <n v="58"/>
    <n v="22"/>
    <n v="21"/>
    <x v="8"/>
    <n v="24"/>
    <n v="-8"/>
    <n v="64"/>
    <n v="0"/>
    <n v="1"/>
    <n v="8"/>
  </r>
  <r>
    <x v="1993"/>
    <n v="-8"/>
    <n v="64"/>
    <n v="56"/>
    <n v="24"/>
    <n v="21"/>
    <x v="21"/>
    <n v="26"/>
    <n v="-13"/>
    <n v="67"/>
    <n v="0"/>
    <n v="1"/>
    <n v="13"/>
  </r>
  <r>
    <x v="1994"/>
    <n v="-13"/>
    <n v="67"/>
    <n v="54"/>
    <n v="26"/>
    <n v="21"/>
    <x v="29"/>
    <n v="13"/>
    <n v="-5"/>
    <n v="72"/>
    <n v="0"/>
    <n v="1"/>
    <n v="5"/>
  </r>
  <r>
    <x v="1995"/>
    <n v="-5"/>
    <n v="72"/>
    <n v="67"/>
    <n v="13"/>
    <n v="22"/>
    <x v="22"/>
    <n v="20"/>
    <n v="-3"/>
    <n v="63"/>
    <n v="0"/>
    <n v="1"/>
    <n v="3"/>
  </r>
  <r>
    <x v="1996"/>
    <n v="-3"/>
    <n v="63"/>
    <n v="60"/>
    <n v="20"/>
    <n v="24"/>
    <x v="5"/>
    <n v="17"/>
    <n v="4"/>
    <n v="59"/>
    <n v="0.4"/>
    <n v="0"/>
    <n v="0"/>
  </r>
  <r>
    <x v="1997"/>
    <n v="4"/>
    <n v="59"/>
    <n v="63"/>
    <n v="17"/>
    <n v="26"/>
    <x v="13"/>
    <n v="17"/>
    <n v="13"/>
    <n v="50"/>
    <n v="1.3"/>
    <n v="0"/>
    <n v="0"/>
  </r>
  <r>
    <x v="1998"/>
    <n v="13"/>
    <n v="50"/>
    <n v="63"/>
    <n v="17"/>
    <n v="13"/>
    <x v="16"/>
    <n v="16"/>
    <n v="10"/>
    <n v="54"/>
    <n v="1"/>
    <n v="0"/>
    <n v="0"/>
  </r>
  <r>
    <x v="1999"/>
    <n v="10"/>
    <n v="54"/>
    <n v="64"/>
    <n v="16"/>
    <n v="20"/>
    <x v="13"/>
    <n v="20"/>
    <n v="10"/>
    <n v="50"/>
    <n v="1"/>
    <n v="0"/>
    <n v="0"/>
  </r>
  <r>
    <x v="2000"/>
    <n v="10"/>
    <n v="50"/>
    <n v="60"/>
    <n v="20"/>
    <n v="17"/>
    <x v="12"/>
    <n v="31"/>
    <n v="-4"/>
    <n v="53"/>
    <n v="0"/>
    <n v="1"/>
    <n v="4"/>
  </r>
  <r>
    <x v="2001"/>
    <n v="-4"/>
    <n v="53"/>
    <n v="49"/>
    <n v="31"/>
    <n v="17"/>
    <x v="21"/>
    <n v="19"/>
    <n v="-6"/>
    <n v="67"/>
    <n v="0"/>
    <n v="1"/>
    <n v="6"/>
  </r>
  <r>
    <x v="2002"/>
    <n v="-6"/>
    <n v="67"/>
    <n v="61"/>
    <n v="19"/>
    <n v="16"/>
    <x v="6"/>
    <n v="25"/>
    <n v="-15"/>
    <n v="70"/>
    <n v="0"/>
    <n v="1"/>
    <n v="15"/>
  </r>
  <r>
    <x v="2003"/>
    <n v="-15"/>
    <n v="70"/>
    <n v="55"/>
    <n v="25"/>
    <n v="20"/>
    <x v="44"/>
    <n v="27"/>
    <n v="-22"/>
    <n v="75"/>
    <n v="0"/>
    <n v="1"/>
    <n v="22"/>
  </r>
  <r>
    <x v="2004"/>
    <n v="-22"/>
    <n v="75"/>
    <n v="53"/>
    <n v="27"/>
    <n v="31"/>
    <x v="20"/>
    <n v="16"/>
    <n v="-7"/>
    <n v="71"/>
    <n v="0"/>
    <n v="1"/>
    <n v="7"/>
  </r>
  <r>
    <x v="2005"/>
    <n v="-7"/>
    <n v="71"/>
    <n v="64"/>
    <n v="16"/>
    <n v="19"/>
    <x v="17"/>
    <n v="21"/>
    <n v="-9"/>
    <n v="68"/>
    <n v="0"/>
    <n v="1"/>
    <n v="9"/>
  </r>
  <r>
    <x v="2006"/>
    <n v="-9"/>
    <n v="68"/>
    <n v="59"/>
    <n v="21"/>
    <n v="25"/>
    <x v="8"/>
    <n v="20"/>
    <n v="-4"/>
    <n v="64"/>
    <n v="0"/>
    <n v="1"/>
    <n v="4"/>
  </r>
  <r>
    <x v="2007"/>
    <n v="-4"/>
    <n v="64"/>
    <n v="60"/>
    <n v="20"/>
    <n v="27"/>
    <x v="24"/>
    <n v="23"/>
    <n v="0"/>
    <n v="57"/>
    <n v="0"/>
    <n v="0"/>
    <n v="0"/>
  </r>
  <r>
    <x v="2008"/>
    <n v="0"/>
    <n v="57"/>
    <n v="57"/>
    <n v="23"/>
    <n v="16"/>
    <x v="8"/>
    <n v="13"/>
    <n v="3"/>
    <n v="64"/>
    <n v="0.30000000000000004"/>
    <n v="0"/>
    <n v="0"/>
  </r>
  <r>
    <x v="2009"/>
    <n v="3"/>
    <n v="64"/>
    <n v="67"/>
    <n v="13"/>
    <n v="21"/>
    <x v="32"/>
    <n v="21"/>
    <n v="3"/>
    <n v="56"/>
    <n v="0.30000000000000004"/>
    <n v="0"/>
    <n v="0"/>
  </r>
  <r>
    <x v="2010"/>
    <n v="3"/>
    <n v="56"/>
    <n v="59"/>
    <n v="21"/>
    <n v="20"/>
    <x v="24"/>
    <n v="20"/>
    <n v="3"/>
    <n v="57"/>
    <n v="0.30000000000000004"/>
    <n v="0"/>
    <n v="0"/>
  </r>
  <r>
    <x v="2011"/>
    <n v="3"/>
    <n v="57"/>
    <n v="60"/>
    <n v="20"/>
    <n v="23"/>
    <x v="16"/>
    <n v="23"/>
    <n v="3"/>
    <n v="54"/>
    <n v="0.30000000000000004"/>
    <n v="0"/>
    <n v="0"/>
  </r>
  <r>
    <x v="2012"/>
    <n v="3"/>
    <n v="54"/>
    <n v="57"/>
    <n v="23"/>
    <n v="13"/>
    <x v="8"/>
    <n v="16"/>
    <n v="0"/>
    <n v="64"/>
    <n v="0"/>
    <n v="0"/>
    <n v="0"/>
  </r>
  <r>
    <x v="2013"/>
    <n v="0"/>
    <n v="64"/>
    <n v="64"/>
    <n v="16"/>
    <n v="21"/>
    <x v="5"/>
    <n v="22"/>
    <n v="-1"/>
    <n v="59"/>
    <n v="0"/>
    <n v="1"/>
    <n v="1"/>
  </r>
  <r>
    <x v="2014"/>
    <n v="-1"/>
    <n v="59"/>
    <n v="58"/>
    <n v="22"/>
    <n v="20"/>
    <x v="23"/>
    <n v="16"/>
    <n v="3"/>
    <n v="61"/>
    <n v="0.30000000000000004"/>
    <n v="0"/>
    <n v="0"/>
  </r>
  <r>
    <x v="2015"/>
    <n v="3"/>
    <n v="61"/>
    <n v="64"/>
    <n v="16"/>
    <n v="23"/>
    <x v="16"/>
    <n v="17"/>
    <n v="9"/>
    <n v="54"/>
    <n v="0.9"/>
    <n v="0"/>
    <n v="0"/>
  </r>
  <r>
    <x v="2016"/>
    <n v="9"/>
    <n v="54"/>
    <n v="63"/>
    <n v="17"/>
    <n v="16"/>
    <x v="27"/>
    <n v="27"/>
    <n v="-2"/>
    <n v="55"/>
    <n v="0"/>
    <n v="1"/>
    <n v="2"/>
  </r>
  <r>
    <x v="2017"/>
    <n v="-2"/>
    <n v="55"/>
    <n v="53"/>
    <n v="27"/>
    <n v="22"/>
    <x v="4"/>
    <n v="19"/>
    <n v="1"/>
    <n v="60"/>
    <n v="0.1"/>
    <n v="0"/>
    <n v="0"/>
  </r>
  <r>
    <x v="2018"/>
    <n v="1"/>
    <n v="60"/>
    <n v="61"/>
    <n v="19"/>
    <n v="16"/>
    <x v="22"/>
    <n v="14"/>
    <n v="3"/>
    <n v="63"/>
    <n v="0.30000000000000004"/>
    <n v="0"/>
    <n v="0"/>
  </r>
  <r>
    <x v="2019"/>
    <n v="3"/>
    <n v="63"/>
    <n v="66"/>
    <n v="14"/>
    <n v="17"/>
    <x v="4"/>
    <n v="18"/>
    <n v="2"/>
    <n v="60"/>
    <n v="0.2"/>
    <n v="0"/>
    <n v="0"/>
  </r>
  <r>
    <x v="2020"/>
    <n v="2"/>
    <n v="60"/>
    <n v="62"/>
    <n v="18"/>
    <n v="27"/>
    <x v="9"/>
    <n v="18"/>
    <n v="11"/>
    <n v="51"/>
    <n v="1.1000000000000001"/>
    <n v="0"/>
    <n v="0"/>
  </r>
  <r>
    <x v="2021"/>
    <n v="11"/>
    <n v="51"/>
    <n v="62"/>
    <n v="18"/>
    <n v="19"/>
    <x v="13"/>
    <n v="18"/>
    <n v="12"/>
    <n v="50"/>
    <n v="1.2000000000000002"/>
    <n v="0"/>
    <n v="0"/>
  </r>
  <r>
    <x v="2022"/>
    <n v="12"/>
    <n v="50"/>
    <n v="62"/>
    <n v="18"/>
    <n v="14"/>
    <x v="16"/>
    <n v="22"/>
    <n v="4"/>
    <n v="54"/>
    <n v="0.4"/>
    <n v="0"/>
    <n v="0"/>
  </r>
  <r>
    <x v="2023"/>
    <n v="4"/>
    <n v="54"/>
    <n v="58"/>
    <n v="22"/>
    <n v="18"/>
    <x v="28"/>
    <n v="18"/>
    <n v="4"/>
    <n v="58"/>
    <n v="0.4"/>
    <n v="0"/>
    <n v="0"/>
  </r>
  <r>
    <x v="2024"/>
    <n v="4"/>
    <n v="58"/>
    <n v="62"/>
    <n v="18"/>
    <n v="18"/>
    <x v="28"/>
    <n v="14"/>
    <n v="8"/>
    <n v="58"/>
    <n v="0.8"/>
    <n v="0"/>
    <n v="0"/>
  </r>
  <r>
    <x v="2025"/>
    <n v="8"/>
    <n v="58"/>
    <n v="66"/>
    <n v="14"/>
    <n v="18"/>
    <x v="16"/>
    <n v="16"/>
    <n v="10"/>
    <n v="54"/>
    <n v="1"/>
    <n v="0"/>
    <n v="0"/>
  </r>
  <r>
    <x v="2026"/>
    <n v="10"/>
    <n v="54"/>
    <n v="64"/>
    <n v="16"/>
    <n v="22"/>
    <x v="15"/>
    <n v="25"/>
    <n v="7"/>
    <n v="48"/>
    <n v="0.70000000000000007"/>
    <n v="0"/>
    <n v="0"/>
  </r>
  <r>
    <x v="2027"/>
    <n v="7"/>
    <n v="48"/>
    <n v="55"/>
    <n v="25"/>
    <n v="18"/>
    <x v="27"/>
    <n v="22"/>
    <n v="3"/>
    <n v="55"/>
    <n v="0.30000000000000004"/>
    <n v="0"/>
    <n v="0"/>
  </r>
  <r>
    <x v="2028"/>
    <n v="3"/>
    <n v="55"/>
    <n v="58"/>
    <n v="22"/>
    <n v="14"/>
    <x v="22"/>
    <n v="23"/>
    <n v="-6"/>
    <n v="63"/>
    <n v="0"/>
    <n v="1"/>
    <n v="6"/>
  </r>
  <r>
    <x v="2029"/>
    <n v="-6"/>
    <n v="63"/>
    <n v="57"/>
    <n v="23"/>
    <n v="16"/>
    <x v="6"/>
    <n v="28"/>
    <n v="-18"/>
    <n v="70"/>
    <n v="0"/>
    <n v="1"/>
    <n v="18"/>
  </r>
  <r>
    <x v="2030"/>
    <n v="-18"/>
    <n v="70"/>
    <n v="52"/>
    <n v="28"/>
    <n v="25"/>
    <x v="31"/>
    <n v="16"/>
    <n v="-9"/>
    <n v="73"/>
    <n v="0"/>
    <n v="1"/>
    <n v="9"/>
  </r>
  <r>
    <x v="2031"/>
    <n v="-9"/>
    <n v="73"/>
    <n v="64"/>
    <n v="16"/>
    <n v="22"/>
    <x v="21"/>
    <n v="14"/>
    <n v="-1"/>
    <n v="67"/>
    <n v="0"/>
    <n v="1"/>
    <n v="1"/>
  </r>
  <r>
    <x v="2032"/>
    <n v="-1"/>
    <n v="67"/>
    <n v="66"/>
    <n v="14"/>
    <n v="23"/>
    <x v="28"/>
    <n v="19"/>
    <n v="3"/>
    <n v="58"/>
    <n v="0.30000000000000004"/>
    <n v="0"/>
    <n v="0"/>
  </r>
  <r>
    <x v="2033"/>
    <n v="3"/>
    <n v="58"/>
    <n v="61"/>
    <n v="19"/>
    <n v="28"/>
    <x v="10"/>
    <n v="20"/>
    <n v="11"/>
    <n v="49"/>
    <n v="1.1000000000000001"/>
    <n v="0"/>
    <n v="0"/>
  </r>
  <r>
    <x v="2034"/>
    <n v="11"/>
    <n v="49"/>
    <n v="60"/>
    <n v="20"/>
    <n v="16"/>
    <x v="12"/>
    <n v="20"/>
    <n v="7"/>
    <n v="53"/>
    <n v="0.70000000000000007"/>
    <n v="0"/>
    <n v="0"/>
  </r>
  <r>
    <x v="2035"/>
    <n v="7"/>
    <n v="53"/>
    <n v="60"/>
    <n v="20"/>
    <n v="14"/>
    <x v="5"/>
    <n v="9"/>
    <n v="12"/>
    <n v="59"/>
    <n v="1.2000000000000002"/>
    <n v="0"/>
    <n v="0"/>
  </r>
  <r>
    <x v="2036"/>
    <n v="12"/>
    <n v="59"/>
    <n v="71"/>
    <n v="9"/>
    <n v="19"/>
    <x v="10"/>
    <n v="22"/>
    <n v="9"/>
    <n v="49"/>
    <n v="0.9"/>
    <n v="0"/>
    <n v="0"/>
  </r>
  <r>
    <x v="2037"/>
    <n v="9"/>
    <n v="49"/>
    <n v="58"/>
    <n v="22"/>
    <n v="20"/>
    <x v="9"/>
    <n v="17"/>
    <n v="12"/>
    <n v="51"/>
    <n v="1.2000000000000002"/>
    <n v="0"/>
    <n v="0"/>
  </r>
  <r>
    <x v="2038"/>
    <n v="12"/>
    <n v="51"/>
    <n v="63"/>
    <n v="17"/>
    <n v="20"/>
    <x v="15"/>
    <n v="14"/>
    <n v="18"/>
    <n v="48"/>
    <n v="1.8"/>
    <n v="0"/>
    <n v="0"/>
  </r>
  <r>
    <x v="2039"/>
    <n v="18"/>
    <n v="48"/>
    <n v="66"/>
    <n v="14"/>
    <n v="9"/>
    <x v="12"/>
    <n v="26"/>
    <n v="1"/>
    <n v="53"/>
    <n v="0.1"/>
    <n v="0"/>
    <n v="0"/>
  </r>
  <r>
    <x v="2040"/>
    <n v="1"/>
    <n v="53"/>
    <n v="54"/>
    <n v="26"/>
    <n v="22"/>
    <x v="24"/>
    <n v="24"/>
    <n v="-1"/>
    <n v="57"/>
    <n v="0"/>
    <n v="1"/>
    <n v="1"/>
  </r>
  <r>
    <x v="2041"/>
    <n v="-1"/>
    <n v="57"/>
    <n v="56"/>
    <n v="24"/>
    <n v="17"/>
    <x v="8"/>
    <n v="16"/>
    <n v="0"/>
    <n v="64"/>
    <n v="0"/>
    <n v="0"/>
    <n v="0"/>
  </r>
  <r>
    <x v="2042"/>
    <n v="0"/>
    <n v="64"/>
    <n v="64"/>
    <n v="16"/>
    <n v="14"/>
    <x v="7"/>
    <n v="21"/>
    <n v="-7"/>
    <n v="66"/>
    <n v="0"/>
    <n v="1"/>
    <n v="7"/>
  </r>
  <r>
    <x v="2043"/>
    <n v="-7"/>
    <n v="66"/>
    <n v="59"/>
    <n v="21"/>
    <n v="26"/>
    <x v="23"/>
    <n v="19"/>
    <n v="0"/>
    <n v="61"/>
    <n v="0"/>
    <n v="0"/>
    <n v="0"/>
  </r>
  <r>
    <x v="2044"/>
    <n v="0"/>
    <n v="61"/>
    <n v="61"/>
    <n v="19"/>
    <n v="24"/>
    <x v="32"/>
    <n v="20"/>
    <n v="4"/>
    <n v="56"/>
    <n v="0.4"/>
    <n v="0"/>
    <n v="0"/>
  </r>
  <r>
    <x v="2045"/>
    <n v="4"/>
    <n v="56"/>
    <n v="60"/>
    <n v="20"/>
    <n v="16"/>
    <x v="4"/>
    <n v="27"/>
    <n v="-7"/>
    <n v="60"/>
    <n v="0"/>
    <n v="1"/>
    <n v="7"/>
  </r>
  <r>
    <x v="2046"/>
    <n v="-7"/>
    <n v="60"/>
    <n v="53"/>
    <n v="27"/>
    <n v="21"/>
    <x v="7"/>
    <n v="29"/>
    <n v="-15"/>
    <n v="66"/>
    <n v="0"/>
    <n v="1"/>
    <n v="15"/>
  </r>
  <r>
    <x v="2047"/>
    <n v="-15"/>
    <n v="66"/>
    <n v="51"/>
    <n v="29"/>
    <n v="19"/>
    <x v="37"/>
    <n v="20"/>
    <n v="-16"/>
    <n v="76"/>
    <n v="0"/>
    <n v="1"/>
    <n v="16"/>
  </r>
  <r>
    <x v="2048"/>
    <n v="-16"/>
    <n v="76"/>
    <n v="60"/>
    <n v="20"/>
    <n v="20"/>
    <x v="37"/>
    <n v="12"/>
    <n v="-8"/>
    <n v="76"/>
    <n v="0"/>
    <n v="1"/>
    <n v="8"/>
  </r>
  <r>
    <x v="2049"/>
    <n v="-8"/>
    <n v="76"/>
    <n v="68"/>
    <n v="12"/>
    <n v="27"/>
    <x v="23"/>
    <n v="29"/>
    <n v="-10"/>
    <n v="61"/>
    <n v="0"/>
    <n v="1"/>
    <n v="10"/>
  </r>
  <r>
    <x v="2050"/>
    <n v="-10"/>
    <n v="61"/>
    <n v="51"/>
    <n v="29"/>
    <n v="29"/>
    <x v="23"/>
    <n v="22"/>
    <n v="-3"/>
    <n v="61"/>
    <n v="0"/>
    <n v="1"/>
    <n v="3"/>
  </r>
  <r>
    <x v="2051"/>
    <n v="-3"/>
    <n v="61"/>
    <n v="58"/>
    <n v="22"/>
    <n v="20"/>
    <x v="22"/>
    <n v="22"/>
    <n v="-5"/>
    <n v="63"/>
    <n v="0"/>
    <n v="1"/>
    <n v="5"/>
  </r>
  <r>
    <x v="2052"/>
    <n v="-5"/>
    <n v="63"/>
    <n v="58"/>
    <n v="22"/>
    <n v="12"/>
    <x v="31"/>
    <n v="16"/>
    <n v="-9"/>
    <n v="73"/>
    <n v="0"/>
    <n v="1"/>
    <n v="9"/>
  </r>
  <r>
    <x v="2053"/>
    <n v="-9"/>
    <n v="73"/>
    <n v="64"/>
    <n v="16"/>
    <n v="29"/>
    <x v="4"/>
    <n v="27"/>
    <n v="-7"/>
    <n v="60"/>
    <n v="0"/>
    <n v="1"/>
    <n v="7"/>
  </r>
  <r>
    <x v="2054"/>
    <n v="-7"/>
    <n v="60"/>
    <n v="53"/>
    <n v="27"/>
    <n v="22"/>
    <x v="26"/>
    <n v="17"/>
    <n v="-2"/>
    <n v="65"/>
    <n v="0"/>
    <n v="1"/>
    <n v="2"/>
  </r>
  <r>
    <x v="2055"/>
    <n v="-2"/>
    <n v="65"/>
    <n v="63"/>
    <n v="17"/>
    <n v="22"/>
    <x v="4"/>
    <n v="12"/>
    <n v="8"/>
    <n v="60"/>
    <n v="0.8"/>
    <n v="0"/>
    <n v="0"/>
  </r>
  <r>
    <x v="2056"/>
    <n v="8"/>
    <n v="60"/>
    <n v="68"/>
    <n v="12"/>
    <n v="16"/>
    <x v="32"/>
    <n v="25"/>
    <n v="-1"/>
    <n v="56"/>
    <n v="0"/>
    <n v="1"/>
    <n v="1"/>
  </r>
  <r>
    <x v="2057"/>
    <n v="-1"/>
    <n v="56"/>
    <n v="55"/>
    <n v="25"/>
    <n v="27"/>
    <x v="16"/>
    <n v="19"/>
    <n v="7"/>
    <n v="54"/>
    <n v="0.70000000000000007"/>
    <n v="0"/>
    <n v="0"/>
  </r>
  <r>
    <x v="2058"/>
    <n v="7"/>
    <n v="54"/>
    <n v="61"/>
    <n v="19"/>
    <n v="17"/>
    <x v="32"/>
    <n v="25"/>
    <n v="-1"/>
    <n v="56"/>
    <n v="0"/>
    <n v="1"/>
    <n v="1"/>
  </r>
  <r>
    <x v="2059"/>
    <n v="-1"/>
    <n v="56"/>
    <n v="55"/>
    <n v="25"/>
    <n v="12"/>
    <x v="30"/>
    <n v="12"/>
    <n v="-1"/>
    <n v="69"/>
    <n v="0"/>
    <n v="1"/>
    <n v="1"/>
  </r>
  <r>
    <x v="2060"/>
    <n v="-1"/>
    <n v="69"/>
    <n v="68"/>
    <n v="12"/>
    <n v="25"/>
    <x v="32"/>
    <n v="18"/>
    <n v="6"/>
    <n v="56"/>
    <n v="0.60000000000000009"/>
    <n v="0"/>
    <n v="0"/>
  </r>
  <r>
    <x v="2061"/>
    <n v="6"/>
    <n v="56"/>
    <n v="62"/>
    <n v="18"/>
    <n v="19"/>
    <x v="27"/>
    <n v="23"/>
    <n v="2"/>
    <n v="55"/>
    <n v="0.2"/>
    <n v="0"/>
    <n v="0"/>
  </r>
  <r>
    <x v="2062"/>
    <n v="2"/>
    <n v="55"/>
    <n v="57"/>
    <n v="23"/>
    <n v="25"/>
    <x v="12"/>
    <n v="24"/>
    <n v="3"/>
    <n v="53"/>
    <n v="0.30000000000000004"/>
    <n v="0"/>
    <n v="0"/>
  </r>
  <r>
    <x v="2063"/>
    <n v="3"/>
    <n v="53"/>
    <n v="56"/>
    <n v="24"/>
    <n v="12"/>
    <x v="26"/>
    <n v="21"/>
    <n v="-6"/>
    <n v="65"/>
    <n v="0"/>
    <n v="1"/>
    <n v="6"/>
  </r>
  <r>
    <x v="2064"/>
    <n v="-6"/>
    <n v="65"/>
    <n v="59"/>
    <n v="21"/>
    <n v="18"/>
    <x v="17"/>
    <n v="20"/>
    <n v="-8"/>
    <n v="68"/>
    <n v="0"/>
    <n v="1"/>
    <n v="8"/>
  </r>
  <r>
    <x v="2065"/>
    <n v="-8"/>
    <n v="68"/>
    <n v="60"/>
    <n v="20"/>
    <n v="23"/>
    <x v="26"/>
    <n v="19"/>
    <n v="-4"/>
    <n v="65"/>
    <n v="0"/>
    <n v="1"/>
    <n v="4"/>
  </r>
  <r>
    <x v="2066"/>
    <n v="-4"/>
    <n v="65"/>
    <n v="61"/>
    <n v="19"/>
    <n v="24"/>
    <x v="4"/>
    <n v="22"/>
    <n v="-2"/>
    <n v="60"/>
    <n v="0"/>
    <n v="1"/>
    <n v="2"/>
  </r>
  <r>
    <x v="2067"/>
    <n v="-2"/>
    <n v="60"/>
    <n v="58"/>
    <n v="22"/>
    <n v="21"/>
    <x v="23"/>
    <n v="26"/>
    <n v="-7"/>
    <n v="61"/>
    <n v="0"/>
    <n v="1"/>
    <n v="7"/>
  </r>
  <r>
    <x v="2068"/>
    <n v="-7"/>
    <n v="61"/>
    <n v="54"/>
    <n v="26"/>
    <n v="20"/>
    <x v="21"/>
    <n v="21"/>
    <n v="-8"/>
    <n v="67"/>
    <n v="0"/>
    <n v="1"/>
    <n v="8"/>
  </r>
  <r>
    <x v="2069"/>
    <n v="-8"/>
    <n v="67"/>
    <n v="59"/>
    <n v="21"/>
    <n v="19"/>
    <x v="30"/>
    <n v="15"/>
    <n v="-4"/>
    <n v="69"/>
    <n v="0"/>
    <n v="1"/>
    <n v="4"/>
  </r>
  <r>
    <x v="2070"/>
    <n v="-4"/>
    <n v="69"/>
    <n v="65"/>
    <n v="15"/>
    <n v="22"/>
    <x v="33"/>
    <n v="19"/>
    <n v="-1"/>
    <n v="62"/>
    <n v="0"/>
    <n v="1"/>
    <n v="1"/>
  </r>
  <r>
    <x v="2071"/>
    <n v="-1"/>
    <n v="62"/>
    <n v="61"/>
    <n v="19"/>
    <n v="26"/>
    <x v="27"/>
    <n v="23"/>
    <n v="2"/>
    <n v="55"/>
    <n v="0.2"/>
    <n v="0"/>
    <n v="0"/>
  </r>
  <r>
    <x v="2072"/>
    <n v="2"/>
    <n v="55"/>
    <n v="57"/>
    <n v="23"/>
    <n v="21"/>
    <x v="24"/>
    <n v="15"/>
    <n v="8"/>
    <n v="57"/>
    <n v="0.8"/>
    <n v="0"/>
    <n v="0"/>
  </r>
  <r>
    <x v="2073"/>
    <n v="8"/>
    <n v="57"/>
    <n v="65"/>
    <n v="15"/>
    <n v="15"/>
    <x v="24"/>
    <n v="21"/>
    <n v="2"/>
    <n v="57"/>
    <n v="0.2"/>
    <n v="0"/>
    <n v="0"/>
  </r>
  <r>
    <x v="2074"/>
    <n v="2"/>
    <n v="57"/>
    <n v="59"/>
    <n v="21"/>
    <n v="19"/>
    <x v="5"/>
    <n v="22"/>
    <n v="-1"/>
    <n v="59"/>
    <n v="0"/>
    <n v="1"/>
    <n v="1"/>
  </r>
  <r>
    <x v="2075"/>
    <n v="-1"/>
    <n v="59"/>
    <n v="58"/>
    <n v="22"/>
    <n v="23"/>
    <x v="28"/>
    <n v="16"/>
    <n v="6"/>
    <n v="58"/>
    <n v="0.60000000000000009"/>
    <n v="0"/>
    <n v="0"/>
  </r>
  <r>
    <x v="2076"/>
    <n v="6"/>
    <n v="58"/>
    <n v="64"/>
    <n v="16"/>
    <n v="15"/>
    <x v="5"/>
    <n v="22"/>
    <n v="-1"/>
    <n v="59"/>
    <n v="0"/>
    <n v="1"/>
    <n v="1"/>
  </r>
  <r>
    <x v="2077"/>
    <n v="-1"/>
    <n v="59"/>
    <n v="58"/>
    <n v="22"/>
    <n v="21"/>
    <x v="4"/>
    <n v="19"/>
    <n v="1"/>
    <n v="60"/>
    <n v="0.1"/>
    <n v="0"/>
    <n v="0"/>
  </r>
  <r>
    <x v="2078"/>
    <n v="1"/>
    <n v="60"/>
    <n v="61"/>
    <n v="19"/>
    <n v="22"/>
    <x v="24"/>
    <n v="21"/>
    <n v="2"/>
    <n v="57"/>
    <n v="0.2"/>
    <n v="0"/>
    <n v="0"/>
  </r>
  <r>
    <x v="2079"/>
    <n v="2"/>
    <n v="57"/>
    <n v="59"/>
    <n v="21"/>
    <n v="16"/>
    <x v="33"/>
    <n v="22"/>
    <n v="-4"/>
    <n v="62"/>
    <n v="0"/>
    <n v="1"/>
    <n v="4"/>
  </r>
  <r>
    <x v="2080"/>
    <n v="-4"/>
    <n v="62"/>
    <n v="58"/>
    <n v="22"/>
    <n v="22"/>
    <x v="33"/>
    <n v="17"/>
    <n v="1"/>
    <n v="62"/>
    <n v="0.1"/>
    <n v="0"/>
    <n v="0"/>
  </r>
  <r>
    <x v="2081"/>
    <n v="1"/>
    <n v="62"/>
    <n v="63"/>
    <n v="17"/>
    <n v="19"/>
    <x v="4"/>
    <n v="11"/>
    <n v="9"/>
    <n v="60"/>
    <n v="0.9"/>
    <n v="0"/>
    <n v="0"/>
  </r>
  <r>
    <x v="2082"/>
    <n v="9"/>
    <n v="60"/>
    <n v="69"/>
    <n v="11"/>
    <n v="21"/>
    <x v="13"/>
    <n v="20"/>
    <n v="10"/>
    <n v="50"/>
    <n v="1"/>
    <n v="0"/>
    <n v="0"/>
  </r>
  <r>
    <x v="2083"/>
    <n v="10"/>
    <n v="50"/>
    <n v="60"/>
    <n v="20"/>
    <n v="22"/>
    <x v="15"/>
    <n v="23"/>
    <n v="9"/>
    <n v="48"/>
    <n v="0.9"/>
    <n v="0"/>
    <n v="0"/>
  </r>
  <r>
    <x v="2084"/>
    <n v="9"/>
    <n v="48"/>
    <n v="57"/>
    <n v="23"/>
    <n v="17"/>
    <x v="16"/>
    <n v="24"/>
    <n v="2"/>
    <n v="54"/>
    <n v="0.2"/>
    <n v="0"/>
    <n v="0"/>
  </r>
  <r>
    <x v="2085"/>
    <n v="2"/>
    <n v="54"/>
    <n v="56"/>
    <n v="24"/>
    <n v="11"/>
    <x v="21"/>
    <n v="25"/>
    <n v="-12"/>
    <n v="67"/>
    <n v="0"/>
    <n v="1"/>
    <n v="12"/>
  </r>
  <r>
    <x v="2086"/>
    <n v="-12"/>
    <n v="67"/>
    <n v="55"/>
    <n v="25"/>
    <n v="20"/>
    <x v="29"/>
    <n v="24"/>
    <n v="-16"/>
    <n v="72"/>
    <n v="0"/>
    <n v="1"/>
    <n v="16"/>
  </r>
  <r>
    <x v="2087"/>
    <n v="-16"/>
    <n v="72"/>
    <n v="56"/>
    <n v="24"/>
    <n v="23"/>
    <x v="31"/>
    <n v="21"/>
    <n v="-14"/>
    <n v="73"/>
    <n v="0"/>
    <n v="1"/>
    <n v="14"/>
  </r>
  <r>
    <x v="2088"/>
    <n v="-14"/>
    <n v="73"/>
    <n v="59"/>
    <n v="21"/>
    <n v="24"/>
    <x v="6"/>
    <n v="19"/>
    <n v="-9"/>
    <n v="70"/>
    <n v="0"/>
    <n v="1"/>
    <n v="9"/>
  </r>
  <r>
    <x v="2089"/>
    <n v="-9"/>
    <n v="70"/>
    <n v="61"/>
    <n v="19"/>
    <n v="25"/>
    <x v="8"/>
    <n v="23"/>
    <n v="-7"/>
    <n v="64"/>
    <n v="0"/>
    <n v="1"/>
    <n v="7"/>
  </r>
  <r>
    <x v="2090"/>
    <n v="-7"/>
    <n v="64"/>
    <n v="57"/>
    <n v="23"/>
    <n v="24"/>
    <x v="22"/>
    <n v="23"/>
    <n v="-6"/>
    <n v="63"/>
    <n v="0"/>
    <n v="1"/>
    <n v="6"/>
  </r>
  <r>
    <x v="2091"/>
    <n v="-6"/>
    <n v="63"/>
    <n v="57"/>
    <n v="23"/>
    <n v="21"/>
    <x v="26"/>
    <n v="18"/>
    <n v="-3"/>
    <n v="65"/>
    <n v="0"/>
    <n v="1"/>
    <n v="3"/>
  </r>
  <r>
    <x v="2092"/>
    <n v="-3"/>
    <n v="65"/>
    <n v="62"/>
    <n v="18"/>
    <n v="19"/>
    <x v="8"/>
    <n v="19"/>
    <n v="-3"/>
    <n v="64"/>
    <n v="0"/>
    <n v="1"/>
    <n v="3"/>
  </r>
  <r>
    <x v="2093"/>
    <n v="-3"/>
    <n v="64"/>
    <n v="61"/>
    <n v="19"/>
    <n v="23"/>
    <x v="4"/>
    <n v="21"/>
    <n v="-1"/>
    <n v="60"/>
    <n v="0"/>
    <n v="1"/>
    <n v="1"/>
  </r>
  <r>
    <x v="2094"/>
    <n v="-1"/>
    <n v="60"/>
    <n v="59"/>
    <n v="21"/>
    <n v="23"/>
    <x v="28"/>
    <n v="23"/>
    <n v="-1"/>
    <n v="58"/>
    <n v="0"/>
    <n v="1"/>
    <n v="1"/>
  </r>
  <r>
    <x v="2095"/>
    <n v="-1"/>
    <n v="58"/>
    <n v="57"/>
    <n v="23"/>
    <n v="18"/>
    <x v="22"/>
    <n v="11"/>
    <n v="6"/>
    <n v="63"/>
    <n v="0.60000000000000009"/>
    <n v="0"/>
    <n v="0"/>
  </r>
  <r>
    <x v="2096"/>
    <n v="6"/>
    <n v="63"/>
    <n v="69"/>
    <n v="11"/>
    <n v="19"/>
    <x v="27"/>
    <n v="19"/>
    <n v="6"/>
    <n v="55"/>
    <n v="0.60000000000000009"/>
    <n v="0"/>
    <n v="0"/>
  </r>
  <r>
    <x v="2097"/>
    <n v="6"/>
    <n v="55"/>
    <n v="61"/>
    <n v="19"/>
    <n v="21"/>
    <x v="12"/>
    <n v="23"/>
    <n v="4"/>
    <n v="53"/>
    <n v="0.4"/>
    <n v="0"/>
    <n v="0"/>
  </r>
  <r>
    <x v="2098"/>
    <n v="4"/>
    <n v="53"/>
    <n v="57"/>
    <n v="23"/>
    <n v="23"/>
    <x v="12"/>
    <n v="17"/>
    <n v="10"/>
    <n v="53"/>
    <n v="1"/>
    <n v="0"/>
    <n v="0"/>
  </r>
  <r>
    <x v="2099"/>
    <n v="10"/>
    <n v="53"/>
    <n v="63"/>
    <n v="17"/>
    <n v="11"/>
    <x v="5"/>
    <n v="20"/>
    <n v="1"/>
    <n v="59"/>
    <n v="0.1"/>
    <n v="0"/>
    <n v="0"/>
  </r>
  <r>
    <x v="2100"/>
    <n v="1"/>
    <n v="59"/>
    <n v="60"/>
    <n v="20"/>
    <n v="19"/>
    <x v="4"/>
    <n v="21"/>
    <n v="-1"/>
    <n v="60"/>
    <n v="0"/>
    <n v="1"/>
    <n v="1"/>
  </r>
  <r>
    <x v="2101"/>
    <n v="-1"/>
    <n v="60"/>
    <n v="59"/>
    <n v="21"/>
    <n v="23"/>
    <x v="28"/>
    <n v="20"/>
    <n v="2"/>
    <n v="58"/>
    <n v="0.2"/>
    <n v="0"/>
    <n v="0"/>
  </r>
  <r>
    <x v="2102"/>
    <n v="2"/>
    <n v="58"/>
    <n v="60"/>
    <n v="20"/>
    <n v="17"/>
    <x v="23"/>
    <n v="18"/>
    <n v="1"/>
    <n v="61"/>
    <n v="0.1"/>
    <n v="0"/>
    <n v="0"/>
  </r>
  <r>
    <x v="2103"/>
    <n v="1"/>
    <n v="61"/>
    <n v="62"/>
    <n v="18"/>
    <n v="20"/>
    <x v="5"/>
    <n v="19"/>
    <n v="2"/>
    <n v="59"/>
    <n v="0.2"/>
    <n v="0"/>
    <n v="0"/>
  </r>
  <r>
    <x v="2104"/>
    <n v="2"/>
    <n v="59"/>
    <n v="61"/>
    <n v="19"/>
    <n v="21"/>
    <x v="24"/>
    <n v="17"/>
    <n v="6"/>
    <n v="57"/>
    <n v="0.60000000000000009"/>
    <n v="0"/>
    <n v="0"/>
  </r>
  <r>
    <x v="2105"/>
    <n v="6"/>
    <n v="57"/>
    <n v="63"/>
    <n v="17"/>
    <n v="20"/>
    <x v="16"/>
    <n v="27"/>
    <n v="-1"/>
    <n v="54"/>
    <n v="0"/>
    <n v="1"/>
    <n v="1"/>
  </r>
  <r>
    <x v="2106"/>
    <n v="-1"/>
    <n v="54"/>
    <n v="53"/>
    <n v="27"/>
    <n v="18"/>
    <x v="22"/>
    <n v="32"/>
    <n v="-15"/>
    <n v="63"/>
    <n v="0"/>
    <n v="1"/>
    <n v="15"/>
  </r>
  <r>
    <x v="2107"/>
    <n v="-15"/>
    <n v="63"/>
    <n v="48"/>
    <n v="32"/>
    <n v="19"/>
    <x v="37"/>
    <n v="15"/>
    <n v="-11"/>
    <n v="76"/>
    <n v="0"/>
    <n v="1"/>
    <n v="11"/>
  </r>
  <r>
    <x v="2108"/>
    <n v="-11"/>
    <n v="76"/>
    <n v="65"/>
    <n v="15"/>
    <n v="17"/>
    <x v="39"/>
    <n v="20"/>
    <n v="-14"/>
    <n v="74"/>
    <n v="0"/>
    <n v="1"/>
    <n v="14"/>
  </r>
  <r>
    <x v="2109"/>
    <n v="-14"/>
    <n v="74"/>
    <n v="60"/>
    <n v="20"/>
    <n v="27"/>
    <x v="21"/>
    <n v="23"/>
    <n v="-10"/>
    <n v="67"/>
    <n v="0"/>
    <n v="1"/>
    <n v="10"/>
  </r>
  <r>
    <x v="2110"/>
    <n v="-10"/>
    <n v="67"/>
    <n v="57"/>
    <n v="23"/>
    <n v="32"/>
    <x v="28"/>
    <n v="20"/>
    <n v="2"/>
    <n v="58"/>
    <n v="0.2"/>
    <n v="0"/>
    <n v="0"/>
  </r>
  <r>
    <x v="2111"/>
    <n v="2"/>
    <n v="58"/>
    <n v="60"/>
    <n v="20"/>
    <n v="15"/>
    <x v="22"/>
    <n v="19"/>
    <n v="-2"/>
    <n v="63"/>
    <n v="0"/>
    <n v="1"/>
    <n v="2"/>
  </r>
  <r>
    <x v="2112"/>
    <n v="-2"/>
    <n v="63"/>
    <n v="61"/>
    <n v="19"/>
    <n v="20"/>
    <x v="33"/>
    <n v="28"/>
    <n v="-10"/>
    <n v="62"/>
    <n v="0"/>
    <n v="1"/>
    <n v="10"/>
  </r>
  <r>
    <x v="2113"/>
    <n v="-10"/>
    <n v="62"/>
    <n v="52"/>
    <n v="28"/>
    <n v="23"/>
    <x v="21"/>
    <n v="19"/>
    <n v="-6"/>
    <n v="67"/>
    <n v="0"/>
    <n v="1"/>
    <n v="6"/>
  </r>
  <r>
    <x v="2114"/>
    <n v="-6"/>
    <n v="67"/>
    <n v="61"/>
    <n v="19"/>
    <n v="20"/>
    <x v="7"/>
    <n v="18"/>
    <n v="-4"/>
    <n v="66"/>
    <n v="0"/>
    <n v="1"/>
    <n v="4"/>
  </r>
  <r>
    <x v="2115"/>
    <n v="-4"/>
    <n v="66"/>
    <n v="62"/>
    <n v="18"/>
    <n v="19"/>
    <x v="26"/>
    <n v="25"/>
    <n v="-10"/>
    <n v="65"/>
    <n v="0"/>
    <n v="1"/>
    <n v="10"/>
  </r>
  <r>
    <x v="2116"/>
    <n v="-10"/>
    <n v="65"/>
    <n v="55"/>
    <n v="25"/>
    <n v="28"/>
    <x v="33"/>
    <n v="15"/>
    <n v="3"/>
    <n v="62"/>
    <n v="0.30000000000000004"/>
    <n v="0"/>
    <n v="0"/>
  </r>
  <r>
    <x v="2117"/>
    <n v="3"/>
    <n v="62"/>
    <n v="65"/>
    <n v="15"/>
    <n v="19"/>
    <x v="28"/>
    <n v="26"/>
    <n v="-4"/>
    <n v="58"/>
    <n v="0"/>
    <n v="1"/>
    <n v="4"/>
  </r>
  <r>
    <x v="2118"/>
    <n v="-4"/>
    <n v="58"/>
    <n v="54"/>
    <n v="26"/>
    <n v="18"/>
    <x v="7"/>
    <n v="23"/>
    <n v="-9"/>
    <n v="66"/>
    <n v="0"/>
    <n v="1"/>
    <n v="9"/>
  </r>
  <r>
    <x v="2119"/>
    <n v="-9"/>
    <n v="66"/>
    <n v="57"/>
    <n v="23"/>
    <n v="25"/>
    <x v="8"/>
    <n v="19"/>
    <n v="-3"/>
    <n v="64"/>
    <n v="0"/>
    <n v="1"/>
    <n v="3"/>
  </r>
  <r>
    <x v="2120"/>
    <n v="-3"/>
    <n v="64"/>
    <n v="61"/>
    <n v="19"/>
    <n v="15"/>
    <x v="17"/>
    <n v="20"/>
    <n v="-8"/>
    <n v="68"/>
    <n v="0"/>
    <n v="1"/>
    <n v="8"/>
  </r>
  <r>
    <x v="2121"/>
    <n v="-8"/>
    <n v="68"/>
    <n v="60"/>
    <n v="20"/>
    <n v="26"/>
    <x v="33"/>
    <n v="17"/>
    <n v="1"/>
    <n v="62"/>
    <n v="0.1"/>
    <n v="0"/>
    <n v="0"/>
  </r>
  <r>
    <x v="2122"/>
    <n v="1"/>
    <n v="62"/>
    <n v="63"/>
    <n v="17"/>
    <n v="23"/>
    <x v="32"/>
    <n v="15"/>
    <n v="9"/>
    <n v="56"/>
    <n v="0.9"/>
    <n v="0"/>
    <n v="0"/>
  </r>
  <r>
    <x v="2123"/>
    <n v="9"/>
    <n v="56"/>
    <n v="65"/>
    <n v="15"/>
    <n v="19"/>
    <x v="25"/>
    <n v="23"/>
    <n v="5"/>
    <n v="52"/>
    <n v="0.5"/>
    <n v="0"/>
    <n v="0"/>
  </r>
  <r>
    <x v="2124"/>
    <n v="5"/>
    <n v="52"/>
    <n v="57"/>
    <n v="23"/>
    <n v="20"/>
    <x v="27"/>
    <n v="21"/>
    <n v="4"/>
    <n v="55"/>
    <n v="0.4"/>
    <n v="0"/>
    <n v="0"/>
  </r>
  <r>
    <x v="2125"/>
    <n v="4"/>
    <n v="55"/>
    <n v="59"/>
    <n v="21"/>
    <n v="17"/>
    <x v="5"/>
    <n v="15"/>
    <n v="6"/>
    <n v="59"/>
    <n v="0.60000000000000009"/>
    <n v="0"/>
    <n v="0"/>
  </r>
  <r>
    <x v="2126"/>
    <n v="6"/>
    <n v="59"/>
    <n v="65"/>
    <n v="15"/>
    <n v="15"/>
    <x v="5"/>
    <n v="20"/>
    <n v="1"/>
    <n v="59"/>
    <n v="0.1"/>
    <n v="0"/>
    <n v="0"/>
  </r>
  <r>
    <x v="2127"/>
    <n v="1"/>
    <n v="59"/>
    <n v="60"/>
    <n v="20"/>
    <n v="23"/>
    <x v="32"/>
    <n v="18"/>
    <n v="6"/>
    <n v="56"/>
    <n v="0.60000000000000009"/>
    <n v="0"/>
    <n v="0"/>
  </r>
  <r>
    <x v="2128"/>
    <n v="6"/>
    <n v="56"/>
    <n v="62"/>
    <n v="18"/>
    <n v="21"/>
    <x v="12"/>
    <n v="13"/>
    <n v="14"/>
    <n v="53"/>
    <n v="1.4000000000000001"/>
    <n v="0"/>
    <n v="0"/>
  </r>
  <r>
    <x v="2129"/>
    <n v="14"/>
    <n v="53"/>
    <n v="67"/>
    <n v="13"/>
    <n v="15"/>
    <x v="9"/>
    <n v="24"/>
    <n v="5"/>
    <n v="51"/>
    <n v="0.5"/>
    <n v="0"/>
    <n v="0"/>
  </r>
  <r>
    <x v="2130"/>
    <n v="5"/>
    <n v="51"/>
    <n v="56"/>
    <n v="24"/>
    <n v="20"/>
    <x v="27"/>
    <n v="13"/>
    <n v="12"/>
    <n v="55"/>
    <n v="1.2000000000000002"/>
    <n v="0"/>
    <n v="0"/>
  </r>
  <r>
    <x v="2131"/>
    <n v="12"/>
    <n v="55"/>
    <n v="67"/>
    <n v="13"/>
    <n v="18"/>
    <x v="13"/>
    <n v="16"/>
    <n v="14"/>
    <n v="50"/>
    <n v="1.4000000000000001"/>
    <n v="0"/>
    <n v="0"/>
  </r>
  <r>
    <x v="2132"/>
    <n v="14"/>
    <n v="50"/>
    <n v="64"/>
    <n v="16"/>
    <n v="13"/>
    <x v="12"/>
    <n v="21"/>
    <n v="6"/>
    <n v="53"/>
    <n v="0.60000000000000009"/>
    <n v="0"/>
    <n v="0"/>
  </r>
  <r>
    <x v="2133"/>
    <n v="6"/>
    <n v="53"/>
    <n v="59"/>
    <n v="21"/>
    <n v="24"/>
    <x v="13"/>
    <n v="19"/>
    <n v="11"/>
    <n v="50"/>
    <n v="1.1000000000000001"/>
    <n v="0"/>
    <n v="0"/>
  </r>
  <r>
    <x v="2134"/>
    <n v="11"/>
    <n v="50"/>
    <n v="61"/>
    <n v="19"/>
    <n v="13"/>
    <x v="32"/>
    <n v="19"/>
    <n v="5"/>
    <n v="56"/>
    <n v="0.5"/>
    <n v="0"/>
    <n v="0"/>
  </r>
  <r>
    <x v="2135"/>
    <n v="5"/>
    <n v="56"/>
    <n v="61"/>
    <n v="19"/>
    <n v="16"/>
    <x v="5"/>
    <n v="27"/>
    <n v="-6"/>
    <n v="59"/>
    <n v="0"/>
    <n v="1"/>
    <n v="6"/>
  </r>
  <r>
    <x v="2136"/>
    <n v="-6"/>
    <n v="59"/>
    <n v="53"/>
    <n v="27"/>
    <n v="21"/>
    <x v="26"/>
    <n v="19"/>
    <n v="-4"/>
    <n v="65"/>
    <n v="0"/>
    <n v="1"/>
    <n v="4"/>
  </r>
  <r>
    <x v="2137"/>
    <n v="-4"/>
    <n v="65"/>
    <n v="61"/>
    <n v="19"/>
    <n v="19"/>
    <x v="26"/>
    <n v="21"/>
    <n v="-6"/>
    <n v="65"/>
    <n v="0"/>
    <n v="1"/>
    <n v="6"/>
  </r>
  <r>
    <x v="2138"/>
    <n v="-6"/>
    <n v="65"/>
    <n v="59"/>
    <n v="21"/>
    <n v="19"/>
    <x v="21"/>
    <n v="29"/>
    <n v="-16"/>
    <n v="67"/>
    <n v="0"/>
    <n v="1"/>
    <n v="16"/>
  </r>
  <r>
    <x v="2139"/>
    <n v="-16"/>
    <n v="67"/>
    <n v="51"/>
    <n v="29"/>
    <n v="27"/>
    <x v="30"/>
    <n v="17"/>
    <n v="-6"/>
    <n v="69"/>
    <n v="0"/>
    <n v="1"/>
    <n v="6"/>
  </r>
  <r>
    <x v="2140"/>
    <n v="-6"/>
    <n v="69"/>
    <n v="63"/>
    <n v="17"/>
    <n v="19"/>
    <x v="21"/>
    <n v="21"/>
    <n v="-8"/>
    <n v="67"/>
    <n v="0"/>
    <n v="1"/>
    <n v="8"/>
  </r>
  <r>
    <x v="2141"/>
    <n v="-8"/>
    <n v="67"/>
    <n v="59"/>
    <n v="21"/>
    <n v="21"/>
    <x v="21"/>
    <n v="16"/>
    <n v="-3"/>
    <n v="67"/>
    <n v="0"/>
    <n v="1"/>
    <n v="3"/>
  </r>
  <r>
    <x v="2142"/>
    <n v="-3"/>
    <n v="67"/>
    <n v="64"/>
    <n v="16"/>
    <n v="29"/>
    <x v="16"/>
    <n v="22"/>
    <n v="4"/>
    <n v="54"/>
    <n v="0.4"/>
    <n v="0"/>
    <n v="0"/>
  </r>
  <r>
    <x v="2143"/>
    <n v="4"/>
    <n v="54"/>
    <n v="58"/>
    <n v="22"/>
    <n v="17"/>
    <x v="5"/>
    <n v="24"/>
    <n v="-3"/>
    <n v="59"/>
    <n v="0"/>
    <n v="1"/>
    <n v="3"/>
  </r>
  <r>
    <x v="2144"/>
    <n v="-3"/>
    <n v="59"/>
    <n v="56"/>
    <n v="24"/>
    <n v="21"/>
    <x v="33"/>
    <n v="19"/>
    <n v="-1"/>
    <n v="62"/>
    <n v="0"/>
    <n v="1"/>
    <n v="1"/>
  </r>
  <r>
    <x v="2145"/>
    <n v="-1"/>
    <n v="62"/>
    <n v="61"/>
    <n v="19"/>
    <n v="16"/>
    <x v="26"/>
    <n v="24"/>
    <n v="-9"/>
    <n v="65"/>
    <n v="0"/>
    <n v="1"/>
    <n v="9"/>
  </r>
  <r>
    <x v="2146"/>
    <n v="-9"/>
    <n v="65"/>
    <n v="56"/>
    <n v="24"/>
    <n v="22"/>
    <x v="21"/>
    <n v="16"/>
    <n v="-3"/>
    <n v="67"/>
    <n v="0"/>
    <n v="1"/>
    <n v="3"/>
  </r>
  <r>
    <x v="2147"/>
    <n v="-3"/>
    <n v="67"/>
    <n v="64"/>
    <n v="16"/>
    <n v="24"/>
    <x v="5"/>
    <n v="18"/>
    <n v="3"/>
    <n v="59"/>
    <n v="0.30000000000000004"/>
    <n v="0"/>
    <n v="0"/>
  </r>
  <r>
    <x v="2148"/>
    <n v="3"/>
    <n v="59"/>
    <n v="62"/>
    <n v="18"/>
    <n v="19"/>
    <x v="28"/>
    <n v="21"/>
    <n v="1"/>
    <n v="58"/>
    <n v="0.1"/>
    <n v="0"/>
    <n v="0"/>
  </r>
  <r>
    <x v="2149"/>
    <n v="1"/>
    <n v="58"/>
    <n v="59"/>
    <n v="21"/>
    <n v="24"/>
    <x v="27"/>
    <n v="20"/>
    <n v="5"/>
    <n v="55"/>
    <n v="0.5"/>
    <n v="0"/>
    <n v="0"/>
  </r>
  <r>
    <x v="2150"/>
    <n v="5"/>
    <n v="55"/>
    <n v="60"/>
    <n v="20"/>
    <n v="16"/>
    <x v="5"/>
    <n v="20"/>
    <n v="1"/>
    <n v="59"/>
    <n v="0.1"/>
    <n v="0"/>
    <n v="0"/>
  </r>
  <r>
    <x v="2151"/>
    <n v="1"/>
    <n v="59"/>
    <n v="60"/>
    <n v="20"/>
    <n v="18"/>
    <x v="23"/>
    <n v="22"/>
    <n v="-3"/>
    <n v="61"/>
    <n v="0"/>
    <n v="1"/>
    <n v="3"/>
  </r>
  <r>
    <x v="2152"/>
    <n v="-3"/>
    <n v="61"/>
    <n v="58"/>
    <n v="22"/>
    <n v="21"/>
    <x v="33"/>
    <n v="17"/>
    <n v="1"/>
    <n v="62"/>
    <n v="0.1"/>
    <n v="0"/>
    <n v="0"/>
  </r>
  <r>
    <x v="2153"/>
    <n v="1"/>
    <n v="62"/>
    <n v="63"/>
    <n v="17"/>
    <n v="20"/>
    <x v="5"/>
    <n v="24"/>
    <n v="-3"/>
    <n v="59"/>
    <n v="0"/>
    <n v="1"/>
    <n v="3"/>
  </r>
  <r>
    <x v="2154"/>
    <n v="-3"/>
    <n v="59"/>
    <n v="56"/>
    <n v="24"/>
    <n v="20"/>
    <x v="22"/>
    <n v="28"/>
    <n v="-11"/>
    <n v="63"/>
    <n v="0"/>
    <n v="1"/>
    <n v="11"/>
  </r>
  <r>
    <x v="2155"/>
    <n v="-11"/>
    <n v="63"/>
    <n v="52"/>
    <n v="28"/>
    <n v="22"/>
    <x v="30"/>
    <n v="20"/>
    <n v="-9"/>
    <n v="69"/>
    <n v="0"/>
    <n v="1"/>
    <n v="9"/>
  </r>
  <r>
    <x v="2156"/>
    <n v="-9"/>
    <n v="69"/>
    <n v="60"/>
    <n v="20"/>
    <n v="17"/>
    <x v="29"/>
    <n v="27"/>
    <n v="-19"/>
    <n v="72"/>
    <n v="0"/>
    <n v="1"/>
    <n v="19"/>
  </r>
  <r>
    <x v="2157"/>
    <n v="-19"/>
    <n v="72"/>
    <n v="53"/>
    <n v="27"/>
    <n v="24"/>
    <x v="44"/>
    <n v="19"/>
    <n v="-14"/>
    <n v="75"/>
    <n v="0"/>
    <n v="1"/>
    <n v="14"/>
  </r>
  <r>
    <x v="2158"/>
    <n v="-14"/>
    <n v="75"/>
    <n v="61"/>
    <n v="19"/>
    <n v="28"/>
    <x v="7"/>
    <n v="22"/>
    <n v="-8"/>
    <n v="66"/>
    <n v="0"/>
    <n v="1"/>
    <n v="8"/>
  </r>
  <r>
    <x v="2159"/>
    <n v="-8"/>
    <n v="66"/>
    <n v="58"/>
    <n v="22"/>
    <n v="20"/>
    <x v="17"/>
    <n v="29"/>
    <n v="-17"/>
    <n v="68"/>
    <n v="0"/>
    <n v="1"/>
    <n v="17"/>
  </r>
  <r>
    <x v="2160"/>
    <n v="-17"/>
    <n v="68"/>
    <n v="51"/>
    <n v="29"/>
    <n v="27"/>
    <x v="6"/>
    <n v="26"/>
    <n v="-16"/>
    <n v="70"/>
    <n v="0"/>
    <n v="1"/>
    <n v="16"/>
  </r>
  <r>
    <x v="2161"/>
    <n v="-16"/>
    <n v="70"/>
    <n v="54"/>
    <n v="26"/>
    <n v="19"/>
    <x v="18"/>
    <n v="21"/>
    <n v="-18"/>
    <n v="77"/>
    <n v="0"/>
    <n v="1"/>
    <n v="18"/>
  </r>
  <r>
    <x v="2162"/>
    <n v="-18"/>
    <n v="77"/>
    <n v="59"/>
    <n v="21"/>
    <n v="22"/>
    <x v="37"/>
    <n v="23"/>
    <n v="-19"/>
    <n v="76"/>
    <n v="0"/>
    <n v="1"/>
    <n v="19"/>
  </r>
  <r>
    <x v="2163"/>
    <n v="-19"/>
    <n v="76"/>
    <n v="57"/>
    <n v="23"/>
    <n v="29"/>
    <x v="6"/>
    <n v="21"/>
    <n v="-11"/>
    <n v="70"/>
    <n v="0"/>
    <n v="1"/>
    <n v="11"/>
  </r>
  <r>
    <x v="2164"/>
    <n v="-11"/>
    <n v="70"/>
    <n v="59"/>
    <n v="21"/>
    <n v="26"/>
    <x v="26"/>
    <n v="17"/>
    <n v="-2"/>
    <n v="65"/>
    <n v="0"/>
    <n v="1"/>
    <n v="2"/>
  </r>
  <r>
    <x v="2165"/>
    <n v="-2"/>
    <n v="65"/>
    <n v="63"/>
    <n v="17"/>
    <n v="21"/>
    <x v="23"/>
    <n v="20"/>
    <n v="-1"/>
    <n v="61"/>
    <n v="0"/>
    <n v="1"/>
    <n v="1"/>
  </r>
  <r>
    <x v="2166"/>
    <n v="-1"/>
    <n v="61"/>
    <n v="60"/>
    <n v="20"/>
    <n v="23"/>
    <x v="28"/>
    <n v="15"/>
    <n v="7"/>
    <n v="58"/>
    <n v="0.70000000000000007"/>
    <n v="0"/>
    <n v="0"/>
  </r>
  <r>
    <x v="2167"/>
    <n v="7"/>
    <n v="58"/>
    <n v="65"/>
    <n v="15"/>
    <n v="21"/>
    <x v="25"/>
    <n v="25"/>
    <n v="3"/>
    <n v="52"/>
    <n v="0.30000000000000004"/>
    <n v="0"/>
    <n v="0"/>
  </r>
  <r>
    <x v="2168"/>
    <n v="3"/>
    <n v="52"/>
    <n v="55"/>
    <n v="25"/>
    <n v="17"/>
    <x v="4"/>
    <n v="25"/>
    <n v="-5"/>
    <n v="60"/>
    <n v="0"/>
    <n v="1"/>
    <n v="5"/>
  </r>
  <r>
    <x v="2169"/>
    <n v="-5"/>
    <n v="60"/>
    <n v="55"/>
    <n v="25"/>
    <n v="20"/>
    <x v="26"/>
    <n v="28"/>
    <n v="-13"/>
    <n v="65"/>
    <n v="0"/>
    <n v="1"/>
    <n v="13"/>
  </r>
  <r>
    <x v="2170"/>
    <n v="-13"/>
    <n v="65"/>
    <n v="52"/>
    <n v="28"/>
    <n v="15"/>
    <x v="35"/>
    <n v="23"/>
    <n v="-21"/>
    <n v="78"/>
    <n v="0"/>
    <n v="1"/>
    <n v="21"/>
  </r>
  <r>
    <x v="2171"/>
    <n v="-21"/>
    <n v="78"/>
    <n v="57"/>
    <n v="23"/>
    <n v="25"/>
    <x v="37"/>
    <n v="14"/>
    <n v="-10"/>
    <n v="76"/>
    <n v="0"/>
    <n v="1"/>
    <n v="10"/>
  </r>
  <r>
    <x v="2172"/>
    <n v="-10"/>
    <n v="76"/>
    <n v="66"/>
    <n v="14"/>
    <n v="25"/>
    <x v="26"/>
    <n v="7"/>
    <n v="8"/>
    <n v="65"/>
    <n v="0.8"/>
    <n v="0"/>
    <n v="0"/>
  </r>
  <r>
    <x v="2173"/>
    <n v="8"/>
    <n v="65"/>
    <n v="73"/>
    <n v="7"/>
    <n v="28"/>
    <x v="45"/>
    <n v="27"/>
    <n v="9"/>
    <n v="44"/>
    <n v="0.9"/>
    <n v="0"/>
    <n v="0"/>
  </r>
  <r>
    <x v="2174"/>
    <n v="9"/>
    <n v="44"/>
    <n v="53"/>
    <n v="27"/>
    <n v="23"/>
    <x v="15"/>
    <n v="19"/>
    <n v="13"/>
    <n v="48"/>
    <n v="1.3"/>
    <n v="0"/>
    <n v="0"/>
  </r>
  <r>
    <x v="2175"/>
    <n v="13"/>
    <n v="48"/>
    <n v="61"/>
    <n v="19"/>
    <n v="14"/>
    <x v="12"/>
    <n v="13"/>
    <n v="14"/>
    <n v="53"/>
    <n v="1.4000000000000001"/>
    <n v="0"/>
    <n v="0"/>
  </r>
  <r>
    <x v="2176"/>
    <n v="14"/>
    <n v="53"/>
    <n v="67"/>
    <n v="13"/>
    <n v="7"/>
    <x v="5"/>
    <n v="12"/>
    <n v="9"/>
    <n v="59"/>
    <n v="0.9"/>
    <n v="0"/>
    <n v="0"/>
  </r>
  <r>
    <x v="2177"/>
    <n v="9"/>
    <n v="59"/>
    <n v="68"/>
    <n v="12"/>
    <n v="27"/>
    <x v="45"/>
    <n v="21"/>
    <n v="15"/>
    <n v="44"/>
    <n v="1.5"/>
    <n v="0"/>
    <n v="0"/>
  </r>
  <r>
    <x v="2178"/>
    <n v="15"/>
    <n v="44"/>
    <n v="59"/>
    <n v="21"/>
    <n v="19"/>
    <x v="38"/>
    <n v="25"/>
    <n v="9"/>
    <n v="46"/>
    <n v="0.9"/>
    <n v="0"/>
    <n v="0"/>
  </r>
  <r>
    <x v="2179"/>
    <n v="9"/>
    <n v="46"/>
    <n v="55"/>
    <n v="25"/>
    <n v="13"/>
    <x v="28"/>
    <n v="17"/>
    <n v="5"/>
    <n v="58"/>
    <n v="0.5"/>
    <n v="0"/>
    <n v="0"/>
  </r>
  <r>
    <x v="2180"/>
    <n v="5"/>
    <n v="58"/>
    <n v="63"/>
    <n v="17"/>
    <n v="12"/>
    <x v="22"/>
    <n v="19"/>
    <n v="-2"/>
    <n v="63"/>
    <n v="0"/>
    <n v="1"/>
    <n v="2"/>
  </r>
  <r>
    <x v="2181"/>
    <n v="-2"/>
    <n v="63"/>
    <n v="61"/>
    <n v="19"/>
    <n v="21"/>
    <x v="23"/>
    <n v="17"/>
    <n v="2"/>
    <n v="61"/>
    <n v="0.2"/>
    <n v="0"/>
    <n v="0"/>
  </r>
  <r>
    <x v="2182"/>
    <n v="2"/>
    <n v="61"/>
    <n v="63"/>
    <n v="17"/>
    <n v="25"/>
    <x v="12"/>
    <n v="17"/>
    <n v="10"/>
    <n v="53"/>
    <n v="1"/>
    <n v="0"/>
    <n v="0"/>
  </r>
  <r>
    <x v="2183"/>
    <n v="10"/>
    <n v="53"/>
    <n v="63"/>
    <n v="17"/>
    <n v="17"/>
    <x v="12"/>
    <n v="29"/>
    <n v="-2"/>
    <n v="53"/>
    <n v="0"/>
    <n v="1"/>
    <n v="2"/>
  </r>
  <r>
    <x v="2184"/>
    <n v="-2"/>
    <n v="53"/>
    <n v="51"/>
    <n v="29"/>
    <n v="19"/>
    <x v="22"/>
    <n v="16"/>
    <n v="1"/>
    <n v="63"/>
    <n v="0.1"/>
    <n v="0"/>
    <n v="0"/>
  </r>
  <r>
    <x v="2185"/>
    <n v="1"/>
    <n v="63"/>
    <n v="64"/>
    <n v="16"/>
    <n v="17"/>
    <x v="33"/>
    <n v="21"/>
    <n v="-3"/>
    <n v="62"/>
    <n v="0"/>
    <n v="1"/>
    <n v="3"/>
  </r>
  <r>
    <x v="2186"/>
    <n v="-3"/>
    <n v="62"/>
    <n v="59"/>
    <n v="21"/>
    <n v="17"/>
    <x v="7"/>
    <n v="21"/>
    <n v="-7"/>
    <n v="66"/>
    <n v="0"/>
    <n v="1"/>
    <n v="7"/>
  </r>
  <r>
    <x v="2187"/>
    <n v="-7"/>
    <n v="66"/>
    <n v="59"/>
    <n v="21"/>
    <n v="29"/>
    <x v="28"/>
    <n v="18"/>
    <n v="4"/>
    <n v="58"/>
    <n v="0.4"/>
    <n v="0"/>
    <n v="0"/>
  </r>
  <r>
    <x v="2188"/>
    <n v="4"/>
    <n v="58"/>
    <n v="62"/>
    <n v="18"/>
    <n v="16"/>
    <x v="4"/>
    <n v="15"/>
    <n v="5"/>
    <n v="60"/>
    <n v="0.5"/>
    <n v="0"/>
    <n v="0"/>
  </r>
  <r>
    <x v="2189"/>
    <n v="5"/>
    <n v="60"/>
    <n v="65"/>
    <n v="15"/>
    <n v="21"/>
    <x v="16"/>
    <n v="21"/>
    <n v="5"/>
    <n v="54"/>
    <n v="0.5"/>
    <n v="0"/>
    <n v="0"/>
  </r>
  <r>
    <x v="2190"/>
    <n v="5"/>
    <n v="54"/>
    <n v="59"/>
    <n v="21"/>
    <n v="21"/>
    <x v="16"/>
    <n v="18"/>
    <n v="8"/>
    <n v="54"/>
    <n v="0.8"/>
    <n v="0"/>
    <n v="0"/>
  </r>
  <r>
    <x v="2191"/>
    <n v="8"/>
    <n v="54"/>
    <n v="62"/>
    <n v="18"/>
    <n v="18"/>
    <x v="16"/>
    <n v="27"/>
    <n v="-1"/>
    <n v="54"/>
    <n v="0"/>
    <n v="1"/>
    <n v="1"/>
  </r>
  <r>
    <x v="2192"/>
    <n v="-1"/>
    <n v="54"/>
    <n v="53"/>
    <n v="27"/>
    <n v="15"/>
    <x v="7"/>
    <n v="23"/>
    <n v="-9"/>
    <n v="66"/>
    <n v="0"/>
    <n v="1"/>
    <n v="9"/>
  </r>
  <r>
    <x v="2193"/>
    <n v="-9"/>
    <n v="66"/>
    <n v="57"/>
    <n v="23"/>
    <n v="21"/>
    <x v="17"/>
    <n v="19"/>
    <n v="-7"/>
    <n v="68"/>
    <n v="0"/>
    <n v="1"/>
    <n v="7"/>
  </r>
  <r>
    <x v="2194"/>
    <n v="-7"/>
    <n v="68"/>
    <n v="61"/>
    <n v="19"/>
    <n v="18"/>
    <x v="30"/>
    <n v="21"/>
    <n v="-10"/>
    <n v="69"/>
    <n v="0"/>
    <n v="1"/>
    <n v="10"/>
  </r>
  <r>
    <x v="2195"/>
    <n v="-10"/>
    <n v="69"/>
    <n v="59"/>
    <n v="21"/>
    <n v="27"/>
    <x v="22"/>
    <n v="13"/>
    <n v="4"/>
    <n v="63"/>
    <n v="0.4"/>
    <n v="0"/>
    <n v="0"/>
  </r>
  <r>
    <x v="2196"/>
    <n v="4"/>
    <n v="63"/>
    <n v="67"/>
    <n v="13"/>
    <n v="23"/>
    <x v="12"/>
    <n v="22"/>
    <n v="5"/>
    <n v="53"/>
    <n v="0.5"/>
    <n v="0"/>
    <n v="0"/>
  </r>
  <r>
    <x v="2197"/>
    <n v="5"/>
    <n v="53"/>
    <n v="58"/>
    <n v="22"/>
    <n v="19"/>
    <x v="32"/>
    <n v="16"/>
    <n v="8"/>
    <n v="56"/>
    <n v="0.8"/>
    <n v="0"/>
    <n v="0"/>
  </r>
  <r>
    <x v="2198"/>
    <n v="8"/>
    <n v="56"/>
    <n v="64"/>
    <n v="16"/>
    <n v="21"/>
    <x v="9"/>
    <n v="16"/>
    <n v="13"/>
    <n v="51"/>
    <n v="1.3"/>
    <n v="0"/>
    <n v="0"/>
  </r>
  <r>
    <x v="2199"/>
    <n v="13"/>
    <n v="51"/>
    <n v="64"/>
    <n v="16"/>
    <n v="13"/>
    <x v="16"/>
    <n v="21"/>
    <n v="5"/>
    <n v="54"/>
    <n v="0.5"/>
    <n v="0"/>
    <n v="0"/>
  </r>
  <r>
    <x v="2200"/>
    <n v="5"/>
    <n v="54"/>
    <n v="59"/>
    <n v="21"/>
    <n v="22"/>
    <x v="12"/>
    <n v="28"/>
    <n v="-1"/>
    <n v="53"/>
    <n v="0"/>
    <n v="1"/>
    <n v="1"/>
  </r>
  <r>
    <x v="2201"/>
    <n v="-1"/>
    <n v="53"/>
    <n v="52"/>
    <n v="28"/>
    <n v="16"/>
    <x v="26"/>
    <n v="20"/>
    <n v="-5"/>
    <n v="65"/>
    <n v="0"/>
    <n v="1"/>
    <n v="5"/>
  </r>
  <r>
    <x v="2202"/>
    <n v="-5"/>
    <n v="65"/>
    <n v="60"/>
    <n v="20"/>
    <n v="16"/>
    <x v="30"/>
    <n v="24"/>
    <n v="-13"/>
    <n v="69"/>
    <n v="0"/>
    <n v="1"/>
    <n v="13"/>
  </r>
  <r>
    <x v="2203"/>
    <n v="-13"/>
    <n v="69"/>
    <n v="56"/>
    <n v="24"/>
    <n v="21"/>
    <x v="29"/>
    <n v="21"/>
    <n v="-13"/>
    <n v="72"/>
    <n v="0"/>
    <n v="1"/>
    <n v="13"/>
  </r>
  <r>
    <x v="2204"/>
    <n v="-13"/>
    <n v="72"/>
    <n v="59"/>
    <n v="21"/>
    <n v="28"/>
    <x v="26"/>
    <n v="15"/>
    <n v="0"/>
    <n v="65"/>
    <n v="0"/>
    <n v="0"/>
    <n v="0"/>
  </r>
  <r>
    <x v="2205"/>
    <n v="0"/>
    <n v="65"/>
    <n v="65"/>
    <n v="15"/>
    <n v="20"/>
    <x v="4"/>
    <n v="22"/>
    <n v="-2"/>
    <n v="60"/>
    <n v="0"/>
    <n v="1"/>
    <n v="2"/>
  </r>
  <r>
    <x v="2206"/>
    <n v="-2"/>
    <n v="60"/>
    <n v="58"/>
    <n v="22"/>
    <n v="24"/>
    <x v="28"/>
    <n v="21"/>
    <n v="1"/>
    <n v="58"/>
    <n v="0.1"/>
    <n v="0"/>
    <n v="0"/>
  </r>
  <r>
    <x v="2207"/>
    <n v="1"/>
    <n v="58"/>
    <n v="59"/>
    <n v="21"/>
    <n v="21"/>
    <x v="28"/>
    <n v="17"/>
    <n v="5"/>
    <n v="58"/>
    <n v="0.5"/>
    <n v="0"/>
    <n v="0"/>
  </r>
  <r>
    <x v="2208"/>
    <n v="5"/>
    <n v="58"/>
    <n v="63"/>
    <n v="17"/>
    <n v="15"/>
    <x v="4"/>
    <n v="18"/>
    <n v="2"/>
    <n v="60"/>
    <n v="0.2"/>
    <n v="0"/>
    <n v="0"/>
  </r>
  <r>
    <x v="2209"/>
    <n v="2"/>
    <n v="60"/>
    <n v="62"/>
    <n v="18"/>
    <n v="22"/>
    <x v="32"/>
    <n v="14"/>
    <n v="10"/>
    <n v="56"/>
    <n v="1"/>
    <n v="0"/>
    <n v="0"/>
  </r>
  <r>
    <x v="2210"/>
    <n v="10"/>
    <n v="56"/>
    <n v="66"/>
    <n v="14"/>
    <n v="21"/>
    <x v="10"/>
    <n v="23"/>
    <n v="8"/>
    <n v="49"/>
    <n v="0.8"/>
    <n v="0"/>
    <n v="0"/>
  </r>
  <r>
    <x v="2211"/>
    <n v="8"/>
    <n v="49"/>
    <n v="57"/>
    <n v="23"/>
    <n v="17"/>
    <x v="27"/>
    <n v="16"/>
    <n v="9"/>
    <n v="55"/>
    <n v="0.9"/>
    <n v="0"/>
    <n v="0"/>
  </r>
  <r>
    <x v="2212"/>
    <n v="9"/>
    <n v="55"/>
    <n v="64"/>
    <n v="16"/>
    <n v="18"/>
    <x v="12"/>
    <n v="28"/>
    <n v="-1"/>
    <n v="53"/>
    <n v="0"/>
    <n v="1"/>
    <n v="1"/>
  </r>
  <r>
    <x v="2213"/>
    <n v="-1"/>
    <n v="53"/>
    <n v="52"/>
    <n v="28"/>
    <n v="14"/>
    <x v="21"/>
    <n v="24"/>
    <n v="-11"/>
    <n v="67"/>
    <n v="0"/>
    <n v="1"/>
    <n v="11"/>
  </r>
  <r>
    <x v="2214"/>
    <n v="-11"/>
    <n v="67"/>
    <n v="56"/>
    <n v="24"/>
    <n v="23"/>
    <x v="17"/>
    <n v="17"/>
    <n v="-5"/>
    <n v="68"/>
    <n v="0"/>
    <n v="1"/>
    <n v="5"/>
  </r>
  <r>
    <x v="2215"/>
    <n v="-5"/>
    <n v="68"/>
    <n v="63"/>
    <n v="17"/>
    <n v="16"/>
    <x v="30"/>
    <n v="21"/>
    <n v="-10"/>
    <n v="69"/>
    <n v="0"/>
    <n v="1"/>
    <n v="10"/>
  </r>
  <r>
    <x v="2216"/>
    <n v="-10"/>
    <n v="69"/>
    <n v="59"/>
    <n v="21"/>
    <n v="28"/>
    <x v="33"/>
    <n v="17"/>
    <n v="1"/>
    <n v="62"/>
    <n v="0.1"/>
    <n v="0"/>
    <n v="0"/>
  </r>
  <r>
    <x v="2217"/>
    <n v="1"/>
    <n v="62"/>
    <n v="63"/>
    <n v="17"/>
    <n v="24"/>
    <x v="27"/>
    <n v="17"/>
    <n v="8"/>
    <n v="55"/>
    <n v="0.8"/>
    <n v="0"/>
    <n v="0"/>
  </r>
  <r>
    <x v="2218"/>
    <n v="8"/>
    <n v="55"/>
    <n v="63"/>
    <n v="17"/>
    <n v="17"/>
    <x v="27"/>
    <n v="28"/>
    <n v="-3"/>
    <n v="55"/>
    <n v="0"/>
    <n v="1"/>
    <n v="3"/>
  </r>
  <r>
    <x v="2219"/>
    <n v="-3"/>
    <n v="55"/>
    <n v="52"/>
    <n v="28"/>
    <n v="21"/>
    <x v="33"/>
    <n v="26"/>
    <n v="-8"/>
    <n v="62"/>
    <n v="0"/>
    <n v="1"/>
    <n v="8"/>
  </r>
  <r>
    <x v="2220"/>
    <n v="-8"/>
    <n v="62"/>
    <n v="54"/>
    <n v="26"/>
    <n v="17"/>
    <x v="20"/>
    <n v="22"/>
    <n v="-13"/>
    <n v="71"/>
    <n v="0"/>
    <n v="1"/>
    <n v="13"/>
  </r>
  <r>
    <x v="2221"/>
    <n v="-13"/>
    <n v="71"/>
    <n v="58"/>
    <n v="22"/>
    <n v="17"/>
    <x v="37"/>
    <n v="20"/>
    <n v="-16"/>
    <n v="76"/>
    <n v="0"/>
    <n v="1"/>
    <n v="16"/>
  </r>
  <r>
    <x v="2222"/>
    <n v="-16"/>
    <n v="76"/>
    <n v="60"/>
    <n v="20"/>
    <n v="28"/>
    <x v="17"/>
    <n v="17"/>
    <n v="-5"/>
    <n v="68"/>
    <n v="0"/>
    <n v="1"/>
    <n v="5"/>
  </r>
  <r>
    <x v="2223"/>
    <n v="-5"/>
    <n v="68"/>
    <n v="63"/>
    <n v="17"/>
    <n v="26"/>
    <x v="5"/>
    <n v="16"/>
    <n v="5"/>
    <n v="59"/>
    <n v="0.5"/>
    <n v="0"/>
    <n v="0"/>
  </r>
  <r>
    <x v="2224"/>
    <n v="5"/>
    <n v="59"/>
    <n v="64"/>
    <n v="16"/>
    <n v="22"/>
    <x v="12"/>
    <n v="24"/>
    <n v="3"/>
    <n v="53"/>
    <n v="0.30000000000000004"/>
    <n v="0"/>
    <n v="0"/>
  </r>
  <r>
    <x v="2225"/>
    <n v="3"/>
    <n v="53"/>
    <n v="56"/>
    <n v="24"/>
    <n v="20"/>
    <x v="24"/>
    <n v="20"/>
    <n v="3"/>
    <n v="57"/>
    <n v="0.30000000000000004"/>
    <n v="0"/>
    <n v="0"/>
  </r>
  <r>
    <x v="2226"/>
    <n v="3"/>
    <n v="57"/>
    <n v="60"/>
    <n v="20"/>
    <n v="17"/>
    <x v="4"/>
    <n v="13"/>
    <n v="7"/>
    <n v="60"/>
    <n v="0.70000000000000007"/>
    <n v="0"/>
    <n v="0"/>
  </r>
  <r>
    <x v="2227"/>
    <n v="7"/>
    <n v="60"/>
    <n v="67"/>
    <n v="13"/>
    <n v="16"/>
    <x v="24"/>
    <n v="20"/>
    <n v="3"/>
    <n v="57"/>
    <n v="0.30000000000000004"/>
    <n v="0"/>
    <n v="0"/>
  </r>
  <r>
    <x v="2228"/>
    <n v="3"/>
    <n v="57"/>
    <n v="60"/>
    <n v="20"/>
    <n v="24"/>
    <x v="12"/>
    <n v="19"/>
    <n v="8"/>
    <n v="53"/>
    <n v="0.8"/>
    <n v="0"/>
    <n v="0"/>
  </r>
  <r>
    <x v="2229"/>
    <n v="8"/>
    <n v="53"/>
    <n v="61"/>
    <n v="19"/>
    <n v="20"/>
    <x v="25"/>
    <n v="18"/>
    <n v="10"/>
    <n v="52"/>
    <n v="1"/>
    <n v="0"/>
    <n v="0"/>
  </r>
  <r>
    <x v="2230"/>
    <n v="10"/>
    <n v="52"/>
    <n v="62"/>
    <n v="18"/>
    <n v="13"/>
    <x v="24"/>
    <n v="19"/>
    <n v="4"/>
    <n v="57"/>
    <n v="0.4"/>
    <n v="0"/>
    <n v="0"/>
  </r>
  <r>
    <x v="2231"/>
    <n v="4"/>
    <n v="57"/>
    <n v="61"/>
    <n v="19"/>
    <n v="20"/>
    <x v="32"/>
    <n v="19"/>
    <n v="5"/>
    <n v="56"/>
    <n v="0.5"/>
    <n v="0"/>
    <n v="0"/>
  </r>
  <r>
    <x v="2232"/>
    <n v="5"/>
    <n v="56"/>
    <n v="61"/>
    <n v="19"/>
    <n v="19"/>
    <x v="32"/>
    <n v="19"/>
    <n v="5"/>
    <n v="56"/>
    <n v="0.5"/>
    <n v="0"/>
    <n v="0"/>
  </r>
  <r>
    <x v="2233"/>
    <n v="5"/>
    <n v="56"/>
    <n v="61"/>
    <n v="19"/>
    <n v="18"/>
    <x v="24"/>
    <n v="22"/>
    <n v="1"/>
    <n v="57"/>
    <n v="0.1"/>
    <n v="0"/>
    <n v="0"/>
  </r>
  <r>
    <x v="2234"/>
    <n v="1"/>
    <n v="57"/>
    <n v="58"/>
    <n v="22"/>
    <n v="19"/>
    <x v="4"/>
    <n v="17"/>
    <n v="3"/>
    <n v="60"/>
    <n v="0.30000000000000004"/>
    <n v="0"/>
    <n v="0"/>
  </r>
  <r>
    <x v="2235"/>
    <n v="3"/>
    <n v="60"/>
    <n v="63"/>
    <n v="17"/>
    <n v="19"/>
    <x v="28"/>
    <n v="18"/>
    <n v="4"/>
    <n v="58"/>
    <n v="0.4"/>
    <n v="0"/>
    <n v="0"/>
  </r>
  <r>
    <x v="2236"/>
    <n v="4"/>
    <n v="58"/>
    <n v="62"/>
    <n v="18"/>
    <n v="19"/>
    <x v="24"/>
    <n v="15"/>
    <n v="8"/>
    <n v="57"/>
    <n v="0.8"/>
    <n v="0"/>
    <n v="0"/>
  </r>
  <r>
    <x v="2237"/>
    <n v="8"/>
    <n v="57"/>
    <n v="65"/>
    <n v="15"/>
    <n v="22"/>
    <x v="13"/>
    <n v="22"/>
    <n v="8"/>
    <n v="50"/>
    <n v="0.8"/>
    <n v="0"/>
    <n v="0"/>
  </r>
  <r>
    <x v="2238"/>
    <n v="8"/>
    <n v="50"/>
    <n v="58"/>
    <n v="22"/>
    <n v="17"/>
    <x v="27"/>
    <n v="18"/>
    <n v="7"/>
    <n v="55"/>
    <n v="0.70000000000000007"/>
    <n v="0"/>
    <n v="0"/>
  </r>
  <r>
    <x v="2239"/>
    <n v="7"/>
    <n v="55"/>
    <n v="62"/>
    <n v="18"/>
    <n v="18"/>
    <x v="27"/>
    <n v="20"/>
    <n v="5"/>
    <n v="55"/>
    <n v="0.5"/>
    <n v="0"/>
    <n v="0"/>
  </r>
  <r>
    <x v="2240"/>
    <n v="5"/>
    <n v="55"/>
    <n v="60"/>
    <n v="20"/>
    <n v="15"/>
    <x v="4"/>
    <n v="15"/>
    <n v="5"/>
    <n v="60"/>
    <n v="0.5"/>
    <n v="0"/>
    <n v="0"/>
  </r>
  <r>
    <x v="2241"/>
    <n v="5"/>
    <n v="60"/>
    <n v="65"/>
    <n v="15"/>
    <n v="22"/>
    <x v="12"/>
    <n v="14"/>
    <n v="13"/>
    <n v="53"/>
    <n v="1.3"/>
    <n v="0"/>
    <n v="0"/>
  </r>
  <r>
    <x v="2242"/>
    <n v="13"/>
    <n v="53"/>
    <n v="66"/>
    <n v="14"/>
    <n v="18"/>
    <x v="10"/>
    <n v="23"/>
    <n v="8"/>
    <n v="49"/>
    <n v="0.8"/>
    <n v="0"/>
    <n v="0"/>
  </r>
  <r>
    <x v="2243"/>
    <n v="8"/>
    <n v="49"/>
    <n v="57"/>
    <n v="23"/>
    <n v="20"/>
    <x v="25"/>
    <n v="17"/>
    <n v="11"/>
    <n v="52"/>
    <n v="1.1000000000000001"/>
    <n v="0"/>
    <n v="0"/>
  </r>
  <r>
    <x v="2244"/>
    <n v="11"/>
    <n v="52"/>
    <n v="63"/>
    <n v="17"/>
    <n v="15"/>
    <x v="16"/>
    <n v="22"/>
    <n v="4"/>
    <n v="54"/>
    <n v="0.4"/>
    <n v="0"/>
    <n v="0"/>
  </r>
  <r>
    <x v="2245"/>
    <n v="4"/>
    <n v="54"/>
    <n v="58"/>
    <n v="22"/>
    <n v="14"/>
    <x v="33"/>
    <n v="20"/>
    <n v="-2"/>
    <n v="62"/>
    <n v="0"/>
    <n v="1"/>
    <n v="2"/>
  </r>
  <r>
    <x v="2246"/>
    <n v="-2"/>
    <n v="62"/>
    <n v="60"/>
    <n v="20"/>
    <n v="23"/>
    <x v="5"/>
    <n v="17"/>
    <n v="4"/>
    <n v="59"/>
    <n v="0.4"/>
    <n v="0"/>
    <n v="0"/>
  </r>
  <r>
    <x v="2247"/>
    <n v="4"/>
    <n v="59"/>
    <n v="63"/>
    <n v="17"/>
    <n v="17"/>
    <x v="5"/>
    <n v="28"/>
    <n v="-7"/>
    <n v="59"/>
    <n v="0"/>
    <n v="1"/>
    <n v="7"/>
  </r>
  <r>
    <x v="2248"/>
    <n v="-7"/>
    <n v="59"/>
    <n v="52"/>
    <n v="28"/>
    <n v="22"/>
    <x v="26"/>
    <n v="20"/>
    <n v="-5"/>
    <n v="65"/>
    <n v="0"/>
    <n v="1"/>
    <n v="5"/>
  </r>
  <r>
    <x v="2249"/>
    <n v="-5"/>
    <n v="65"/>
    <n v="60"/>
    <n v="20"/>
    <n v="20"/>
    <x v="26"/>
    <n v="17"/>
    <n v="-2"/>
    <n v="65"/>
    <n v="0"/>
    <n v="1"/>
    <n v="2"/>
  </r>
  <r>
    <x v="2250"/>
    <n v="-2"/>
    <n v="65"/>
    <n v="63"/>
    <n v="17"/>
    <n v="17"/>
    <x v="26"/>
    <n v="15"/>
    <n v="0"/>
    <n v="65"/>
    <n v="0"/>
    <n v="0"/>
    <n v="0"/>
  </r>
  <r>
    <x v="2251"/>
    <n v="0"/>
    <n v="65"/>
    <n v="65"/>
    <n v="15"/>
    <n v="28"/>
    <x v="25"/>
    <n v="13"/>
    <n v="15"/>
    <n v="52"/>
    <n v="1.5"/>
    <n v="0"/>
    <n v="0"/>
  </r>
  <r>
    <x v="2252"/>
    <n v="15"/>
    <n v="52"/>
    <n v="67"/>
    <n v="13"/>
    <n v="20"/>
    <x v="11"/>
    <n v="26"/>
    <n v="9"/>
    <n v="45"/>
    <n v="0.9"/>
    <n v="0"/>
    <n v="0"/>
  </r>
  <r>
    <x v="2253"/>
    <n v="9"/>
    <n v="45"/>
    <n v="54"/>
    <n v="26"/>
    <n v="17"/>
    <x v="16"/>
    <n v="22"/>
    <n v="4"/>
    <n v="54"/>
    <n v="0.4"/>
    <n v="0"/>
    <n v="0"/>
  </r>
  <r>
    <x v="2254"/>
    <n v="4"/>
    <n v="54"/>
    <n v="58"/>
    <n v="22"/>
    <n v="15"/>
    <x v="23"/>
    <n v="20"/>
    <n v="-1"/>
    <n v="61"/>
    <n v="0"/>
    <n v="1"/>
    <n v="1"/>
  </r>
  <r>
    <x v="2255"/>
    <n v="-1"/>
    <n v="61"/>
    <n v="60"/>
    <n v="20"/>
    <n v="13"/>
    <x v="17"/>
    <n v="15"/>
    <n v="-3"/>
    <n v="68"/>
    <n v="0"/>
    <n v="1"/>
    <n v="3"/>
  </r>
  <r>
    <x v="2256"/>
    <n v="-3"/>
    <n v="68"/>
    <n v="65"/>
    <n v="15"/>
    <n v="26"/>
    <x v="24"/>
    <n v="13"/>
    <n v="10"/>
    <n v="57"/>
    <n v="1"/>
    <n v="0"/>
    <n v="0"/>
  </r>
  <r>
    <x v="2257"/>
    <n v="10"/>
    <n v="57"/>
    <n v="67"/>
    <n v="13"/>
    <n v="22"/>
    <x v="15"/>
    <n v="26"/>
    <n v="6"/>
    <n v="48"/>
    <n v="0.60000000000000009"/>
    <n v="0"/>
    <n v="0"/>
  </r>
  <r>
    <x v="2258"/>
    <n v="6"/>
    <n v="48"/>
    <n v="54"/>
    <n v="26"/>
    <n v="20"/>
    <x v="16"/>
    <n v="22"/>
    <n v="4"/>
    <n v="54"/>
    <n v="0.4"/>
    <n v="0"/>
    <n v="0"/>
  </r>
  <r>
    <x v="2259"/>
    <n v="4"/>
    <n v="54"/>
    <n v="58"/>
    <n v="22"/>
    <n v="15"/>
    <x v="23"/>
    <n v="25"/>
    <n v="-6"/>
    <n v="61"/>
    <n v="0"/>
    <n v="1"/>
    <n v="6"/>
  </r>
  <r>
    <x v="2260"/>
    <n v="-6"/>
    <n v="61"/>
    <n v="55"/>
    <n v="25"/>
    <n v="13"/>
    <x v="31"/>
    <n v="8"/>
    <n v="-1"/>
    <n v="73"/>
    <n v="0"/>
    <n v="1"/>
    <n v="1"/>
  </r>
  <r>
    <x v="2261"/>
    <n v="-1"/>
    <n v="73"/>
    <n v="72"/>
    <n v="8"/>
    <n v="26"/>
    <x v="27"/>
    <n v="21"/>
    <n v="4"/>
    <n v="55"/>
    <n v="0.4"/>
    <n v="0"/>
    <n v="0"/>
  </r>
  <r>
    <x v="2262"/>
    <n v="4"/>
    <n v="55"/>
    <n v="59"/>
    <n v="21"/>
    <n v="22"/>
    <x v="16"/>
    <n v="19"/>
    <n v="7"/>
    <n v="54"/>
    <n v="0.70000000000000007"/>
    <n v="0"/>
    <n v="0"/>
  </r>
  <r>
    <x v="2263"/>
    <n v="7"/>
    <n v="54"/>
    <n v="61"/>
    <n v="19"/>
    <n v="25"/>
    <x v="15"/>
    <n v="25"/>
    <n v="7"/>
    <n v="48"/>
    <n v="0.70000000000000007"/>
    <n v="0"/>
    <n v="0"/>
  </r>
  <r>
    <x v="2264"/>
    <n v="7"/>
    <n v="48"/>
    <n v="55"/>
    <n v="25"/>
    <n v="8"/>
    <x v="26"/>
    <n v="10"/>
    <n v="5"/>
    <n v="65"/>
    <n v="0.5"/>
    <n v="0"/>
    <n v="0"/>
  </r>
  <r>
    <x v="2265"/>
    <n v="5"/>
    <n v="65"/>
    <n v="70"/>
    <n v="10"/>
    <n v="21"/>
    <x v="16"/>
    <n v="23"/>
    <n v="3"/>
    <n v="54"/>
    <n v="0.30000000000000004"/>
    <n v="0"/>
    <n v="0"/>
  </r>
  <r>
    <x v="2266"/>
    <n v="3"/>
    <n v="54"/>
    <n v="57"/>
    <n v="23"/>
    <n v="19"/>
    <x v="28"/>
    <n v="24"/>
    <n v="-2"/>
    <n v="58"/>
    <n v="0"/>
    <n v="1"/>
    <n v="2"/>
  </r>
  <r>
    <x v="2267"/>
    <n v="-2"/>
    <n v="58"/>
    <n v="56"/>
    <n v="24"/>
    <n v="25"/>
    <x v="24"/>
    <n v="22"/>
    <n v="1"/>
    <n v="57"/>
    <n v="0.1"/>
    <n v="0"/>
    <n v="0"/>
  </r>
  <r>
    <x v="2268"/>
    <n v="1"/>
    <n v="57"/>
    <n v="58"/>
    <n v="22"/>
    <n v="10"/>
    <x v="30"/>
    <n v="15"/>
    <n v="-4"/>
    <n v="69"/>
    <n v="0"/>
    <n v="1"/>
    <n v="4"/>
  </r>
  <r>
    <x v="2269"/>
    <n v="-4"/>
    <n v="69"/>
    <n v="65"/>
    <n v="15"/>
    <n v="23"/>
    <x v="23"/>
    <n v="9"/>
    <n v="10"/>
    <n v="61"/>
    <n v="1"/>
    <n v="0"/>
    <n v="0"/>
  </r>
  <r>
    <x v="2270"/>
    <n v="10"/>
    <n v="61"/>
    <n v="71"/>
    <n v="9"/>
    <n v="24"/>
    <x v="38"/>
    <n v="16"/>
    <n v="18"/>
    <n v="46"/>
    <n v="1.8"/>
    <n v="0"/>
    <n v="0"/>
  </r>
  <r>
    <x v="2271"/>
    <n v="18"/>
    <n v="46"/>
    <n v="64"/>
    <n v="16"/>
    <n v="22"/>
    <x v="46"/>
    <n v="23"/>
    <n v="17"/>
    <n v="40"/>
    <n v="1.7000000000000002"/>
    <n v="0"/>
    <n v="0"/>
  </r>
  <r>
    <x v="2272"/>
    <n v="17"/>
    <n v="40"/>
    <n v="57"/>
    <n v="23"/>
    <n v="15"/>
    <x v="15"/>
    <n v="20"/>
    <n v="12"/>
    <n v="48"/>
    <n v="1.2000000000000002"/>
    <n v="0"/>
    <n v="0"/>
  </r>
  <r>
    <x v="2273"/>
    <n v="12"/>
    <n v="48"/>
    <n v="60"/>
    <n v="20"/>
    <n v="9"/>
    <x v="5"/>
    <n v="15"/>
    <n v="6"/>
    <n v="59"/>
    <n v="0.60000000000000009"/>
    <n v="0"/>
    <n v="0"/>
  </r>
  <r>
    <x v="2274"/>
    <n v="6"/>
    <n v="59"/>
    <n v="65"/>
    <n v="15"/>
    <n v="16"/>
    <x v="28"/>
    <n v="13"/>
    <n v="9"/>
    <n v="58"/>
    <n v="0.9"/>
    <n v="0"/>
    <n v="0"/>
  </r>
  <r>
    <x v="2275"/>
    <n v="9"/>
    <n v="58"/>
    <n v="67"/>
    <n v="13"/>
    <n v="23"/>
    <x v="15"/>
    <n v="21"/>
    <n v="11"/>
    <n v="48"/>
    <n v="1.1000000000000001"/>
    <n v="0"/>
    <n v="0"/>
  </r>
  <r>
    <x v="2276"/>
    <n v="11"/>
    <n v="48"/>
    <n v="59"/>
    <n v="21"/>
    <n v="20"/>
    <x v="10"/>
    <n v="16"/>
    <n v="15"/>
    <n v="49"/>
    <n v="1.5"/>
    <n v="0"/>
    <n v="0"/>
  </r>
  <r>
    <x v="2277"/>
    <n v="15"/>
    <n v="49"/>
    <n v="64"/>
    <n v="16"/>
    <n v="15"/>
    <x v="13"/>
    <n v="14"/>
    <n v="16"/>
    <n v="50"/>
    <n v="1.6"/>
    <n v="0"/>
    <n v="0"/>
  </r>
  <r>
    <x v="2278"/>
    <n v="16"/>
    <n v="50"/>
    <n v="66"/>
    <n v="14"/>
    <n v="13"/>
    <x v="9"/>
    <n v="18"/>
    <n v="11"/>
    <n v="51"/>
    <n v="1.1000000000000001"/>
    <n v="0"/>
    <n v="0"/>
  </r>
  <r>
    <x v="2279"/>
    <n v="11"/>
    <n v="51"/>
    <n v="62"/>
    <n v="18"/>
    <n v="21"/>
    <x v="15"/>
    <n v="23"/>
    <n v="9"/>
    <n v="48"/>
    <n v="0.9"/>
    <n v="0"/>
    <n v="0"/>
  </r>
  <r>
    <x v="2280"/>
    <n v="9"/>
    <n v="48"/>
    <n v="57"/>
    <n v="23"/>
    <n v="16"/>
    <x v="27"/>
    <n v="25"/>
    <n v="0"/>
    <n v="55"/>
    <n v="0"/>
    <n v="0"/>
    <n v="0"/>
  </r>
  <r>
    <x v="2281"/>
    <n v="0"/>
    <n v="55"/>
    <n v="55"/>
    <n v="25"/>
    <n v="14"/>
    <x v="7"/>
    <n v="18"/>
    <n v="-4"/>
    <n v="66"/>
    <n v="0"/>
    <n v="1"/>
    <n v="4"/>
  </r>
  <r>
    <x v="2282"/>
    <n v="-4"/>
    <n v="66"/>
    <n v="62"/>
    <n v="18"/>
    <n v="18"/>
    <x v="7"/>
    <n v="20"/>
    <n v="-6"/>
    <n v="66"/>
    <n v="0"/>
    <n v="1"/>
    <n v="6"/>
  </r>
  <r>
    <x v="2283"/>
    <n v="-6"/>
    <n v="66"/>
    <n v="60"/>
    <n v="20"/>
    <n v="23"/>
    <x v="22"/>
    <n v="22"/>
    <n v="-5"/>
    <n v="63"/>
    <n v="0"/>
    <n v="1"/>
    <n v="5"/>
  </r>
  <r>
    <x v="2284"/>
    <n v="-5"/>
    <n v="63"/>
    <n v="58"/>
    <n v="22"/>
    <n v="25"/>
    <x v="4"/>
    <n v="22"/>
    <n v="-2"/>
    <n v="60"/>
    <n v="0"/>
    <n v="1"/>
    <n v="2"/>
  </r>
  <r>
    <x v="2285"/>
    <n v="-2"/>
    <n v="60"/>
    <n v="58"/>
    <n v="22"/>
    <n v="18"/>
    <x v="8"/>
    <n v="13"/>
    <n v="3"/>
    <n v="64"/>
    <n v="0.30000000000000004"/>
    <n v="0"/>
    <n v="0"/>
  </r>
  <r>
    <x v="2286"/>
    <n v="3"/>
    <n v="64"/>
    <n v="67"/>
    <n v="13"/>
    <n v="20"/>
    <x v="24"/>
    <n v="29"/>
    <n v="-6"/>
    <n v="57"/>
    <n v="0"/>
    <n v="1"/>
    <n v="6"/>
  </r>
  <r>
    <x v="2287"/>
    <n v="-6"/>
    <n v="57"/>
    <n v="51"/>
    <n v="29"/>
    <n v="22"/>
    <x v="8"/>
    <n v="23"/>
    <n v="-7"/>
    <n v="64"/>
    <n v="0"/>
    <n v="1"/>
    <n v="7"/>
  </r>
  <r>
    <x v="2288"/>
    <n v="-7"/>
    <n v="64"/>
    <n v="57"/>
    <n v="23"/>
    <n v="22"/>
    <x v="26"/>
    <n v="20"/>
    <n v="-5"/>
    <n v="65"/>
    <n v="0"/>
    <n v="1"/>
    <n v="5"/>
  </r>
  <r>
    <x v="2289"/>
    <n v="-5"/>
    <n v="65"/>
    <n v="60"/>
    <n v="20"/>
    <n v="13"/>
    <x v="29"/>
    <n v="23"/>
    <n v="-15"/>
    <n v="72"/>
    <n v="0"/>
    <n v="1"/>
    <n v="15"/>
  </r>
  <r>
    <x v="2290"/>
    <n v="-15"/>
    <n v="72"/>
    <n v="57"/>
    <n v="23"/>
    <n v="29"/>
    <x v="7"/>
    <n v="17"/>
    <n v="-3"/>
    <n v="66"/>
    <n v="0"/>
    <n v="1"/>
    <n v="3"/>
  </r>
  <r>
    <x v="2291"/>
    <n v="-3"/>
    <n v="66"/>
    <n v="63"/>
    <n v="17"/>
    <n v="23"/>
    <x v="4"/>
    <n v="18"/>
    <n v="2"/>
    <n v="60"/>
    <n v="0.2"/>
    <n v="0"/>
    <n v="0"/>
  </r>
  <r>
    <x v="2292"/>
    <n v="2"/>
    <n v="60"/>
    <n v="62"/>
    <n v="18"/>
    <n v="20"/>
    <x v="28"/>
    <n v="23"/>
    <n v="-1"/>
    <n v="58"/>
    <n v="0"/>
    <n v="1"/>
    <n v="1"/>
  </r>
  <r>
    <x v="2293"/>
    <n v="-1"/>
    <n v="58"/>
    <n v="57"/>
    <n v="23"/>
    <n v="23"/>
    <x v="28"/>
    <n v="14"/>
    <n v="8"/>
    <n v="58"/>
    <n v="0.8"/>
    <n v="0"/>
    <n v="0"/>
  </r>
  <r>
    <x v="2294"/>
    <n v="8"/>
    <n v="58"/>
    <n v="66"/>
    <n v="14"/>
    <n v="17"/>
    <x v="27"/>
    <n v="16"/>
    <n v="9"/>
    <n v="55"/>
    <n v="0.9"/>
    <n v="0"/>
    <n v="0"/>
  </r>
  <r>
    <x v="2295"/>
    <n v="9"/>
    <n v="55"/>
    <n v="64"/>
    <n v="16"/>
    <n v="18"/>
    <x v="12"/>
    <n v="23"/>
    <n v="4"/>
    <n v="53"/>
    <n v="0.4"/>
    <n v="0"/>
    <n v="0"/>
  </r>
  <r>
    <x v="2296"/>
    <n v="4"/>
    <n v="53"/>
    <n v="57"/>
    <n v="23"/>
    <n v="23"/>
    <x v="12"/>
    <n v="19"/>
    <n v="8"/>
    <n v="53"/>
    <n v="0.8"/>
    <n v="0"/>
    <n v="0"/>
  </r>
  <r>
    <x v="2297"/>
    <n v="8"/>
    <n v="53"/>
    <n v="61"/>
    <n v="19"/>
    <n v="14"/>
    <x v="28"/>
    <n v="25"/>
    <n v="-3"/>
    <n v="58"/>
    <n v="0"/>
    <n v="1"/>
    <n v="3"/>
  </r>
  <r>
    <x v="2298"/>
    <n v="-3"/>
    <n v="58"/>
    <n v="55"/>
    <n v="25"/>
    <n v="16"/>
    <x v="21"/>
    <n v="24"/>
    <n v="-11"/>
    <n v="67"/>
    <n v="0"/>
    <n v="1"/>
    <n v="11"/>
  </r>
  <r>
    <x v="2299"/>
    <n v="-11"/>
    <n v="67"/>
    <n v="56"/>
    <n v="24"/>
    <n v="23"/>
    <x v="17"/>
    <n v="22"/>
    <n v="-10"/>
    <n v="68"/>
    <n v="0"/>
    <n v="1"/>
    <n v="10"/>
  </r>
  <r>
    <x v="2300"/>
    <n v="-10"/>
    <n v="68"/>
    <n v="58"/>
    <n v="22"/>
    <n v="19"/>
    <x v="20"/>
    <n v="31"/>
    <n v="-22"/>
    <n v="71"/>
    <n v="0"/>
    <n v="1"/>
    <n v="22"/>
  </r>
  <r>
    <x v="2301"/>
    <n v="-22"/>
    <n v="71"/>
    <n v="49"/>
    <n v="31"/>
    <n v="25"/>
    <x v="18"/>
    <n v="16"/>
    <n v="-13"/>
    <n v="77"/>
    <n v="0"/>
    <n v="1"/>
    <n v="13"/>
  </r>
  <r>
    <x v="2302"/>
    <n v="-13"/>
    <n v="77"/>
    <n v="64"/>
    <n v="16"/>
    <n v="24"/>
    <x v="30"/>
    <n v="20"/>
    <n v="-9"/>
    <n v="69"/>
    <n v="0"/>
    <n v="1"/>
    <n v="9"/>
  </r>
  <r>
    <x v="2303"/>
    <n v="-9"/>
    <n v="69"/>
    <n v="60"/>
    <n v="20"/>
    <n v="22"/>
    <x v="21"/>
    <n v="25"/>
    <n v="-12"/>
    <n v="67"/>
    <n v="0"/>
    <n v="1"/>
    <n v="12"/>
  </r>
  <r>
    <x v="2304"/>
    <n v="-12"/>
    <n v="67"/>
    <n v="55"/>
    <n v="25"/>
    <n v="31"/>
    <x v="23"/>
    <n v="19"/>
    <n v="0"/>
    <n v="61"/>
    <n v="0"/>
    <n v="0"/>
    <n v="0"/>
  </r>
  <r>
    <x v="2305"/>
    <n v="0"/>
    <n v="61"/>
    <n v="61"/>
    <n v="19"/>
    <n v="16"/>
    <x v="8"/>
    <n v="17"/>
    <n v="-1"/>
    <n v="64"/>
    <n v="0"/>
    <n v="1"/>
    <n v="1"/>
  </r>
  <r>
    <x v="2306"/>
    <n v="-1"/>
    <n v="64"/>
    <n v="63"/>
    <n v="17"/>
    <n v="20"/>
    <x v="23"/>
    <n v="15"/>
    <n v="4"/>
    <n v="61"/>
    <n v="0.4"/>
    <n v="0"/>
    <n v="0"/>
  </r>
  <r>
    <x v="2307"/>
    <n v="4"/>
    <n v="61"/>
    <n v="65"/>
    <n v="15"/>
    <n v="25"/>
    <x v="9"/>
    <n v="23"/>
    <n v="6"/>
    <n v="51"/>
    <n v="0.60000000000000009"/>
    <n v="0"/>
    <n v="0"/>
  </r>
  <r>
    <x v="2308"/>
    <n v="6"/>
    <n v="51"/>
    <n v="57"/>
    <n v="23"/>
    <n v="19"/>
    <x v="27"/>
    <n v="14"/>
    <n v="11"/>
    <n v="55"/>
    <n v="1.1000000000000001"/>
    <n v="0"/>
    <n v="0"/>
  </r>
  <r>
    <x v="2309"/>
    <n v="11"/>
    <n v="55"/>
    <n v="66"/>
    <n v="14"/>
    <n v="17"/>
    <x v="25"/>
    <n v="28"/>
    <n v="0"/>
    <n v="52"/>
    <n v="0"/>
    <n v="0"/>
    <n v="0"/>
  </r>
  <r>
    <x v="2310"/>
    <n v="0"/>
    <n v="52"/>
    <n v="52"/>
    <n v="28"/>
    <n v="15"/>
    <x v="26"/>
    <n v="23"/>
    <n v="-8"/>
    <n v="65"/>
    <n v="0"/>
    <n v="1"/>
    <n v="8"/>
  </r>
  <r>
    <x v="2311"/>
    <n v="-8"/>
    <n v="65"/>
    <n v="57"/>
    <n v="23"/>
    <n v="23"/>
    <x v="26"/>
    <n v="20"/>
    <n v="-5"/>
    <n v="65"/>
    <n v="0"/>
    <n v="1"/>
    <n v="5"/>
  </r>
  <r>
    <x v="2312"/>
    <n v="-5"/>
    <n v="65"/>
    <n v="60"/>
    <n v="20"/>
    <n v="14"/>
    <x v="20"/>
    <n v="30"/>
    <n v="-21"/>
    <n v="71"/>
    <n v="0"/>
    <n v="1"/>
    <n v="21"/>
  </r>
  <r>
    <x v="2313"/>
    <n v="-21"/>
    <n v="71"/>
    <n v="50"/>
    <n v="30"/>
    <n v="28"/>
    <x v="31"/>
    <n v="19"/>
    <n v="-12"/>
    <n v="73"/>
    <n v="0"/>
    <n v="1"/>
    <n v="12"/>
  </r>
  <r>
    <x v="2314"/>
    <n v="-12"/>
    <n v="73"/>
    <n v="61"/>
    <n v="19"/>
    <n v="23"/>
    <x v="30"/>
    <n v="16"/>
    <n v="-5"/>
    <n v="69"/>
    <n v="0"/>
    <n v="1"/>
    <n v="5"/>
  </r>
  <r>
    <x v="2315"/>
    <n v="-5"/>
    <n v="69"/>
    <n v="64"/>
    <n v="16"/>
    <n v="20"/>
    <x v="26"/>
    <n v="24"/>
    <n v="-9"/>
    <n v="65"/>
    <n v="0"/>
    <n v="1"/>
    <n v="9"/>
  </r>
  <r>
    <x v="2316"/>
    <n v="-9"/>
    <n v="65"/>
    <n v="56"/>
    <n v="24"/>
    <n v="30"/>
    <x v="5"/>
    <n v="11"/>
    <n v="10"/>
    <n v="59"/>
    <n v="1"/>
    <n v="0"/>
    <n v="0"/>
  </r>
  <r>
    <x v="2317"/>
    <n v="10"/>
    <n v="59"/>
    <n v="69"/>
    <n v="11"/>
    <n v="19"/>
    <x v="9"/>
    <n v="24"/>
    <n v="5"/>
    <n v="51"/>
    <n v="0.5"/>
    <n v="0"/>
    <n v="0"/>
  </r>
  <r>
    <x v="2318"/>
    <n v="5"/>
    <n v="51"/>
    <n v="56"/>
    <n v="24"/>
    <n v="16"/>
    <x v="5"/>
    <n v="25"/>
    <n v="-4"/>
    <n v="59"/>
    <n v="0"/>
    <n v="1"/>
    <n v="4"/>
  </r>
  <r>
    <x v="2319"/>
    <n v="-4"/>
    <n v="59"/>
    <n v="55"/>
    <n v="25"/>
    <n v="24"/>
    <x v="4"/>
    <n v="19"/>
    <n v="1"/>
    <n v="60"/>
    <n v="0.1"/>
    <n v="0"/>
    <n v="0"/>
  </r>
  <r>
    <x v="2320"/>
    <n v="1"/>
    <n v="60"/>
    <n v="61"/>
    <n v="19"/>
    <n v="11"/>
    <x v="17"/>
    <n v="22"/>
    <n v="-10"/>
    <n v="68"/>
    <n v="0"/>
    <n v="1"/>
    <n v="10"/>
  </r>
  <r>
    <x v="2321"/>
    <n v="-10"/>
    <n v="68"/>
    <n v="58"/>
    <n v="22"/>
    <n v="24"/>
    <x v="7"/>
    <n v="19"/>
    <n v="-5"/>
    <n v="66"/>
    <n v="0"/>
    <n v="1"/>
    <n v="5"/>
  </r>
  <r>
    <x v="2322"/>
    <n v="-5"/>
    <n v="66"/>
    <n v="61"/>
    <n v="19"/>
    <n v="25"/>
    <x v="4"/>
    <n v="19"/>
    <n v="1"/>
    <n v="60"/>
    <n v="0.1"/>
    <n v="0"/>
    <n v="0"/>
  </r>
  <r>
    <x v="2323"/>
    <n v="1"/>
    <n v="60"/>
    <n v="61"/>
    <n v="19"/>
    <n v="19"/>
    <x v="4"/>
    <n v="24"/>
    <n v="-4"/>
    <n v="60"/>
    <n v="0"/>
    <n v="1"/>
    <n v="4"/>
  </r>
  <r>
    <x v="2324"/>
    <n v="-4"/>
    <n v="60"/>
    <n v="56"/>
    <n v="24"/>
    <n v="22"/>
    <x v="33"/>
    <n v="26"/>
    <n v="-8"/>
    <n v="62"/>
    <n v="0"/>
    <n v="1"/>
    <n v="8"/>
  </r>
  <r>
    <x v="2325"/>
    <n v="-8"/>
    <n v="62"/>
    <n v="54"/>
    <n v="26"/>
    <n v="19"/>
    <x v="30"/>
    <n v="21"/>
    <n v="-10"/>
    <n v="69"/>
    <n v="0"/>
    <n v="1"/>
    <n v="10"/>
  </r>
  <r>
    <x v="2326"/>
    <n v="-10"/>
    <n v="69"/>
    <n v="59"/>
    <n v="21"/>
    <n v="19"/>
    <x v="20"/>
    <n v="23"/>
    <n v="-14"/>
    <n v="71"/>
    <n v="0"/>
    <n v="1"/>
    <n v="14"/>
  </r>
  <r>
    <x v="2327"/>
    <n v="-14"/>
    <n v="71"/>
    <n v="57"/>
    <n v="23"/>
    <n v="24"/>
    <x v="6"/>
    <n v="17"/>
    <n v="-7"/>
    <n v="70"/>
    <n v="0"/>
    <n v="1"/>
    <n v="7"/>
  </r>
  <r>
    <x v="2328"/>
    <n v="-7"/>
    <n v="70"/>
    <n v="63"/>
    <n v="17"/>
    <n v="26"/>
    <x v="23"/>
    <n v="9"/>
    <n v="10"/>
    <n v="61"/>
    <n v="1"/>
    <n v="0"/>
    <n v="0"/>
  </r>
  <r>
    <x v="2329"/>
    <n v="10"/>
    <n v="61"/>
    <n v="71"/>
    <n v="9"/>
    <n v="21"/>
    <x v="10"/>
    <n v="16"/>
    <n v="15"/>
    <n v="49"/>
    <n v="1.5"/>
    <n v="0"/>
    <n v="0"/>
  </r>
  <r>
    <x v="2330"/>
    <n v="15"/>
    <n v="49"/>
    <n v="64"/>
    <n v="16"/>
    <n v="23"/>
    <x v="40"/>
    <n v="20"/>
    <n v="18"/>
    <n v="42"/>
    <n v="1.8"/>
    <n v="0"/>
    <n v="0"/>
  </r>
  <r>
    <x v="2331"/>
    <n v="18"/>
    <n v="42"/>
    <n v="60"/>
    <n v="20"/>
    <n v="17"/>
    <x v="11"/>
    <n v="29"/>
    <n v="6"/>
    <n v="45"/>
    <n v="0.60000000000000009"/>
    <n v="0"/>
    <n v="0"/>
  </r>
  <r>
    <x v="2332"/>
    <n v="6"/>
    <n v="45"/>
    <n v="51"/>
    <n v="29"/>
    <n v="9"/>
    <x v="26"/>
    <n v="13"/>
    <n v="2"/>
    <n v="65"/>
    <n v="0.2"/>
    <n v="0"/>
    <n v="0"/>
  </r>
  <r>
    <x v="2333"/>
    <n v="2"/>
    <n v="65"/>
    <n v="67"/>
    <n v="13"/>
    <n v="16"/>
    <x v="33"/>
    <n v="27"/>
    <n v="-9"/>
    <n v="62"/>
    <n v="0"/>
    <n v="1"/>
    <n v="9"/>
  </r>
  <r>
    <x v="2334"/>
    <n v="-9"/>
    <n v="62"/>
    <n v="53"/>
    <n v="27"/>
    <n v="20"/>
    <x v="30"/>
    <n v="34"/>
    <n v="-23"/>
    <n v="69"/>
    <n v="0"/>
    <n v="1"/>
    <n v="23"/>
  </r>
  <r>
    <x v="2335"/>
    <n v="-23"/>
    <n v="69"/>
    <n v="46"/>
    <n v="34"/>
    <n v="29"/>
    <x v="39"/>
    <n v="17"/>
    <n v="-11"/>
    <n v="74"/>
    <n v="0"/>
    <n v="1"/>
    <n v="11"/>
  </r>
  <r>
    <x v="2336"/>
    <n v="-11"/>
    <n v="74"/>
    <n v="63"/>
    <n v="17"/>
    <n v="13"/>
    <x v="35"/>
    <n v="21"/>
    <n v="-19"/>
    <n v="78"/>
    <n v="0"/>
    <n v="1"/>
    <n v="19"/>
  </r>
  <r>
    <x v="2337"/>
    <n v="-19"/>
    <n v="78"/>
    <n v="59"/>
    <n v="21"/>
    <n v="27"/>
    <x v="29"/>
    <n v="16"/>
    <n v="-8"/>
    <n v="72"/>
    <n v="0"/>
    <n v="1"/>
    <n v="8"/>
  </r>
  <r>
    <x v="2338"/>
    <n v="-8"/>
    <n v="72"/>
    <n v="64"/>
    <n v="16"/>
    <n v="34"/>
    <x v="16"/>
    <n v="19"/>
    <n v="7"/>
    <n v="54"/>
    <n v="0.70000000000000007"/>
    <n v="0"/>
    <n v="0"/>
  </r>
  <r>
    <x v="2339"/>
    <n v="7"/>
    <n v="54"/>
    <n v="61"/>
    <n v="19"/>
    <n v="17"/>
    <x v="32"/>
    <n v="15"/>
    <n v="9"/>
    <n v="56"/>
    <n v="0.9"/>
    <n v="0"/>
    <n v="0"/>
  </r>
  <r>
    <x v="2340"/>
    <n v="9"/>
    <n v="56"/>
    <n v="65"/>
    <n v="15"/>
    <n v="21"/>
    <x v="13"/>
    <n v="21"/>
    <n v="9"/>
    <n v="50"/>
    <n v="0.9"/>
    <n v="0"/>
    <n v="0"/>
  </r>
  <r>
    <x v="2341"/>
    <n v="9"/>
    <n v="50"/>
    <n v="59"/>
    <n v="21"/>
    <n v="16"/>
    <x v="27"/>
    <n v="15"/>
    <n v="10"/>
    <n v="55"/>
    <n v="1"/>
    <n v="0"/>
    <n v="0"/>
  </r>
  <r>
    <x v="2342"/>
    <n v="10"/>
    <n v="55"/>
    <n v="65"/>
    <n v="15"/>
    <n v="19"/>
    <x v="9"/>
    <n v="19"/>
    <n v="10"/>
    <n v="51"/>
    <n v="1"/>
    <n v="0"/>
    <n v="0"/>
  </r>
  <r>
    <x v="2343"/>
    <n v="10"/>
    <n v="51"/>
    <n v="61"/>
    <n v="19"/>
    <n v="15"/>
    <x v="27"/>
    <n v="22"/>
    <n v="3"/>
    <n v="55"/>
    <n v="0.30000000000000004"/>
    <n v="0"/>
    <n v="0"/>
  </r>
  <r>
    <x v="2344"/>
    <n v="3"/>
    <n v="55"/>
    <n v="58"/>
    <n v="22"/>
    <n v="21"/>
    <x v="32"/>
    <n v="18"/>
    <n v="6"/>
    <n v="56"/>
    <n v="0.60000000000000009"/>
    <n v="0"/>
    <n v="0"/>
  </r>
  <r>
    <x v="2345"/>
    <n v="6"/>
    <n v="56"/>
    <n v="62"/>
    <n v="18"/>
    <n v="15"/>
    <x v="5"/>
    <n v="20"/>
    <n v="1"/>
    <n v="59"/>
    <n v="0.1"/>
    <n v="0"/>
    <n v="0"/>
  </r>
  <r>
    <x v="2346"/>
    <n v="1"/>
    <n v="59"/>
    <n v="60"/>
    <n v="20"/>
    <n v="19"/>
    <x v="4"/>
    <n v="20"/>
    <n v="0"/>
    <n v="60"/>
    <n v="0"/>
    <n v="0"/>
    <n v="0"/>
  </r>
  <r>
    <x v="2347"/>
    <n v="0"/>
    <n v="60"/>
    <n v="60"/>
    <n v="20"/>
    <n v="22"/>
    <x v="28"/>
    <n v="21"/>
    <n v="1"/>
    <n v="58"/>
    <n v="0.1"/>
    <n v="0"/>
    <n v="0"/>
  </r>
  <r>
    <x v="2348"/>
    <n v="1"/>
    <n v="58"/>
    <n v="59"/>
    <n v="21"/>
    <n v="18"/>
    <x v="23"/>
    <n v="18"/>
    <n v="1"/>
    <n v="61"/>
    <n v="0.1"/>
    <n v="0"/>
    <n v="0"/>
  </r>
  <r>
    <x v="2349"/>
    <n v="1"/>
    <n v="61"/>
    <n v="62"/>
    <n v="18"/>
    <n v="20"/>
    <x v="5"/>
    <n v="21"/>
    <n v="0"/>
    <n v="59"/>
    <n v="0"/>
    <n v="0"/>
    <n v="0"/>
  </r>
  <r>
    <x v="2350"/>
    <n v="0"/>
    <n v="59"/>
    <n v="59"/>
    <n v="21"/>
    <n v="20"/>
    <x v="4"/>
    <n v="24"/>
    <n v="-4"/>
    <n v="60"/>
    <n v="0"/>
    <n v="1"/>
    <n v="4"/>
  </r>
  <r>
    <x v="2351"/>
    <n v="-4"/>
    <n v="60"/>
    <n v="56"/>
    <n v="24"/>
    <n v="21"/>
    <x v="22"/>
    <n v="19"/>
    <n v="-2"/>
    <n v="63"/>
    <n v="0"/>
    <n v="1"/>
    <n v="2"/>
  </r>
  <r>
    <x v="2352"/>
    <n v="-2"/>
    <n v="63"/>
    <n v="61"/>
    <n v="19"/>
    <n v="18"/>
    <x v="8"/>
    <n v="31"/>
    <n v="-15"/>
    <n v="64"/>
    <n v="0"/>
    <n v="1"/>
    <n v="15"/>
  </r>
  <r>
    <x v="2353"/>
    <n v="-15"/>
    <n v="64"/>
    <n v="49"/>
    <n v="31"/>
    <n v="21"/>
    <x v="39"/>
    <n v="23"/>
    <n v="-17"/>
    <n v="74"/>
    <n v="0"/>
    <n v="1"/>
    <n v="17"/>
  </r>
  <r>
    <x v="2354"/>
    <n v="-17"/>
    <n v="74"/>
    <n v="57"/>
    <n v="23"/>
    <n v="24"/>
    <x v="31"/>
    <n v="22"/>
    <n v="-15"/>
    <n v="73"/>
    <n v="0"/>
    <n v="1"/>
    <n v="15"/>
  </r>
  <r>
    <x v="2355"/>
    <n v="-15"/>
    <n v="73"/>
    <n v="58"/>
    <n v="22"/>
    <n v="19"/>
    <x v="37"/>
    <n v="23"/>
    <n v="-19"/>
    <n v="76"/>
    <n v="0"/>
    <n v="1"/>
    <n v="19"/>
  </r>
  <r>
    <x v="2356"/>
    <n v="-19"/>
    <n v="76"/>
    <n v="57"/>
    <n v="23"/>
    <n v="31"/>
    <x v="17"/>
    <n v="17"/>
    <n v="-5"/>
    <n v="68"/>
    <n v="0"/>
    <n v="1"/>
    <n v="5"/>
  </r>
  <r>
    <x v="2357"/>
    <n v="-5"/>
    <n v="68"/>
    <n v="63"/>
    <n v="17"/>
    <n v="23"/>
    <x v="33"/>
    <n v="21"/>
    <n v="-3"/>
    <n v="62"/>
    <n v="0"/>
    <n v="1"/>
    <n v="3"/>
  </r>
  <r>
    <x v="2358"/>
    <n v="-3"/>
    <n v="62"/>
    <n v="59"/>
    <n v="21"/>
    <n v="22"/>
    <x v="23"/>
    <n v="22"/>
    <n v="-3"/>
    <n v="61"/>
    <n v="0"/>
    <n v="1"/>
    <n v="3"/>
  </r>
  <r>
    <x v="2359"/>
    <n v="-3"/>
    <n v="61"/>
    <n v="58"/>
    <n v="22"/>
    <n v="23"/>
    <x v="4"/>
    <n v="19"/>
    <n v="1"/>
    <n v="60"/>
    <n v="0.1"/>
    <n v="0"/>
    <n v="0"/>
  </r>
  <r>
    <x v="2360"/>
    <n v="1"/>
    <n v="60"/>
    <n v="61"/>
    <n v="19"/>
    <n v="17"/>
    <x v="33"/>
    <n v="19"/>
    <n v="-1"/>
    <n v="62"/>
    <n v="0"/>
    <n v="1"/>
    <n v="1"/>
  </r>
  <r>
    <x v="2361"/>
    <n v="-1"/>
    <n v="62"/>
    <n v="61"/>
    <n v="19"/>
    <n v="21"/>
    <x v="4"/>
    <n v="26"/>
    <n v="-6"/>
    <n v="60"/>
    <n v="0"/>
    <n v="1"/>
    <n v="6"/>
  </r>
  <r>
    <x v="2362"/>
    <n v="-6"/>
    <n v="60"/>
    <n v="54"/>
    <n v="26"/>
    <n v="22"/>
    <x v="8"/>
    <n v="17"/>
    <n v="-1"/>
    <n v="64"/>
    <n v="0"/>
    <n v="1"/>
    <n v="1"/>
  </r>
  <r>
    <x v="2363"/>
    <n v="-1"/>
    <n v="64"/>
    <n v="63"/>
    <n v="17"/>
    <n v="19"/>
    <x v="33"/>
    <n v="23"/>
    <n v="-5"/>
    <n v="62"/>
    <n v="0"/>
    <n v="1"/>
    <n v="5"/>
  </r>
  <r>
    <x v="2364"/>
    <n v="-5"/>
    <n v="62"/>
    <n v="57"/>
    <n v="23"/>
    <n v="19"/>
    <x v="7"/>
    <n v="17"/>
    <n v="-3"/>
    <n v="66"/>
    <n v="0"/>
    <n v="1"/>
    <n v="3"/>
  </r>
  <r>
    <x v="2365"/>
    <n v="-3"/>
    <n v="66"/>
    <n v="63"/>
    <n v="17"/>
    <n v="26"/>
    <x v="24"/>
    <n v="20"/>
    <n v="3"/>
    <n v="57"/>
    <n v="0.30000000000000004"/>
    <n v="0"/>
    <n v="0"/>
  </r>
  <r>
    <x v="2366"/>
    <n v="3"/>
    <n v="57"/>
    <n v="60"/>
    <n v="20"/>
    <n v="17"/>
    <x v="4"/>
    <n v="18"/>
    <n v="2"/>
    <n v="60"/>
    <n v="0.2"/>
    <n v="0"/>
    <n v="0"/>
  </r>
  <r>
    <x v="2367"/>
    <n v="2"/>
    <n v="60"/>
    <n v="62"/>
    <n v="18"/>
    <n v="23"/>
    <x v="27"/>
    <n v="23"/>
    <n v="2"/>
    <n v="55"/>
    <n v="0.2"/>
    <n v="0"/>
    <n v="0"/>
  </r>
  <r>
    <x v="2368"/>
    <n v="2"/>
    <n v="55"/>
    <n v="57"/>
    <n v="23"/>
    <n v="17"/>
    <x v="23"/>
    <n v="23"/>
    <n v="-4"/>
    <n v="61"/>
    <n v="0"/>
    <n v="1"/>
    <n v="4"/>
  </r>
  <r>
    <x v="2369"/>
    <n v="-4"/>
    <n v="61"/>
    <n v="57"/>
    <n v="23"/>
    <n v="20"/>
    <x v="8"/>
    <n v="22"/>
    <n v="-6"/>
    <n v="64"/>
    <n v="0"/>
    <n v="1"/>
    <n v="6"/>
  </r>
  <r>
    <x v="2370"/>
    <n v="-6"/>
    <n v="64"/>
    <n v="58"/>
    <n v="22"/>
    <n v="18"/>
    <x v="17"/>
    <n v="23"/>
    <n v="-11"/>
    <n v="68"/>
    <n v="0"/>
    <n v="1"/>
    <n v="11"/>
  </r>
  <r>
    <x v="2371"/>
    <n v="-11"/>
    <n v="68"/>
    <n v="57"/>
    <n v="23"/>
    <n v="23"/>
    <x v="17"/>
    <n v="22"/>
    <n v="-10"/>
    <n v="68"/>
    <n v="0"/>
    <n v="1"/>
    <n v="10"/>
  </r>
  <r>
    <x v="2372"/>
    <n v="-10"/>
    <n v="68"/>
    <n v="58"/>
    <n v="22"/>
    <n v="23"/>
    <x v="21"/>
    <n v="22"/>
    <n v="-9"/>
    <n v="67"/>
    <n v="0"/>
    <n v="1"/>
    <n v="9"/>
  </r>
  <r>
    <x v="2373"/>
    <n v="-9"/>
    <n v="67"/>
    <n v="58"/>
    <n v="22"/>
    <n v="22"/>
    <x v="21"/>
    <n v="26"/>
    <n v="-13"/>
    <n v="67"/>
    <n v="0"/>
    <n v="1"/>
    <n v="13"/>
  </r>
  <r>
    <x v="2374"/>
    <n v="-13"/>
    <n v="67"/>
    <n v="54"/>
    <n v="26"/>
    <n v="23"/>
    <x v="6"/>
    <n v="19"/>
    <n v="-9"/>
    <n v="70"/>
    <n v="0"/>
    <n v="1"/>
    <n v="9"/>
  </r>
  <r>
    <x v="2375"/>
    <n v="-9"/>
    <n v="70"/>
    <n v="61"/>
    <n v="19"/>
    <n v="22"/>
    <x v="21"/>
    <n v="30"/>
    <n v="-17"/>
    <n v="67"/>
    <n v="0"/>
    <n v="1"/>
    <n v="17"/>
  </r>
  <r>
    <x v="2376"/>
    <n v="-17"/>
    <n v="67"/>
    <n v="50"/>
    <n v="30"/>
    <n v="22"/>
    <x v="44"/>
    <n v="21"/>
    <n v="-16"/>
    <n v="75"/>
    <n v="0"/>
    <n v="1"/>
    <n v="16"/>
  </r>
  <r>
    <x v="2377"/>
    <n v="-16"/>
    <n v="75"/>
    <n v="59"/>
    <n v="21"/>
    <n v="26"/>
    <x v="6"/>
    <n v="16"/>
    <n v="-6"/>
    <n v="70"/>
    <n v="0"/>
    <n v="1"/>
    <n v="6"/>
  </r>
  <r>
    <x v="2378"/>
    <n v="-6"/>
    <n v="70"/>
    <n v="64"/>
    <n v="16"/>
    <n v="19"/>
    <x v="21"/>
    <n v="15"/>
    <n v="-2"/>
    <n v="67"/>
    <n v="0"/>
    <n v="1"/>
    <n v="2"/>
  </r>
  <r>
    <x v="2379"/>
    <n v="-2"/>
    <n v="67"/>
    <n v="65"/>
    <n v="15"/>
    <n v="30"/>
    <x v="25"/>
    <n v="14"/>
    <n v="14"/>
    <n v="52"/>
    <n v="1.4000000000000001"/>
    <n v="0"/>
    <n v="0"/>
  </r>
  <r>
    <x v="2380"/>
    <n v="14"/>
    <n v="52"/>
    <n v="66"/>
    <n v="14"/>
    <n v="21"/>
    <x v="11"/>
    <n v="26"/>
    <n v="9"/>
    <n v="45"/>
    <n v="0.9"/>
    <n v="0"/>
    <n v="0"/>
  </r>
  <r>
    <x v="2381"/>
    <n v="9"/>
    <n v="45"/>
    <n v="54"/>
    <n v="26"/>
    <n v="16"/>
    <x v="27"/>
    <n v="22"/>
    <n v="3"/>
    <n v="55"/>
    <n v="0.30000000000000004"/>
    <n v="0"/>
    <n v="0"/>
  </r>
  <r>
    <x v="2382"/>
    <n v="3"/>
    <n v="55"/>
    <n v="58"/>
    <n v="22"/>
    <n v="15"/>
    <x v="33"/>
    <n v="18"/>
    <n v="0"/>
    <n v="62"/>
    <n v="0"/>
    <n v="0"/>
    <n v="0"/>
  </r>
  <r>
    <x v="2383"/>
    <n v="0"/>
    <n v="62"/>
    <n v="62"/>
    <n v="18"/>
    <n v="14"/>
    <x v="7"/>
    <n v="22"/>
    <n v="-8"/>
    <n v="66"/>
    <n v="0"/>
    <n v="1"/>
    <n v="8"/>
  </r>
  <r>
    <x v="2384"/>
    <n v="-8"/>
    <n v="66"/>
    <n v="58"/>
    <n v="22"/>
    <n v="26"/>
    <x v="33"/>
    <n v="14"/>
    <n v="4"/>
    <n v="62"/>
    <n v="0.4"/>
    <n v="0"/>
    <n v="0"/>
  </r>
  <r>
    <x v="2385"/>
    <n v="4"/>
    <n v="62"/>
    <n v="66"/>
    <n v="14"/>
    <n v="22"/>
    <x v="16"/>
    <n v="23"/>
    <n v="3"/>
    <n v="54"/>
    <n v="0.30000000000000004"/>
    <n v="0"/>
    <n v="0"/>
  </r>
  <r>
    <x v="2386"/>
    <n v="3"/>
    <n v="54"/>
    <n v="57"/>
    <n v="23"/>
    <n v="18"/>
    <x v="5"/>
    <n v="25"/>
    <n v="-4"/>
    <n v="59"/>
    <n v="0"/>
    <n v="1"/>
    <n v="4"/>
  </r>
  <r>
    <x v="2387"/>
    <n v="-4"/>
    <n v="59"/>
    <n v="55"/>
    <n v="25"/>
    <n v="22"/>
    <x v="33"/>
    <n v="24"/>
    <n v="-6"/>
    <n v="62"/>
    <n v="0"/>
    <n v="1"/>
    <n v="6"/>
  </r>
  <r>
    <x v="2388"/>
    <n v="-6"/>
    <n v="62"/>
    <n v="56"/>
    <n v="24"/>
    <n v="14"/>
    <x v="29"/>
    <n v="21"/>
    <n v="-13"/>
    <n v="72"/>
    <n v="0"/>
    <n v="1"/>
    <n v="13"/>
  </r>
  <r>
    <x v="2389"/>
    <n v="-13"/>
    <n v="72"/>
    <n v="59"/>
    <n v="21"/>
    <n v="23"/>
    <x v="6"/>
    <n v="24"/>
    <n v="-14"/>
    <n v="70"/>
    <n v="0"/>
    <n v="1"/>
    <n v="14"/>
  </r>
  <r>
    <x v="2390"/>
    <n v="-14"/>
    <n v="70"/>
    <n v="56"/>
    <n v="24"/>
    <n v="25"/>
    <x v="30"/>
    <n v="11"/>
    <n v="0"/>
    <n v="69"/>
    <n v="0"/>
    <n v="0"/>
    <n v="0"/>
  </r>
  <r>
    <x v="2391"/>
    <n v="0"/>
    <n v="69"/>
    <n v="69"/>
    <n v="11"/>
    <n v="24"/>
    <x v="32"/>
    <n v="25"/>
    <n v="-1"/>
    <n v="56"/>
    <n v="0"/>
    <n v="1"/>
    <n v="1"/>
  </r>
  <r>
    <x v="2392"/>
    <n v="-1"/>
    <n v="56"/>
    <n v="55"/>
    <n v="25"/>
    <n v="21"/>
    <x v="4"/>
    <n v="12"/>
    <n v="8"/>
    <n v="60"/>
    <n v="0.8"/>
    <n v="0"/>
    <n v="0"/>
  </r>
  <r>
    <x v="2393"/>
    <n v="8"/>
    <n v="60"/>
    <n v="68"/>
    <n v="12"/>
    <n v="24"/>
    <x v="15"/>
    <n v="19"/>
    <n v="13"/>
    <n v="48"/>
    <n v="1.3"/>
    <n v="0"/>
    <n v="0"/>
  </r>
  <r>
    <x v="2394"/>
    <n v="13"/>
    <n v="48"/>
    <n v="61"/>
    <n v="19"/>
    <n v="11"/>
    <x v="32"/>
    <n v="20"/>
    <n v="4"/>
    <n v="56"/>
    <n v="0.4"/>
    <n v="0"/>
    <n v="0"/>
  </r>
  <r>
    <x v="2395"/>
    <n v="4"/>
    <n v="56"/>
    <n v="60"/>
    <n v="20"/>
    <n v="25"/>
    <x v="9"/>
    <n v="21"/>
    <n v="8"/>
    <n v="51"/>
    <n v="0.8"/>
    <n v="0"/>
    <n v="0"/>
  </r>
  <r>
    <x v="2396"/>
    <n v="8"/>
    <n v="51"/>
    <n v="59"/>
    <n v="21"/>
    <n v="12"/>
    <x v="4"/>
    <n v="23"/>
    <n v="-3"/>
    <n v="60"/>
    <n v="0"/>
    <n v="1"/>
    <n v="3"/>
  </r>
  <r>
    <x v="2397"/>
    <n v="-3"/>
    <n v="60"/>
    <n v="57"/>
    <n v="23"/>
    <n v="19"/>
    <x v="8"/>
    <n v="21"/>
    <n v="-5"/>
    <n v="64"/>
    <n v="0"/>
    <n v="1"/>
    <n v="5"/>
  </r>
  <r>
    <x v="2398"/>
    <n v="-5"/>
    <n v="64"/>
    <n v="59"/>
    <n v="21"/>
    <n v="20"/>
    <x v="26"/>
    <n v="24"/>
    <n v="-9"/>
    <n v="65"/>
    <n v="0"/>
    <n v="1"/>
    <n v="9"/>
  </r>
  <r>
    <x v="2399"/>
    <n v="-9"/>
    <n v="65"/>
    <n v="56"/>
    <n v="24"/>
    <n v="21"/>
    <x v="17"/>
    <n v="19"/>
    <n v="-7"/>
    <n v="68"/>
    <n v="0"/>
    <n v="1"/>
    <n v="7"/>
  </r>
  <r>
    <x v="2400"/>
    <n v="-7"/>
    <n v="68"/>
    <n v="61"/>
    <n v="19"/>
    <n v="23"/>
    <x v="8"/>
    <n v="21"/>
    <n v="-5"/>
    <n v="64"/>
    <n v="0"/>
    <n v="1"/>
    <n v="5"/>
  </r>
  <r>
    <x v="2401"/>
    <n v="-5"/>
    <n v="64"/>
    <n v="59"/>
    <n v="21"/>
    <n v="21"/>
    <x v="8"/>
    <n v="24"/>
    <n v="-8"/>
    <n v="64"/>
    <n v="0"/>
    <n v="1"/>
    <n v="8"/>
  </r>
  <r>
    <x v="2402"/>
    <n v="-8"/>
    <n v="64"/>
    <n v="56"/>
    <n v="24"/>
    <n v="24"/>
    <x v="8"/>
    <n v="22"/>
    <n v="-6"/>
    <n v="64"/>
    <n v="0"/>
    <n v="1"/>
    <n v="6"/>
  </r>
  <r>
    <x v="2403"/>
    <n v="-6"/>
    <n v="64"/>
    <n v="58"/>
    <n v="22"/>
    <n v="19"/>
    <x v="21"/>
    <n v="22"/>
    <n v="-9"/>
    <n v="67"/>
    <n v="0"/>
    <n v="1"/>
    <n v="9"/>
  </r>
  <r>
    <x v="2404"/>
    <n v="-9"/>
    <n v="67"/>
    <n v="58"/>
    <n v="22"/>
    <n v="21"/>
    <x v="17"/>
    <n v="23"/>
    <n v="-11"/>
    <n v="68"/>
    <n v="0"/>
    <n v="1"/>
    <n v="11"/>
  </r>
  <r>
    <x v="2405"/>
    <n v="-11"/>
    <n v="68"/>
    <n v="57"/>
    <n v="23"/>
    <n v="24"/>
    <x v="21"/>
    <n v="19"/>
    <n v="-6"/>
    <n v="67"/>
    <n v="0"/>
    <n v="1"/>
    <n v="6"/>
  </r>
  <r>
    <x v="2406"/>
    <n v="-6"/>
    <n v="67"/>
    <n v="61"/>
    <n v="19"/>
    <n v="22"/>
    <x v="8"/>
    <n v="25"/>
    <n v="-9"/>
    <n v="64"/>
    <n v="0"/>
    <n v="1"/>
    <n v="9"/>
  </r>
  <r>
    <x v="2407"/>
    <n v="-9"/>
    <n v="64"/>
    <n v="55"/>
    <n v="25"/>
    <n v="22"/>
    <x v="21"/>
    <n v="19"/>
    <n v="-6"/>
    <n v="67"/>
    <n v="0"/>
    <n v="1"/>
    <n v="6"/>
  </r>
  <r>
    <x v="2408"/>
    <n v="-6"/>
    <n v="67"/>
    <n v="61"/>
    <n v="19"/>
    <n v="23"/>
    <x v="22"/>
    <n v="13"/>
    <n v="4"/>
    <n v="63"/>
    <n v="0.4"/>
    <n v="0"/>
    <n v="0"/>
  </r>
  <r>
    <x v="2409"/>
    <n v="4"/>
    <n v="63"/>
    <n v="67"/>
    <n v="13"/>
    <n v="19"/>
    <x v="24"/>
    <n v="25"/>
    <n v="-2"/>
    <n v="57"/>
    <n v="0"/>
    <n v="1"/>
    <n v="2"/>
  </r>
  <r>
    <x v="2410"/>
    <n v="-2"/>
    <n v="57"/>
    <n v="55"/>
    <n v="25"/>
    <n v="25"/>
    <x v="24"/>
    <n v="20"/>
    <n v="3"/>
    <n v="57"/>
    <n v="0.30000000000000004"/>
    <n v="0"/>
    <n v="0"/>
  </r>
  <r>
    <x v="2411"/>
    <n v="3"/>
    <n v="57"/>
    <n v="60"/>
    <n v="20"/>
    <n v="19"/>
    <x v="28"/>
    <n v="20"/>
    <n v="2"/>
    <n v="58"/>
    <n v="0.2"/>
    <n v="0"/>
    <n v="0"/>
  </r>
  <r>
    <x v="2412"/>
    <n v="2"/>
    <n v="58"/>
    <n v="60"/>
    <n v="20"/>
    <n v="13"/>
    <x v="26"/>
    <n v="23"/>
    <n v="-8"/>
    <n v="65"/>
    <n v="0"/>
    <n v="1"/>
    <n v="8"/>
  </r>
  <r>
    <x v="2413"/>
    <n v="-8"/>
    <n v="65"/>
    <n v="57"/>
    <n v="23"/>
    <n v="25"/>
    <x v="22"/>
    <n v="16"/>
    <n v="1"/>
    <n v="63"/>
    <n v="0.1"/>
    <n v="0"/>
    <n v="0"/>
  </r>
  <r>
    <x v="2414"/>
    <n v="1"/>
    <n v="63"/>
    <n v="64"/>
    <n v="16"/>
    <n v="20"/>
    <x v="5"/>
    <n v="26"/>
    <n v="-5"/>
    <n v="59"/>
    <n v="0"/>
    <n v="1"/>
    <n v="5"/>
  </r>
  <r>
    <x v="2415"/>
    <n v="-5"/>
    <n v="59"/>
    <n v="54"/>
    <n v="26"/>
    <n v="20"/>
    <x v="26"/>
    <n v="19"/>
    <n v="-4"/>
    <n v="65"/>
    <n v="0"/>
    <n v="1"/>
    <n v="4"/>
  </r>
  <r>
    <x v="2416"/>
    <n v="-4"/>
    <n v="65"/>
    <n v="61"/>
    <n v="19"/>
    <n v="23"/>
    <x v="23"/>
    <n v="20"/>
    <n v="-1"/>
    <n v="61"/>
    <n v="0"/>
    <n v="1"/>
    <n v="1"/>
  </r>
  <r>
    <x v="2417"/>
    <n v="-1"/>
    <n v="61"/>
    <n v="60"/>
    <n v="20"/>
    <n v="16"/>
    <x v="26"/>
    <n v="20"/>
    <n v="-5"/>
    <n v="65"/>
    <n v="0"/>
    <n v="1"/>
    <n v="5"/>
  </r>
  <r>
    <x v="2418"/>
    <n v="-5"/>
    <n v="65"/>
    <n v="60"/>
    <n v="20"/>
    <n v="26"/>
    <x v="5"/>
    <n v="15"/>
    <n v="6"/>
    <n v="59"/>
    <n v="0.60000000000000009"/>
    <n v="0"/>
    <n v="0"/>
  </r>
  <r>
    <x v="2419"/>
    <n v="6"/>
    <n v="59"/>
    <n v="65"/>
    <n v="15"/>
    <n v="19"/>
    <x v="27"/>
    <n v="13"/>
    <n v="12"/>
    <n v="55"/>
    <n v="1.2000000000000002"/>
    <n v="0"/>
    <n v="0"/>
  </r>
  <r>
    <x v="2420"/>
    <n v="12"/>
    <n v="55"/>
    <n v="67"/>
    <n v="13"/>
    <n v="20"/>
    <x v="15"/>
    <n v="23"/>
    <n v="9"/>
    <n v="48"/>
    <n v="0.9"/>
    <n v="0"/>
    <n v="0"/>
  </r>
  <r>
    <x v="2421"/>
    <n v="9"/>
    <n v="48"/>
    <n v="57"/>
    <n v="23"/>
    <n v="20"/>
    <x v="9"/>
    <n v="19"/>
    <n v="10"/>
    <n v="51"/>
    <n v="1"/>
    <n v="0"/>
    <n v="0"/>
  </r>
  <r>
    <x v="2422"/>
    <n v="10"/>
    <n v="51"/>
    <n v="61"/>
    <n v="19"/>
    <n v="15"/>
    <x v="27"/>
    <n v="22"/>
    <n v="3"/>
    <n v="55"/>
    <n v="0.30000000000000004"/>
    <n v="0"/>
    <n v="0"/>
  </r>
  <r>
    <x v="2423"/>
    <n v="3"/>
    <n v="55"/>
    <n v="58"/>
    <n v="22"/>
    <n v="13"/>
    <x v="8"/>
    <n v="18"/>
    <n v="-2"/>
    <n v="64"/>
    <n v="0"/>
    <n v="1"/>
    <n v="2"/>
  </r>
  <r>
    <x v="2424"/>
    <n v="-2"/>
    <n v="64"/>
    <n v="62"/>
    <n v="18"/>
    <n v="23"/>
    <x v="5"/>
    <n v="22"/>
    <n v="-1"/>
    <n v="59"/>
    <n v="0"/>
    <n v="1"/>
    <n v="1"/>
  </r>
  <r>
    <x v="2425"/>
    <n v="-1"/>
    <n v="59"/>
    <n v="58"/>
    <n v="22"/>
    <n v="19"/>
    <x v="33"/>
    <n v="28"/>
    <n v="-10"/>
    <n v="62"/>
    <n v="0"/>
    <n v="1"/>
    <n v="10"/>
  </r>
  <r>
    <x v="2426"/>
    <n v="-10"/>
    <n v="62"/>
    <n v="52"/>
    <n v="28"/>
    <n v="22"/>
    <x v="17"/>
    <n v="24"/>
    <n v="-12"/>
    <n v="68"/>
    <n v="0"/>
    <n v="1"/>
    <n v="12"/>
  </r>
  <r>
    <x v="2427"/>
    <n v="-12"/>
    <n v="68"/>
    <n v="56"/>
    <n v="24"/>
    <n v="18"/>
    <x v="39"/>
    <n v="17"/>
    <n v="-11"/>
    <n v="74"/>
    <n v="0"/>
    <n v="1"/>
    <n v="11"/>
  </r>
  <r>
    <x v="2428"/>
    <n v="-11"/>
    <n v="74"/>
    <n v="63"/>
    <n v="17"/>
    <n v="22"/>
    <x v="30"/>
    <n v="19"/>
    <n v="-8"/>
    <n v="69"/>
    <n v="0"/>
    <n v="1"/>
    <n v="8"/>
  </r>
  <r>
    <x v="2429"/>
    <n v="-8"/>
    <n v="69"/>
    <n v="61"/>
    <n v="19"/>
    <n v="28"/>
    <x v="4"/>
    <n v="22"/>
    <n v="-2"/>
    <n v="60"/>
    <n v="0"/>
    <n v="1"/>
    <n v="2"/>
  </r>
  <r>
    <x v="2430"/>
    <n v="-2"/>
    <n v="60"/>
    <n v="58"/>
    <n v="22"/>
    <n v="24"/>
    <x v="28"/>
    <n v="16"/>
    <n v="6"/>
    <n v="58"/>
    <n v="0.60000000000000009"/>
    <n v="0"/>
    <n v="0"/>
  </r>
  <r>
    <x v="2431"/>
    <n v="6"/>
    <n v="58"/>
    <n v="64"/>
    <n v="16"/>
    <n v="17"/>
    <x v="24"/>
    <n v="18"/>
    <n v="5"/>
    <n v="57"/>
    <n v="0.5"/>
    <n v="0"/>
    <n v="0"/>
  </r>
  <r>
    <x v="2432"/>
    <n v="5"/>
    <n v="57"/>
    <n v="62"/>
    <n v="18"/>
    <n v="19"/>
    <x v="32"/>
    <n v="21"/>
    <n v="3"/>
    <n v="56"/>
    <n v="0.30000000000000004"/>
    <n v="0"/>
    <n v="0"/>
  </r>
  <r>
    <x v="2433"/>
    <n v="3"/>
    <n v="56"/>
    <n v="59"/>
    <n v="21"/>
    <n v="22"/>
    <x v="27"/>
    <n v="38"/>
    <n v="-13"/>
    <n v="55"/>
    <n v="0"/>
    <n v="1"/>
    <n v="13"/>
  </r>
  <r>
    <x v="2434"/>
    <n v="-13"/>
    <n v="55"/>
    <n v="42"/>
    <n v="38"/>
    <n v="16"/>
    <x v="18"/>
    <n v="25"/>
    <n v="-22"/>
    <n v="77"/>
    <n v="0"/>
    <n v="1"/>
    <n v="22"/>
  </r>
  <r>
    <x v="2435"/>
    <n v="-22"/>
    <n v="77"/>
    <n v="55"/>
    <n v="25"/>
    <n v="18"/>
    <x v="53"/>
    <n v="22"/>
    <n v="-26"/>
    <n v="84"/>
    <n v="0"/>
    <n v="1"/>
    <n v="22"/>
  </r>
  <r>
    <x v="2436"/>
    <n v="-26"/>
    <n v="84"/>
    <n v="58"/>
    <n v="22"/>
    <n v="21"/>
    <x v="36"/>
    <n v="14"/>
    <n v="-19"/>
    <n v="85"/>
    <n v="0"/>
    <n v="1"/>
    <n v="14"/>
  </r>
  <r>
    <x v="2437"/>
    <n v="-19"/>
    <n v="85"/>
    <n v="66"/>
    <n v="14"/>
    <n v="38"/>
    <x v="23"/>
    <n v="15"/>
    <n v="4"/>
    <n v="61"/>
    <n v="0.4"/>
    <n v="0"/>
    <n v="0"/>
  </r>
  <r>
    <x v="2438"/>
    <n v="4"/>
    <n v="61"/>
    <n v="65"/>
    <n v="15"/>
    <n v="25"/>
    <x v="9"/>
    <n v="31"/>
    <n v="-2"/>
    <n v="51"/>
    <n v="0"/>
    <n v="1"/>
    <n v="2"/>
  </r>
  <r>
    <x v="2439"/>
    <n v="-2"/>
    <n v="51"/>
    <n v="49"/>
    <n v="31"/>
    <n v="22"/>
    <x v="4"/>
    <n v="33"/>
    <n v="-13"/>
    <n v="60"/>
    <n v="0"/>
    <n v="1"/>
    <n v="13"/>
  </r>
  <r>
    <x v="2440"/>
    <n v="-13"/>
    <n v="60"/>
    <n v="47"/>
    <n v="33"/>
    <n v="14"/>
    <x v="43"/>
    <n v="23"/>
    <n v="-22"/>
    <n v="79"/>
    <n v="0"/>
    <n v="1"/>
    <n v="22"/>
  </r>
  <r>
    <x v="2441"/>
    <n v="-22"/>
    <n v="79"/>
    <n v="57"/>
    <n v="23"/>
    <n v="15"/>
    <x v="50"/>
    <n v="16"/>
    <n v="-23"/>
    <n v="87"/>
    <n v="0"/>
    <n v="1"/>
    <n v="16"/>
  </r>
  <r>
    <x v="2442"/>
    <n v="-23"/>
    <n v="87"/>
    <n v="64"/>
    <n v="16"/>
    <n v="31"/>
    <x v="29"/>
    <n v="17"/>
    <n v="-9"/>
    <n v="72"/>
    <n v="0"/>
    <n v="1"/>
    <n v="9"/>
  </r>
  <r>
    <x v="2443"/>
    <n v="-9"/>
    <n v="72"/>
    <n v="63"/>
    <n v="17"/>
    <n v="33"/>
    <x v="32"/>
    <n v="17"/>
    <n v="7"/>
    <n v="56"/>
    <n v="0.70000000000000007"/>
    <n v="0"/>
    <n v="0"/>
  </r>
  <r>
    <x v="2444"/>
    <n v="7"/>
    <n v="56"/>
    <n v="63"/>
    <n v="17"/>
    <n v="23"/>
    <x v="13"/>
    <n v="20"/>
    <n v="10"/>
    <n v="50"/>
    <n v="1"/>
    <n v="0"/>
    <n v="0"/>
  </r>
  <r>
    <x v="2445"/>
    <n v="10"/>
    <n v="50"/>
    <n v="60"/>
    <n v="20"/>
    <n v="16"/>
    <x v="16"/>
    <n v="21"/>
    <n v="5"/>
    <n v="54"/>
    <n v="0.5"/>
    <n v="0"/>
    <n v="0"/>
  </r>
  <r>
    <x v="2446"/>
    <n v="5"/>
    <n v="54"/>
    <n v="59"/>
    <n v="21"/>
    <n v="17"/>
    <x v="28"/>
    <n v="12"/>
    <n v="10"/>
    <n v="58"/>
    <n v="1"/>
    <n v="0"/>
    <n v="0"/>
  </r>
  <r>
    <x v="2447"/>
    <n v="10"/>
    <n v="58"/>
    <n v="68"/>
    <n v="12"/>
    <n v="17"/>
    <x v="12"/>
    <n v="21"/>
    <n v="6"/>
    <n v="53"/>
    <n v="0.60000000000000009"/>
    <n v="0"/>
    <n v="0"/>
  </r>
  <r>
    <x v="2448"/>
    <n v="6"/>
    <n v="53"/>
    <n v="59"/>
    <n v="21"/>
    <n v="20"/>
    <x v="16"/>
    <n v="17"/>
    <n v="9"/>
    <n v="54"/>
    <n v="0.9"/>
    <n v="0"/>
    <n v="0"/>
  </r>
  <r>
    <x v="2449"/>
    <n v="9"/>
    <n v="54"/>
    <n v="63"/>
    <n v="17"/>
    <n v="21"/>
    <x v="13"/>
    <n v="16"/>
    <n v="14"/>
    <n v="50"/>
    <n v="1.4000000000000001"/>
    <n v="0"/>
    <n v="0"/>
  </r>
  <r>
    <x v="2450"/>
    <n v="14"/>
    <n v="50"/>
    <n v="64"/>
    <n v="16"/>
    <n v="12"/>
    <x v="16"/>
    <n v="21"/>
    <n v="5"/>
    <n v="54"/>
    <n v="0.5"/>
    <n v="0"/>
    <n v="0"/>
  </r>
  <r>
    <x v="2451"/>
    <n v="5"/>
    <n v="54"/>
    <n v="59"/>
    <n v="21"/>
    <n v="21"/>
    <x v="16"/>
    <n v="19"/>
    <n v="7"/>
    <n v="54"/>
    <n v="0.70000000000000007"/>
    <n v="0"/>
    <n v="0"/>
  </r>
  <r>
    <x v="2452"/>
    <n v="7"/>
    <n v="54"/>
    <n v="61"/>
    <n v="19"/>
    <n v="17"/>
    <x v="32"/>
    <n v="24"/>
    <n v="0"/>
    <n v="56"/>
    <n v="0"/>
    <n v="0"/>
    <n v="0"/>
  </r>
  <r>
    <x v="2453"/>
    <n v="0"/>
    <n v="56"/>
    <n v="56"/>
    <n v="24"/>
    <n v="16"/>
    <x v="8"/>
    <n v="21"/>
    <n v="-5"/>
    <n v="64"/>
    <n v="0"/>
    <n v="1"/>
    <n v="5"/>
  </r>
  <r>
    <x v="2454"/>
    <n v="-5"/>
    <n v="64"/>
    <n v="59"/>
    <n v="21"/>
    <n v="21"/>
    <x v="8"/>
    <n v="33"/>
    <n v="-17"/>
    <n v="64"/>
    <n v="0"/>
    <n v="1"/>
    <n v="17"/>
  </r>
  <r>
    <x v="2455"/>
    <n v="-17"/>
    <n v="64"/>
    <n v="47"/>
    <n v="33"/>
    <n v="19"/>
    <x v="35"/>
    <n v="22"/>
    <n v="-20"/>
    <n v="78"/>
    <n v="0"/>
    <n v="1"/>
    <n v="20"/>
  </r>
  <r>
    <x v="2456"/>
    <n v="-20"/>
    <n v="78"/>
    <n v="58"/>
    <n v="22"/>
    <n v="24"/>
    <x v="37"/>
    <n v="14"/>
    <n v="-10"/>
    <n v="76"/>
    <n v="0"/>
    <n v="1"/>
    <n v="10"/>
  </r>
  <r>
    <x v="2457"/>
    <n v="-10"/>
    <n v="76"/>
    <n v="66"/>
    <n v="14"/>
    <n v="21"/>
    <x v="30"/>
    <n v="18"/>
    <n v="-7"/>
    <n v="69"/>
    <n v="0"/>
    <n v="1"/>
    <n v="7"/>
  </r>
  <r>
    <x v="2458"/>
    <n v="-7"/>
    <n v="69"/>
    <n v="62"/>
    <n v="18"/>
    <n v="33"/>
    <x v="16"/>
    <n v="22"/>
    <n v="4"/>
    <n v="54"/>
    <n v="0.4"/>
    <n v="0"/>
    <n v="0"/>
  </r>
  <r>
    <x v="2459"/>
    <n v="4"/>
    <n v="54"/>
    <n v="58"/>
    <n v="22"/>
    <n v="22"/>
    <x v="16"/>
    <n v="12"/>
    <n v="14"/>
    <n v="54"/>
    <n v="1.4000000000000001"/>
    <n v="0"/>
    <n v="0"/>
  </r>
  <r>
    <x v="2460"/>
    <n v="14"/>
    <n v="54"/>
    <n v="68"/>
    <n v="12"/>
    <n v="14"/>
    <x v="25"/>
    <n v="10"/>
    <n v="18"/>
    <n v="52"/>
    <n v="1.8"/>
    <n v="0"/>
    <n v="0"/>
  </r>
  <r>
    <x v="2461"/>
    <n v="18"/>
    <n v="52"/>
    <n v="70"/>
    <n v="10"/>
    <n v="18"/>
    <x v="45"/>
    <n v="19"/>
    <n v="17"/>
    <n v="44"/>
    <n v="1.7000000000000002"/>
    <n v="0"/>
    <n v="0"/>
  </r>
  <r>
    <x v="2462"/>
    <n v="17"/>
    <n v="44"/>
    <n v="61"/>
    <n v="19"/>
    <n v="22"/>
    <x v="52"/>
    <n v="20"/>
    <n v="19"/>
    <n v="41"/>
    <n v="1.9000000000000001"/>
    <n v="0"/>
    <n v="0"/>
  </r>
  <r>
    <x v="2463"/>
    <n v="19"/>
    <n v="41"/>
    <n v="60"/>
    <n v="20"/>
    <n v="12"/>
    <x v="10"/>
    <n v="22"/>
    <n v="9"/>
    <n v="49"/>
    <n v="0.9"/>
    <n v="0"/>
    <n v="0"/>
  </r>
  <r>
    <x v="2464"/>
    <n v="9"/>
    <n v="49"/>
    <n v="58"/>
    <n v="22"/>
    <n v="10"/>
    <x v="23"/>
    <n v="14"/>
    <n v="5"/>
    <n v="61"/>
    <n v="0.5"/>
    <n v="0"/>
    <n v="0"/>
  </r>
  <r>
    <x v="2465"/>
    <n v="5"/>
    <n v="61"/>
    <n v="66"/>
    <n v="14"/>
    <n v="19"/>
    <x v="32"/>
    <n v="16"/>
    <n v="8"/>
    <n v="56"/>
    <n v="0.8"/>
    <n v="0"/>
    <n v="0"/>
  </r>
  <r>
    <x v="2466"/>
    <n v="8"/>
    <n v="56"/>
    <n v="64"/>
    <n v="16"/>
    <n v="20"/>
    <x v="25"/>
    <n v="19"/>
    <n v="9"/>
    <n v="52"/>
    <n v="0.9"/>
    <n v="0"/>
    <n v="0"/>
  </r>
  <r>
    <x v="2467"/>
    <n v="9"/>
    <n v="52"/>
    <n v="61"/>
    <n v="19"/>
    <n v="22"/>
    <x v="10"/>
    <n v="26"/>
    <n v="5"/>
    <n v="49"/>
    <n v="0.5"/>
    <n v="0"/>
    <n v="0"/>
  </r>
  <r>
    <x v="2468"/>
    <n v="5"/>
    <n v="49"/>
    <n v="54"/>
    <n v="26"/>
    <n v="14"/>
    <x v="23"/>
    <n v="26"/>
    <n v="-7"/>
    <n v="61"/>
    <n v="0"/>
    <n v="1"/>
    <n v="7"/>
  </r>
  <r>
    <x v="2469"/>
    <n v="-7"/>
    <n v="61"/>
    <n v="54"/>
    <n v="26"/>
    <n v="16"/>
    <x v="20"/>
    <n v="28"/>
    <n v="-19"/>
    <n v="71"/>
    <n v="0"/>
    <n v="1"/>
    <n v="19"/>
  </r>
  <r>
    <x v="2470"/>
    <n v="-19"/>
    <n v="71"/>
    <n v="52"/>
    <n v="28"/>
    <n v="19"/>
    <x v="0"/>
    <n v="18"/>
    <n v="-18"/>
    <n v="80"/>
    <n v="0"/>
    <n v="1"/>
    <n v="18"/>
  </r>
  <r>
    <x v="2471"/>
    <n v="-18"/>
    <n v="80"/>
    <n v="62"/>
    <n v="18"/>
    <n v="26"/>
    <x v="29"/>
    <n v="23"/>
    <n v="-15"/>
    <n v="72"/>
    <n v="0"/>
    <n v="1"/>
    <n v="15"/>
  </r>
  <r>
    <x v="2472"/>
    <n v="-15"/>
    <n v="72"/>
    <n v="57"/>
    <n v="23"/>
    <n v="26"/>
    <x v="30"/>
    <n v="18"/>
    <n v="-7"/>
    <n v="69"/>
    <n v="0"/>
    <n v="1"/>
    <n v="7"/>
  </r>
  <r>
    <x v="2473"/>
    <n v="-7"/>
    <n v="69"/>
    <n v="62"/>
    <n v="18"/>
    <n v="28"/>
    <x v="5"/>
    <n v="19"/>
    <n v="2"/>
    <n v="59"/>
    <n v="0.2"/>
    <n v="0"/>
    <n v="0"/>
  </r>
  <r>
    <x v="2474"/>
    <n v="2"/>
    <n v="59"/>
    <n v="61"/>
    <n v="19"/>
    <n v="18"/>
    <x v="4"/>
    <n v="20"/>
    <n v="0"/>
    <n v="60"/>
    <n v="0"/>
    <n v="0"/>
    <n v="0"/>
  </r>
  <r>
    <x v="2475"/>
    <n v="0"/>
    <n v="60"/>
    <n v="60"/>
    <n v="20"/>
    <n v="23"/>
    <x v="24"/>
    <n v="21"/>
    <n v="2"/>
    <n v="57"/>
    <n v="0.2"/>
    <n v="0"/>
    <n v="0"/>
  </r>
  <r>
    <x v="2476"/>
    <n v="2"/>
    <n v="57"/>
    <n v="59"/>
    <n v="21"/>
    <n v="18"/>
    <x v="4"/>
    <n v="27"/>
    <n v="-7"/>
    <n v="60"/>
    <n v="0"/>
    <n v="1"/>
    <n v="7"/>
  </r>
  <r>
    <x v="2477"/>
    <n v="-7"/>
    <n v="60"/>
    <n v="53"/>
    <n v="27"/>
    <n v="19"/>
    <x v="17"/>
    <n v="25"/>
    <n v="-13"/>
    <n v="68"/>
    <n v="0"/>
    <n v="1"/>
    <n v="13"/>
  </r>
  <r>
    <x v="2478"/>
    <n v="-13"/>
    <n v="68"/>
    <n v="55"/>
    <n v="25"/>
    <n v="20"/>
    <x v="31"/>
    <n v="21"/>
    <n v="-14"/>
    <n v="73"/>
    <n v="0"/>
    <n v="1"/>
    <n v="14"/>
  </r>
  <r>
    <x v="2479"/>
    <n v="-14"/>
    <n v="73"/>
    <n v="59"/>
    <n v="21"/>
    <n v="21"/>
    <x v="31"/>
    <n v="25"/>
    <n v="-18"/>
    <n v="73"/>
    <n v="0"/>
    <n v="1"/>
    <n v="18"/>
  </r>
  <r>
    <x v="2480"/>
    <n v="-18"/>
    <n v="73"/>
    <n v="55"/>
    <n v="25"/>
    <n v="27"/>
    <x v="20"/>
    <n v="17"/>
    <n v="-8"/>
    <n v="71"/>
    <n v="0"/>
    <n v="1"/>
    <n v="8"/>
  </r>
  <r>
    <x v="2481"/>
    <n v="-8"/>
    <n v="71"/>
    <n v="63"/>
    <n v="17"/>
    <n v="25"/>
    <x v="22"/>
    <n v="21"/>
    <n v="-4"/>
    <n v="63"/>
    <n v="0"/>
    <n v="1"/>
    <n v="4"/>
  </r>
  <r>
    <x v="2482"/>
    <n v="-4"/>
    <n v="63"/>
    <n v="59"/>
    <n v="21"/>
    <n v="21"/>
    <x v="22"/>
    <n v="24"/>
    <n v="-7"/>
    <n v="63"/>
    <n v="0"/>
    <n v="1"/>
    <n v="7"/>
  </r>
  <r>
    <x v="2483"/>
    <n v="-7"/>
    <n v="63"/>
    <n v="56"/>
    <n v="24"/>
    <n v="25"/>
    <x v="33"/>
    <n v="18"/>
    <n v="0"/>
    <n v="62"/>
    <n v="0"/>
    <n v="0"/>
    <n v="0"/>
  </r>
  <r>
    <x v="2484"/>
    <n v="0"/>
    <n v="62"/>
    <n v="62"/>
    <n v="18"/>
    <n v="17"/>
    <x v="22"/>
    <n v="25"/>
    <n v="-8"/>
    <n v="63"/>
    <n v="0"/>
    <n v="1"/>
    <n v="8"/>
  </r>
  <r>
    <x v="2485"/>
    <n v="-8"/>
    <n v="63"/>
    <n v="55"/>
    <n v="25"/>
    <n v="21"/>
    <x v="21"/>
    <n v="22"/>
    <n v="-9"/>
    <n v="67"/>
    <n v="0"/>
    <n v="1"/>
    <n v="9"/>
  </r>
  <r>
    <x v="2486"/>
    <n v="-9"/>
    <n v="67"/>
    <n v="58"/>
    <n v="22"/>
    <n v="24"/>
    <x v="26"/>
    <n v="28"/>
    <n v="-13"/>
    <n v="65"/>
    <n v="0"/>
    <n v="1"/>
    <n v="13"/>
  </r>
  <r>
    <x v="2487"/>
    <n v="-13"/>
    <n v="65"/>
    <n v="52"/>
    <n v="28"/>
    <n v="18"/>
    <x v="44"/>
    <n v="20"/>
    <n v="-15"/>
    <n v="75"/>
    <n v="0"/>
    <n v="1"/>
    <n v="15"/>
  </r>
  <r>
    <x v="2488"/>
    <n v="-15"/>
    <n v="75"/>
    <n v="60"/>
    <n v="20"/>
    <n v="25"/>
    <x v="6"/>
    <n v="21"/>
    <n v="-11"/>
    <n v="70"/>
    <n v="0"/>
    <n v="1"/>
    <n v="11"/>
  </r>
  <r>
    <x v="2489"/>
    <n v="-11"/>
    <n v="70"/>
    <n v="59"/>
    <n v="21"/>
    <n v="22"/>
    <x v="30"/>
    <n v="23"/>
    <n v="-12"/>
    <n v="69"/>
    <n v="0"/>
    <n v="1"/>
    <n v="12"/>
  </r>
  <r>
    <x v="2490"/>
    <n v="-12"/>
    <n v="69"/>
    <n v="57"/>
    <n v="23"/>
    <n v="28"/>
    <x v="8"/>
    <n v="19"/>
    <n v="-3"/>
    <n v="64"/>
    <n v="0"/>
    <n v="1"/>
    <n v="3"/>
  </r>
  <r>
    <x v="2491"/>
    <n v="-3"/>
    <n v="64"/>
    <n v="61"/>
    <n v="19"/>
    <n v="20"/>
    <x v="22"/>
    <n v="22"/>
    <n v="-5"/>
    <n v="63"/>
    <n v="0"/>
    <n v="1"/>
    <n v="5"/>
  </r>
  <r>
    <x v="2492"/>
    <n v="-5"/>
    <n v="63"/>
    <n v="58"/>
    <n v="22"/>
    <n v="21"/>
    <x v="8"/>
    <n v="25"/>
    <n v="-9"/>
    <n v="64"/>
    <n v="0"/>
    <n v="1"/>
    <n v="9"/>
  </r>
  <r>
    <x v="2493"/>
    <n v="-9"/>
    <n v="64"/>
    <n v="55"/>
    <n v="25"/>
    <n v="23"/>
    <x v="7"/>
    <n v="14"/>
    <n v="0"/>
    <n v="66"/>
    <n v="0"/>
    <n v="0"/>
    <n v="0"/>
  </r>
  <r>
    <x v="2494"/>
    <n v="0"/>
    <n v="66"/>
    <n v="66"/>
    <n v="14"/>
    <n v="19"/>
    <x v="23"/>
    <n v="18"/>
    <n v="1"/>
    <n v="61"/>
    <n v="0.1"/>
    <n v="0"/>
    <n v="0"/>
  </r>
  <r>
    <x v="2495"/>
    <n v="1"/>
    <n v="61"/>
    <n v="62"/>
    <n v="18"/>
    <n v="22"/>
    <x v="24"/>
    <n v="28"/>
    <n v="-5"/>
    <n v="57"/>
    <n v="0"/>
    <n v="1"/>
    <n v="5"/>
  </r>
  <r>
    <x v="2496"/>
    <n v="-5"/>
    <n v="57"/>
    <n v="52"/>
    <n v="28"/>
    <n v="25"/>
    <x v="4"/>
    <n v="12"/>
    <n v="8"/>
    <n v="60"/>
    <n v="0.8"/>
    <n v="0"/>
    <n v="0"/>
  </r>
  <r>
    <x v="2497"/>
    <n v="8"/>
    <n v="60"/>
    <n v="68"/>
    <n v="12"/>
    <n v="14"/>
    <x v="28"/>
    <n v="23"/>
    <n v="-1"/>
    <n v="58"/>
    <n v="0"/>
    <n v="1"/>
    <n v="1"/>
  </r>
  <r>
    <x v="2498"/>
    <n v="-1"/>
    <n v="58"/>
    <n v="57"/>
    <n v="23"/>
    <n v="18"/>
    <x v="22"/>
    <n v="18"/>
    <n v="-1"/>
    <n v="63"/>
    <n v="0"/>
    <n v="1"/>
    <n v="1"/>
  </r>
  <r>
    <x v="2499"/>
    <n v="-1"/>
    <n v="63"/>
    <n v="62"/>
    <n v="18"/>
    <n v="28"/>
    <x v="12"/>
    <n v="15"/>
    <n v="12"/>
    <n v="53"/>
    <n v="1.2000000000000002"/>
    <n v="0"/>
    <n v="0"/>
  </r>
  <r>
    <x v="2500"/>
    <n v="12"/>
    <n v="53"/>
    <n v="65"/>
    <n v="15"/>
    <n v="12"/>
    <x v="32"/>
    <n v="22"/>
    <n v="2"/>
    <n v="56"/>
    <n v="0.2"/>
    <n v="0"/>
    <n v="0"/>
  </r>
  <r>
    <x v="2501"/>
    <n v="2"/>
    <n v="56"/>
    <n v="58"/>
    <n v="22"/>
    <n v="23"/>
    <x v="27"/>
    <n v="19"/>
    <n v="6"/>
    <n v="55"/>
    <n v="0.60000000000000009"/>
    <n v="0"/>
    <n v="0"/>
  </r>
  <r>
    <x v="2502"/>
    <n v="6"/>
    <n v="55"/>
    <n v="61"/>
    <n v="19"/>
    <n v="18"/>
    <x v="32"/>
    <n v="12"/>
    <n v="12"/>
    <n v="56"/>
    <n v="1.2000000000000002"/>
    <n v="0"/>
    <n v="0"/>
  </r>
  <r>
    <x v="2503"/>
    <n v="12"/>
    <n v="56"/>
    <n v="68"/>
    <n v="12"/>
    <n v="15"/>
    <x v="12"/>
    <n v="26"/>
    <n v="1"/>
    <n v="53"/>
    <n v="0.1"/>
    <n v="0"/>
    <n v="0"/>
  </r>
  <r>
    <x v="2504"/>
    <n v="1"/>
    <n v="53"/>
    <n v="54"/>
    <n v="26"/>
    <n v="22"/>
    <x v="24"/>
    <n v="23"/>
    <n v="0"/>
    <n v="57"/>
    <n v="0"/>
    <n v="0"/>
    <n v="0"/>
  </r>
  <r>
    <x v="2505"/>
    <n v="0"/>
    <n v="57"/>
    <n v="57"/>
    <n v="23"/>
    <n v="19"/>
    <x v="23"/>
    <n v="27"/>
    <n v="-8"/>
    <n v="61"/>
    <n v="0"/>
    <n v="1"/>
    <n v="8"/>
  </r>
  <r>
    <x v="2506"/>
    <n v="-8"/>
    <n v="61"/>
    <n v="53"/>
    <n v="27"/>
    <n v="12"/>
    <x v="37"/>
    <n v="22"/>
    <n v="-18"/>
    <n v="76"/>
    <n v="0"/>
    <n v="1"/>
    <n v="18"/>
  </r>
  <r>
    <x v="2507"/>
    <n v="-18"/>
    <n v="76"/>
    <n v="58"/>
    <n v="22"/>
    <n v="26"/>
    <x v="29"/>
    <n v="23"/>
    <n v="-15"/>
    <n v="72"/>
    <n v="0"/>
    <n v="1"/>
    <n v="15"/>
  </r>
  <r>
    <x v="2508"/>
    <n v="-15"/>
    <n v="72"/>
    <n v="57"/>
    <n v="23"/>
    <n v="23"/>
    <x v="29"/>
    <n v="18"/>
    <n v="-10"/>
    <n v="72"/>
    <n v="0"/>
    <n v="1"/>
    <n v="10"/>
  </r>
  <r>
    <x v="2509"/>
    <n v="-10"/>
    <n v="72"/>
    <n v="62"/>
    <n v="18"/>
    <n v="27"/>
    <x v="22"/>
    <n v="24"/>
    <n v="-7"/>
    <n v="63"/>
    <n v="0"/>
    <n v="1"/>
    <n v="7"/>
  </r>
  <r>
    <x v="2510"/>
    <n v="-7"/>
    <n v="63"/>
    <n v="56"/>
    <n v="24"/>
    <n v="22"/>
    <x v="26"/>
    <n v="24"/>
    <n v="-9"/>
    <n v="65"/>
    <n v="0"/>
    <n v="1"/>
    <n v="9"/>
  </r>
  <r>
    <x v="2511"/>
    <n v="-9"/>
    <n v="65"/>
    <n v="56"/>
    <n v="24"/>
    <n v="23"/>
    <x v="7"/>
    <n v="14"/>
    <n v="0"/>
    <n v="66"/>
    <n v="0"/>
    <n v="0"/>
    <n v="0"/>
  </r>
  <r>
    <x v="2512"/>
    <n v="0"/>
    <n v="66"/>
    <n v="66"/>
    <n v="14"/>
    <n v="18"/>
    <x v="33"/>
    <n v="18"/>
    <n v="0"/>
    <n v="62"/>
    <n v="0"/>
    <n v="0"/>
    <n v="0"/>
  </r>
  <r>
    <x v="2513"/>
    <n v="0"/>
    <n v="62"/>
    <n v="62"/>
    <n v="18"/>
    <n v="24"/>
    <x v="32"/>
    <n v="23"/>
    <n v="1"/>
    <n v="56"/>
    <n v="0.1"/>
    <n v="0"/>
    <n v="0"/>
  </r>
  <r>
    <x v="2514"/>
    <n v="1"/>
    <n v="56"/>
    <n v="57"/>
    <n v="23"/>
    <n v="24"/>
    <x v="27"/>
    <n v="23"/>
    <n v="2"/>
    <n v="55"/>
    <n v="0.2"/>
    <n v="0"/>
    <n v="0"/>
  </r>
  <r>
    <x v="2515"/>
    <n v="2"/>
    <n v="55"/>
    <n v="57"/>
    <n v="23"/>
    <n v="14"/>
    <x v="8"/>
    <n v="20"/>
    <n v="-4"/>
    <n v="64"/>
    <n v="0"/>
    <n v="1"/>
    <n v="4"/>
  </r>
  <r>
    <x v="2516"/>
    <n v="-4"/>
    <n v="64"/>
    <n v="60"/>
    <n v="20"/>
    <n v="18"/>
    <x v="7"/>
    <n v="22"/>
    <n v="-8"/>
    <n v="66"/>
    <n v="0"/>
    <n v="1"/>
    <n v="8"/>
  </r>
  <r>
    <x v="2517"/>
    <n v="-8"/>
    <n v="66"/>
    <n v="58"/>
    <n v="22"/>
    <n v="23"/>
    <x v="26"/>
    <n v="17"/>
    <n v="-2"/>
    <n v="65"/>
    <n v="0"/>
    <n v="1"/>
    <n v="2"/>
  </r>
  <r>
    <x v="2518"/>
    <n v="-2"/>
    <n v="65"/>
    <n v="63"/>
    <n v="17"/>
    <n v="23"/>
    <x v="5"/>
    <n v="15"/>
    <n v="6"/>
    <n v="59"/>
    <n v="0.60000000000000009"/>
    <n v="0"/>
    <n v="0"/>
  </r>
  <r>
    <x v="2519"/>
    <n v="6"/>
    <n v="59"/>
    <n v="65"/>
    <n v="15"/>
    <n v="20"/>
    <x v="16"/>
    <n v="16"/>
    <n v="10"/>
    <n v="54"/>
    <n v="1"/>
    <n v="0"/>
    <n v="0"/>
  </r>
  <r>
    <x v="2520"/>
    <n v="10"/>
    <n v="54"/>
    <n v="64"/>
    <n v="16"/>
    <n v="22"/>
    <x v="15"/>
    <n v="13"/>
    <n v="19"/>
    <n v="48"/>
    <n v="1.9000000000000001"/>
    <n v="0"/>
    <n v="0"/>
  </r>
  <r>
    <x v="2521"/>
    <n v="19"/>
    <n v="48"/>
    <n v="67"/>
    <n v="13"/>
    <n v="17"/>
    <x v="45"/>
    <n v="20"/>
    <n v="16"/>
    <n v="44"/>
    <n v="1.6"/>
    <n v="0"/>
    <n v="0"/>
  </r>
  <r>
    <x v="2522"/>
    <n v="16"/>
    <n v="44"/>
    <n v="60"/>
    <n v="20"/>
    <n v="15"/>
    <x v="10"/>
    <n v="8"/>
    <n v="23"/>
    <n v="49"/>
    <n v="2.3000000000000003"/>
    <n v="0"/>
    <n v="0"/>
  </r>
  <r>
    <x v="2523"/>
    <n v="23"/>
    <n v="49"/>
    <n v="72"/>
    <n v="8"/>
    <n v="16"/>
    <x v="52"/>
    <n v="15"/>
    <n v="24"/>
    <n v="41"/>
    <n v="2.4000000000000004"/>
    <n v="0"/>
    <n v="0"/>
  </r>
  <r>
    <x v="2524"/>
    <n v="24"/>
    <n v="41"/>
    <n v="65"/>
    <n v="15"/>
    <n v="13"/>
    <x v="51"/>
    <n v="19"/>
    <n v="18"/>
    <n v="43"/>
    <n v="1.8"/>
    <n v="0"/>
    <n v="0"/>
  </r>
  <r>
    <x v="2525"/>
    <n v="18"/>
    <n v="43"/>
    <n v="61"/>
    <n v="19"/>
    <n v="20"/>
    <x v="40"/>
    <n v="26"/>
    <n v="12"/>
    <n v="42"/>
    <n v="1.2000000000000002"/>
    <n v="0"/>
    <n v="0"/>
  </r>
  <r>
    <x v="2526"/>
    <n v="12"/>
    <n v="42"/>
    <n v="54"/>
    <n v="26"/>
    <n v="8"/>
    <x v="4"/>
    <n v="22"/>
    <n v="-2"/>
    <n v="60"/>
    <n v="0"/>
    <n v="1"/>
    <n v="2"/>
  </r>
  <r>
    <x v="2527"/>
    <n v="-2"/>
    <n v="60"/>
    <n v="58"/>
    <n v="22"/>
    <n v="15"/>
    <x v="21"/>
    <n v="19"/>
    <n v="-6"/>
    <n v="67"/>
    <n v="0"/>
    <n v="1"/>
    <n v="6"/>
  </r>
  <r>
    <x v="2528"/>
    <n v="-6"/>
    <n v="67"/>
    <n v="61"/>
    <n v="19"/>
    <n v="19"/>
    <x v="21"/>
    <n v="30"/>
    <n v="-17"/>
    <n v="67"/>
    <n v="0"/>
    <n v="1"/>
    <n v="17"/>
  </r>
  <r>
    <x v="2529"/>
    <n v="-17"/>
    <n v="67"/>
    <n v="50"/>
    <n v="30"/>
    <n v="26"/>
    <x v="20"/>
    <n v="17"/>
    <n v="-8"/>
    <n v="71"/>
    <n v="0"/>
    <n v="1"/>
    <n v="8"/>
  </r>
  <r>
    <x v="2530"/>
    <n v="-8"/>
    <n v="71"/>
    <n v="63"/>
    <n v="17"/>
    <n v="22"/>
    <x v="7"/>
    <n v="22"/>
    <n v="-8"/>
    <n v="66"/>
    <n v="0"/>
    <n v="1"/>
    <n v="8"/>
  </r>
  <r>
    <x v="2531"/>
    <n v="-8"/>
    <n v="66"/>
    <n v="58"/>
    <n v="22"/>
    <n v="19"/>
    <x v="30"/>
    <n v="16"/>
    <n v="-5"/>
    <n v="69"/>
    <n v="0"/>
    <n v="1"/>
    <n v="5"/>
  </r>
  <r>
    <x v="2532"/>
    <n v="-5"/>
    <n v="69"/>
    <n v="64"/>
    <n v="16"/>
    <n v="30"/>
    <x v="27"/>
    <n v="23"/>
    <n v="2"/>
    <n v="55"/>
    <n v="0.2"/>
    <n v="0"/>
    <n v="0"/>
  </r>
  <r>
    <x v="2533"/>
    <n v="2"/>
    <n v="55"/>
    <n v="57"/>
    <n v="23"/>
    <n v="17"/>
    <x v="23"/>
    <n v="15"/>
    <n v="4"/>
    <n v="61"/>
    <n v="0.4"/>
    <n v="0"/>
    <n v="0"/>
  </r>
  <r>
    <x v="2534"/>
    <n v="4"/>
    <n v="61"/>
    <n v="65"/>
    <n v="15"/>
    <n v="22"/>
    <x v="16"/>
    <n v="22"/>
    <n v="4"/>
    <n v="54"/>
    <n v="0.4"/>
    <n v="0"/>
    <n v="0"/>
  </r>
  <r>
    <x v="2535"/>
    <n v="4"/>
    <n v="54"/>
    <n v="58"/>
    <n v="22"/>
    <n v="16"/>
    <x v="4"/>
    <n v="17"/>
    <n v="3"/>
    <n v="60"/>
    <n v="0.30000000000000004"/>
    <n v="0"/>
    <n v="0"/>
  </r>
  <r>
    <x v="2536"/>
    <n v="3"/>
    <n v="60"/>
    <n v="63"/>
    <n v="17"/>
    <n v="23"/>
    <x v="16"/>
    <n v="26"/>
    <n v="0"/>
    <n v="54"/>
    <n v="0"/>
    <n v="0"/>
    <n v="0"/>
  </r>
  <r>
    <x v="2537"/>
    <n v="0"/>
    <n v="54"/>
    <n v="54"/>
    <n v="26"/>
    <n v="15"/>
    <x v="26"/>
    <n v="21"/>
    <n v="-6"/>
    <n v="65"/>
    <n v="0"/>
    <n v="1"/>
    <n v="6"/>
  </r>
  <r>
    <x v="2538"/>
    <n v="-6"/>
    <n v="65"/>
    <n v="59"/>
    <n v="21"/>
    <n v="22"/>
    <x v="8"/>
    <n v="18"/>
    <n v="-2"/>
    <n v="64"/>
    <n v="0"/>
    <n v="1"/>
    <n v="2"/>
  </r>
  <r>
    <x v="2539"/>
    <n v="-2"/>
    <n v="64"/>
    <n v="62"/>
    <n v="18"/>
    <n v="17"/>
    <x v="26"/>
    <n v="22"/>
    <n v="-7"/>
    <n v="65"/>
    <n v="0"/>
    <n v="1"/>
    <n v="7"/>
  </r>
  <r>
    <x v="2540"/>
    <n v="-7"/>
    <n v="65"/>
    <n v="58"/>
    <n v="22"/>
    <n v="26"/>
    <x v="23"/>
    <n v="18"/>
    <n v="1"/>
    <n v="61"/>
    <n v="0.1"/>
    <n v="0"/>
    <n v="0"/>
  </r>
  <r>
    <x v="2541"/>
    <n v="1"/>
    <n v="61"/>
    <n v="62"/>
    <n v="18"/>
    <n v="21"/>
    <x v="28"/>
    <n v="26"/>
    <n v="-4"/>
    <n v="58"/>
    <n v="0"/>
    <n v="1"/>
    <n v="4"/>
  </r>
  <r>
    <x v="2542"/>
    <n v="-4"/>
    <n v="58"/>
    <n v="54"/>
    <n v="26"/>
    <n v="18"/>
    <x v="7"/>
    <n v="20"/>
    <n v="-6"/>
    <n v="66"/>
    <n v="0"/>
    <n v="1"/>
    <n v="6"/>
  </r>
  <r>
    <x v="2543"/>
    <n v="-6"/>
    <n v="66"/>
    <n v="60"/>
    <n v="20"/>
    <n v="22"/>
    <x v="8"/>
    <n v="19"/>
    <n v="-3"/>
    <n v="64"/>
    <n v="0"/>
    <n v="1"/>
    <n v="3"/>
  </r>
  <r>
    <x v="2544"/>
    <n v="-3"/>
    <n v="64"/>
    <n v="61"/>
    <n v="19"/>
    <n v="18"/>
    <x v="26"/>
    <n v="22"/>
    <n v="-7"/>
    <n v="65"/>
    <n v="0"/>
    <n v="1"/>
    <n v="7"/>
  </r>
  <r>
    <x v="2545"/>
    <n v="-7"/>
    <n v="65"/>
    <n v="58"/>
    <n v="22"/>
    <n v="26"/>
    <x v="23"/>
    <n v="19"/>
    <n v="0"/>
    <n v="61"/>
    <n v="0"/>
    <n v="0"/>
    <n v="0"/>
  </r>
  <r>
    <x v="2546"/>
    <n v="0"/>
    <n v="61"/>
    <n v="61"/>
    <n v="19"/>
    <n v="20"/>
    <x v="4"/>
    <n v="14"/>
    <n v="6"/>
    <n v="60"/>
    <n v="0.60000000000000009"/>
    <n v="0"/>
    <n v="0"/>
  </r>
  <r>
    <x v="2547"/>
    <n v="6"/>
    <n v="60"/>
    <n v="66"/>
    <n v="14"/>
    <n v="19"/>
    <x v="27"/>
    <n v="20"/>
    <n v="5"/>
    <n v="55"/>
    <n v="0.5"/>
    <n v="0"/>
    <n v="0"/>
  </r>
  <r>
    <x v="2548"/>
    <n v="5"/>
    <n v="55"/>
    <n v="60"/>
    <n v="20"/>
    <n v="22"/>
    <x v="12"/>
    <n v="27"/>
    <n v="0"/>
    <n v="53"/>
    <n v="0"/>
    <n v="0"/>
    <n v="0"/>
  </r>
  <r>
    <x v="2549"/>
    <n v="0"/>
    <n v="53"/>
    <n v="53"/>
    <n v="27"/>
    <n v="19"/>
    <x v="23"/>
    <n v="18"/>
    <n v="1"/>
    <n v="61"/>
    <n v="0.1"/>
    <n v="0"/>
    <n v="0"/>
  </r>
  <r>
    <x v="2550"/>
    <n v="1"/>
    <n v="61"/>
    <n v="62"/>
    <n v="18"/>
    <n v="14"/>
    <x v="26"/>
    <n v="17"/>
    <n v="-2"/>
    <n v="65"/>
    <n v="0"/>
    <n v="1"/>
    <n v="2"/>
  </r>
  <r>
    <x v="2551"/>
    <n v="-2"/>
    <n v="65"/>
    <n v="63"/>
    <n v="17"/>
    <n v="20"/>
    <x v="33"/>
    <n v="26"/>
    <n v="-8"/>
    <n v="62"/>
    <n v="0"/>
    <n v="1"/>
    <n v="8"/>
  </r>
  <r>
    <x v="2552"/>
    <n v="-8"/>
    <n v="62"/>
    <n v="54"/>
    <n v="26"/>
    <n v="27"/>
    <x v="23"/>
    <n v="25"/>
    <n v="-6"/>
    <n v="61"/>
    <n v="0"/>
    <n v="1"/>
    <n v="6"/>
  </r>
  <r>
    <x v="2553"/>
    <n v="-6"/>
    <n v="61"/>
    <n v="55"/>
    <n v="25"/>
    <n v="18"/>
    <x v="17"/>
    <n v="18"/>
    <n v="-6"/>
    <n v="68"/>
    <n v="0"/>
    <n v="1"/>
    <n v="6"/>
  </r>
  <r>
    <x v="2554"/>
    <n v="-6"/>
    <n v="68"/>
    <n v="62"/>
    <n v="18"/>
    <n v="17"/>
    <x v="30"/>
    <n v="17"/>
    <n v="-6"/>
    <n v="69"/>
    <n v="0"/>
    <n v="1"/>
    <n v="6"/>
  </r>
  <r>
    <x v="2555"/>
    <n v="-6"/>
    <n v="69"/>
    <n v="63"/>
    <n v="17"/>
    <n v="26"/>
    <x v="4"/>
    <n v="21"/>
    <n v="-1"/>
    <n v="60"/>
    <n v="0"/>
    <n v="1"/>
    <n v="1"/>
  </r>
  <r>
    <x v="2556"/>
    <n v="-1"/>
    <n v="60"/>
    <n v="59"/>
    <n v="21"/>
    <n v="25"/>
    <x v="32"/>
    <n v="23"/>
    <n v="1"/>
    <n v="56"/>
    <n v="0.1"/>
    <n v="0"/>
    <n v="0"/>
  </r>
  <r>
    <x v="2557"/>
    <n v="1"/>
    <n v="56"/>
    <n v="57"/>
    <n v="23"/>
    <n v="18"/>
    <x v="23"/>
    <n v="13"/>
    <n v="6"/>
    <n v="61"/>
    <n v="0.60000000000000009"/>
    <n v="0"/>
    <n v="0"/>
  </r>
  <r>
    <x v="2558"/>
    <n v="6"/>
    <n v="61"/>
    <n v="67"/>
    <n v="13"/>
    <n v="17"/>
    <x v="24"/>
    <n v="24"/>
    <n v="-1"/>
    <n v="57"/>
    <n v="0"/>
    <n v="1"/>
    <n v="1"/>
  </r>
  <r>
    <x v="2559"/>
    <n v="-1"/>
    <n v="57"/>
    <n v="56"/>
    <n v="24"/>
    <n v="21"/>
    <x v="4"/>
    <n v="15"/>
    <n v="5"/>
    <n v="60"/>
    <n v="0.5"/>
    <n v="0"/>
    <n v="0"/>
  </r>
  <r>
    <x v="2560"/>
    <n v="5"/>
    <n v="60"/>
    <n v="65"/>
    <n v="15"/>
    <n v="23"/>
    <x v="25"/>
    <n v="23"/>
    <n v="5"/>
    <n v="52"/>
    <n v="0.5"/>
    <n v="0"/>
    <n v="0"/>
  </r>
  <r>
    <x v="2561"/>
    <n v="5"/>
    <n v="52"/>
    <n v="57"/>
    <n v="23"/>
    <n v="13"/>
    <x v="33"/>
    <n v="17"/>
    <n v="1"/>
    <n v="62"/>
    <n v="0.1"/>
    <n v="0"/>
    <n v="0"/>
  </r>
  <r>
    <x v="2562"/>
    <n v="1"/>
    <n v="62"/>
    <n v="63"/>
    <n v="17"/>
    <n v="24"/>
    <x v="27"/>
    <n v="22"/>
    <n v="3"/>
    <n v="55"/>
    <n v="0.30000000000000004"/>
    <n v="0"/>
    <n v="0"/>
  </r>
  <r>
    <x v="2563"/>
    <n v="3"/>
    <n v="55"/>
    <n v="58"/>
    <n v="22"/>
    <n v="15"/>
    <x v="33"/>
    <n v="21"/>
    <n v="-3"/>
    <n v="62"/>
    <n v="0"/>
    <n v="1"/>
    <n v="3"/>
  </r>
  <r>
    <x v="2564"/>
    <n v="-3"/>
    <n v="62"/>
    <n v="59"/>
    <n v="21"/>
    <n v="23"/>
    <x v="4"/>
    <n v="20"/>
    <n v="0"/>
    <n v="60"/>
    <n v="0"/>
    <n v="0"/>
    <n v="0"/>
  </r>
  <r>
    <x v="2565"/>
    <n v="0"/>
    <n v="60"/>
    <n v="60"/>
    <n v="20"/>
    <n v="17"/>
    <x v="22"/>
    <n v="20"/>
    <n v="-3"/>
    <n v="63"/>
    <n v="0"/>
    <n v="1"/>
    <n v="3"/>
  </r>
  <r>
    <x v="2566"/>
    <n v="-3"/>
    <n v="63"/>
    <n v="60"/>
    <n v="20"/>
    <n v="22"/>
    <x v="23"/>
    <n v="19"/>
    <n v="0"/>
    <n v="61"/>
    <n v="0"/>
    <n v="0"/>
    <n v="0"/>
  </r>
  <r>
    <x v="2567"/>
    <n v="0"/>
    <n v="61"/>
    <n v="61"/>
    <n v="19"/>
    <n v="21"/>
    <x v="5"/>
    <n v="16"/>
    <n v="5"/>
    <n v="59"/>
    <n v="0.5"/>
    <n v="0"/>
    <n v="0"/>
  </r>
  <r>
    <x v="2568"/>
    <n v="5"/>
    <n v="59"/>
    <n v="64"/>
    <n v="16"/>
    <n v="20"/>
    <x v="27"/>
    <n v="24"/>
    <n v="1"/>
    <n v="55"/>
    <n v="0.1"/>
    <n v="0"/>
    <n v="0"/>
  </r>
  <r>
    <x v="2569"/>
    <n v="1"/>
    <n v="55"/>
    <n v="56"/>
    <n v="24"/>
    <n v="20"/>
    <x v="5"/>
    <n v="22"/>
    <n v="-1"/>
    <n v="59"/>
    <n v="0"/>
    <n v="1"/>
    <n v="1"/>
  </r>
  <r>
    <x v="2570"/>
    <n v="-1"/>
    <n v="59"/>
    <n v="58"/>
    <n v="22"/>
    <n v="19"/>
    <x v="33"/>
    <n v="13"/>
    <n v="5"/>
    <n v="62"/>
    <n v="0.5"/>
    <n v="0"/>
    <n v="0"/>
  </r>
  <r>
    <x v="2571"/>
    <n v="5"/>
    <n v="62"/>
    <n v="67"/>
    <n v="13"/>
    <n v="16"/>
    <x v="5"/>
    <n v="23"/>
    <n v="-2"/>
    <n v="59"/>
    <n v="0"/>
    <n v="1"/>
    <n v="2"/>
  </r>
  <r>
    <x v="2572"/>
    <n v="-2"/>
    <n v="59"/>
    <n v="57"/>
    <n v="23"/>
    <n v="24"/>
    <x v="28"/>
    <n v="18"/>
    <n v="4"/>
    <n v="58"/>
    <n v="0.4"/>
    <n v="0"/>
    <n v="0"/>
  </r>
  <r>
    <x v="2573"/>
    <n v="4"/>
    <n v="58"/>
    <n v="62"/>
    <n v="18"/>
    <n v="22"/>
    <x v="16"/>
    <n v="18"/>
    <n v="8"/>
    <n v="54"/>
    <n v="0.8"/>
    <n v="0"/>
    <n v="0"/>
  </r>
  <r>
    <x v="2574"/>
    <n v="8"/>
    <n v="54"/>
    <n v="62"/>
    <n v="18"/>
    <n v="13"/>
    <x v="5"/>
    <n v="27"/>
    <n v="-6"/>
    <n v="59"/>
    <n v="0"/>
    <n v="1"/>
    <n v="6"/>
  </r>
  <r>
    <x v="2575"/>
    <n v="-6"/>
    <n v="59"/>
    <n v="53"/>
    <n v="27"/>
    <n v="23"/>
    <x v="22"/>
    <n v="24"/>
    <n v="-7"/>
    <n v="63"/>
    <n v="0"/>
    <n v="1"/>
    <n v="7"/>
  </r>
  <r>
    <x v="2576"/>
    <n v="-7"/>
    <n v="63"/>
    <n v="56"/>
    <n v="24"/>
    <n v="18"/>
    <x v="30"/>
    <n v="14"/>
    <n v="-3"/>
    <n v="69"/>
    <n v="0"/>
    <n v="1"/>
    <n v="3"/>
  </r>
  <r>
    <x v="2577"/>
    <n v="-3"/>
    <n v="69"/>
    <n v="66"/>
    <n v="14"/>
    <n v="18"/>
    <x v="26"/>
    <n v="19"/>
    <n v="-4"/>
    <n v="65"/>
    <n v="0"/>
    <n v="1"/>
    <n v="4"/>
  </r>
  <r>
    <x v="2578"/>
    <n v="-4"/>
    <n v="65"/>
    <n v="61"/>
    <n v="19"/>
    <n v="27"/>
    <x v="24"/>
    <n v="12"/>
    <n v="11"/>
    <n v="57"/>
    <n v="1.1000000000000001"/>
    <n v="0"/>
    <n v="0"/>
  </r>
  <r>
    <x v="2579"/>
    <n v="11"/>
    <n v="57"/>
    <n v="68"/>
    <n v="12"/>
    <n v="24"/>
    <x v="11"/>
    <n v="20"/>
    <n v="15"/>
    <n v="45"/>
    <n v="1.5"/>
    <n v="0"/>
    <n v="0"/>
  </r>
  <r>
    <x v="2580"/>
    <n v="15"/>
    <n v="45"/>
    <n v="60"/>
    <n v="20"/>
    <n v="14"/>
    <x v="9"/>
    <n v="19"/>
    <n v="10"/>
    <n v="51"/>
    <n v="1"/>
    <n v="0"/>
    <n v="0"/>
  </r>
  <r>
    <x v="2581"/>
    <n v="10"/>
    <n v="51"/>
    <n v="61"/>
    <n v="19"/>
    <n v="19"/>
    <x v="9"/>
    <n v="28"/>
    <n v="1"/>
    <n v="51"/>
    <n v="0.1"/>
    <n v="0"/>
    <n v="0"/>
  </r>
  <r>
    <x v="2582"/>
    <n v="1"/>
    <n v="51"/>
    <n v="52"/>
    <n v="28"/>
    <n v="12"/>
    <x v="21"/>
    <n v="22"/>
    <n v="-9"/>
    <n v="67"/>
    <n v="0"/>
    <n v="1"/>
    <n v="9"/>
  </r>
  <r>
    <x v="2583"/>
    <n v="-9"/>
    <n v="67"/>
    <n v="58"/>
    <n v="22"/>
    <n v="20"/>
    <x v="30"/>
    <n v="17"/>
    <n v="-6"/>
    <n v="69"/>
    <n v="0"/>
    <n v="1"/>
    <n v="6"/>
  </r>
  <r>
    <x v="2584"/>
    <n v="-6"/>
    <n v="69"/>
    <n v="63"/>
    <n v="17"/>
    <n v="19"/>
    <x v="21"/>
    <n v="23"/>
    <n v="-10"/>
    <n v="67"/>
    <n v="0"/>
    <n v="1"/>
    <n v="10"/>
  </r>
  <r>
    <x v="2585"/>
    <n v="-10"/>
    <n v="67"/>
    <n v="57"/>
    <n v="23"/>
    <n v="28"/>
    <x v="33"/>
    <n v="23"/>
    <n v="-5"/>
    <n v="62"/>
    <n v="0"/>
    <n v="1"/>
    <n v="5"/>
  </r>
  <r>
    <x v="2586"/>
    <n v="-5"/>
    <n v="62"/>
    <n v="57"/>
    <n v="23"/>
    <n v="22"/>
    <x v="22"/>
    <n v="19"/>
    <n v="-2"/>
    <n v="63"/>
    <n v="0"/>
    <n v="1"/>
    <n v="2"/>
  </r>
  <r>
    <x v="2587"/>
    <n v="-2"/>
    <n v="63"/>
    <n v="61"/>
    <n v="19"/>
    <n v="17"/>
    <x v="26"/>
    <n v="15"/>
    <n v="0"/>
    <n v="65"/>
    <n v="0"/>
    <n v="0"/>
    <n v="0"/>
  </r>
  <r>
    <x v="2588"/>
    <n v="0"/>
    <n v="65"/>
    <n v="65"/>
    <n v="15"/>
    <n v="23"/>
    <x v="24"/>
    <n v="17"/>
    <n v="6"/>
    <n v="57"/>
    <n v="0.60000000000000009"/>
    <n v="0"/>
    <n v="0"/>
  </r>
  <r>
    <x v="2589"/>
    <n v="6"/>
    <n v="57"/>
    <n v="63"/>
    <n v="17"/>
    <n v="23"/>
    <x v="9"/>
    <n v="25"/>
    <n v="4"/>
    <n v="51"/>
    <n v="0.4"/>
    <n v="0"/>
    <n v="0"/>
  </r>
  <r>
    <x v="2590"/>
    <n v="4"/>
    <n v="51"/>
    <n v="55"/>
    <n v="25"/>
    <n v="19"/>
    <x v="24"/>
    <n v="23"/>
    <n v="0"/>
    <n v="57"/>
    <n v="0"/>
    <n v="0"/>
    <n v="0"/>
  </r>
  <r>
    <x v="2591"/>
    <n v="0"/>
    <n v="57"/>
    <n v="57"/>
    <n v="23"/>
    <n v="15"/>
    <x v="26"/>
    <n v="16"/>
    <n v="-1"/>
    <n v="65"/>
    <n v="0"/>
    <n v="1"/>
    <n v="1"/>
  </r>
  <r>
    <x v="2592"/>
    <n v="-1"/>
    <n v="65"/>
    <n v="64"/>
    <n v="16"/>
    <n v="17"/>
    <x v="8"/>
    <n v="26"/>
    <n v="-10"/>
    <n v="64"/>
    <n v="0"/>
    <n v="1"/>
    <n v="10"/>
  </r>
  <r>
    <x v="2593"/>
    <n v="-10"/>
    <n v="64"/>
    <n v="54"/>
    <n v="26"/>
    <n v="25"/>
    <x v="26"/>
    <n v="19"/>
    <n v="-4"/>
    <n v="65"/>
    <n v="0"/>
    <n v="1"/>
    <n v="4"/>
  </r>
  <r>
    <x v="2594"/>
    <n v="-4"/>
    <n v="65"/>
    <n v="61"/>
    <n v="19"/>
    <n v="23"/>
    <x v="23"/>
    <n v="24"/>
    <n v="-5"/>
    <n v="61"/>
    <n v="0"/>
    <n v="1"/>
    <n v="5"/>
  </r>
  <r>
    <x v="2595"/>
    <n v="-5"/>
    <n v="61"/>
    <n v="56"/>
    <n v="24"/>
    <n v="16"/>
    <x v="30"/>
    <n v="25"/>
    <n v="-14"/>
    <n v="69"/>
    <n v="0"/>
    <n v="1"/>
    <n v="14"/>
  </r>
  <r>
    <x v="2596"/>
    <n v="-14"/>
    <n v="69"/>
    <n v="55"/>
    <n v="25"/>
    <n v="26"/>
    <x v="17"/>
    <n v="20"/>
    <n v="-8"/>
    <n v="68"/>
    <n v="0"/>
    <n v="1"/>
    <n v="8"/>
  </r>
  <r>
    <x v="2597"/>
    <n v="-8"/>
    <n v="68"/>
    <n v="60"/>
    <n v="20"/>
    <n v="19"/>
    <x v="30"/>
    <n v="18"/>
    <n v="-7"/>
    <n v="69"/>
    <n v="0"/>
    <n v="1"/>
    <n v="7"/>
  </r>
  <r>
    <x v="2598"/>
    <n v="-7"/>
    <n v="69"/>
    <n v="62"/>
    <n v="18"/>
    <n v="24"/>
    <x v="22"/>
    <n v="22"/>
    <n v="-5"/>
    <n v="63"/>
    <n v="0"/>
    <n v="1"/>
    <n v="5"/>
  </r>
  <r>
    <x v="2599"/>
    <n v="-5"/>
    <n v="63"/>
    <n v="58"/>
    <n v="22"/>
    <n v="25"/>
    <x v="4"/>
    <n v="26"/>
    <n v="-6"/>
    <n v="60"/>
    <n v="0"/>
    <n v="1"/>
    <n v="6"/>
  </r>
  <r>
    <x v="2600"/>
    <n v="-6"/>
    <n v="60"/>
    <n v="54"/>
    <n v="26"/>
    <n v="20"/>
    <x v="7"/>
    <n v="24"/>
    <n v="-10"/>
    <n v="66"/>
    <n v="0"/>
    <n v="1"/>
    <n v="10"/>
  </r>
  <r>
    <x v="2601"/>
    <n v="-10"/>
    <n v="66"/>
    <n v="56"/>
    <n v="24"/>
    <n v="18"/>
    <x v="29"/>
    <n v="34"/>
    <n v="-26"/>
    <n v="72"/>
    <n v="0"/>
    <n v="1"/>
    <n v="26"/>
  </r>
  <r>
    <x v="2602"/>
    <n v="-26"/>
    <n v="72"/>
    <n v="46"/>
    <n v="34"/>
    <n v="22"/>
    <x v="53"/>
    <n v="20"/>
    <n v="-24"/>
    <n v="84"/>
    <n v="0"/>
    <n v="1"/>
    <n v="20"/>
  </r>
  <r>
    <x v="2603"/>
    <n v="-24"/>
    <n v="84"/>
    <n v="60"/>
    <n v="20"/>
    <n v="26"/>
    <x v="35"/>
    <n v="21"/>
    <n v="-19"/>
    <n v="78"/>
    <n v="0"/>
    <n v="1"/>
    <n v="19"/>
  </r>
  <r>
    <x v="2604"/>
    <n v="-19"/>
    <n v="78"/>
    <n v="59"/>
    <n v="21"/>
    <n v="24"/>
    <x v="44"/>
    <n v="22"/>
    <n v="-17"/>
    <n v="75"/>
    <n v="0"/>
    <n v="1"/>
    <n v="17"/>
  </r>
  <r>
    <x v="2605"/>
    <n v="-17"/>
    <n v="75"/>
    <n v="58"/>
    <n v="22"/>
    <n v="34"/>
    <x v="22"/>
    <n v="14"/>
    <n v="3"/>
    <n v="63"/>
    <n v="0.30000000000000004"/>
    <n v="0"/>
    <n v="0"/>
  </r>
  <r>
    <x v="2606"/>
    <n v="3"/>
    <n v="63"/>
    <n v="66"/>
    <n v="14"/>
    <n v="20"/>
    <x v="24"/>
    <n v="20"/>
    <n v="3"/>
    <n v="57"/>
    <n v="0.30000000000000004"/>
    <n v="0"/>
    <n v="0"/>
  </r>
  <r>
    <x v="2607"/>
    <n v="3"/>
    <n v="57"/>
    <n v="60"/>
    <n v="20"/>
    <n v="21"/>
    <x v="32"/>
    <n v="22"/>
    <n v="2"/>
    <n v="56"/>
    <n v="0.2"/>
    <n v="0"/>
    <n v="0"/>
  </r>
  <r>
    <x v="2608"/>
    <n v="2"/>
    <n v="56"/>
    <n v="58"/>
    <n v="22"/>
    <n v="22"/>
    <x v="32"/>
    <n v="31"/>
    <n v="-7"/>
    <n v="56"/>
    <n v="0"/>
    <n v="1"/>
    <n v="7"/>
  </r>
  <r>
    <x v="2609"/>
    <n v="-7"/>
    <n v="56"/>
    <n v="49"/>
    <n v="31"/>
    <n v="14"/>
    <x v="31"/>
    <n v="20"/>
    <n v="-13"/>
    <n v="73"/>
    <n v="0"/>
    <n v="1"/>
    <n v="13"/>
  </r>
  <r>
    <x v="2610"/>
    <n v="-13"/>
    <n v="73"/>
    <n v="60"/>
    <n v="20"/>
    <n v="20"/>
    <x v="31"/>
    <n v="21"/>
    <n v="-14"/>
    <n v="73"/>
    <n v="0"/>
    <n v="1"/>
    <n v="14"/>
  </r>
  <r>
    <x v="2611"/>
    <n v="-14"/>
    <n v="73"/>
    <n v="59"/>
    <n v="21"/>
    <n v="22"/>
    <x v="29"/>
    <n v="19"/>
    <n v="-11"/>
    <n v="72"/>
    <n v="0"/>
    <n v="1"/>
    <n v="11"/>
  </r>
  <r>
    <x v="2612"/>
    <n v="-11"/>
    <n v="72"/>
    <n v="61"/>
    <n v="19"/>
    <n v="31"/>
    <x v="4"/>
    <n v="14"/>
    <n v="6"/>
    <n v="60"/>
    <n v="0.60000000000000009"/>
    <n v="0"/>
    <n v="0"/>
  </r>
  <r>
    <x v="2613"/>
    <n v="6"/>
    <n v="60"/>
    <n v="66"/>
    <n v="14"/>
    <n v="20"/>
    <x v="16"/>
    <n v="18"/>
    <n v="8"/>
    <n v="54"/>
    <n v="0.8"/>
    <n v="0"/>
    <n v="0"/>
  </r>
  <r>
    <x v="2614"/>
    <n v="8"/>
    <n v="54"/>
    <n v="62"/>
    <n v="18"/>
    <n v="21"/>
    <x v="9"/>
    <n v="20"/>
    <n v="9"/>
    <n v="51"/>
    <n v="0.9"/>
    <n v="0"/>
    <n v="0"/>
  </r>
  <r>
    <x v="2615"/>
    <n v="9"/>
    <n v="51"/>
    <n v="60"/>
    <n v="20"/>
    <n v="19"/>
    <x v="25"/>
    <n v="16"/>
    <n v="12"/>
    <n v="52"/>
    <n v="1.2000000000000002"/>
    <n v="0"/>
    <n v="0"/>
  </r>
  <r>
    <x v="2616"/>
    <n v="12"/>
    <n v="52"/>
    <n v="64"/>
    <n v="16"/>
    <n v="14"/>
    <x v="16"/>
    <n v="13"/>
    <n v="13"/>
    <n v="54"/>
    <n v="1.3"/>
    <n v="0"/>
    <n v="0"/>
  </r>
  <r>
    <x v="2617"/>
    <n v="13"/>
    <n v="54"/>
    <n v="67"/>
    <n v="13"/>
    <n v="18"/>
    <x v="10"/>
    <n v="15"/>
    <n v="16"/>
    <n v="49"/>
    <n v="1.6"/>
    <n v="0"/>
    <n v="0"/>
  </r>
  <r>
    <x v="2618"/>
    <n v="16"/>
    <n v="49"/>
    <n v="65"/>
    <n v="15"/>
    <n v="20"/>
    <x v="45"/>
    <n v="17"/>
    <n v="19"/>
    <n v="44"/>
    <n v="1.9000000000000001"/>
    <n v="0"/>
    <n v="0"/>
  </r>
  <r>
    <x v="2619"/>
    <n v="19"/>
    <n v="44"/>
    <n v="63"/>
    <n v="17"/>
    <n v="16"/>
    <x v="11"/>
    <n v="16"/>
    <n v="19"/>
    <n v="45"/>
    <n v="1.9000000000000001"/>
    <n v="0"/>
    <n v="0"/>
  </r>
  <r>
    <x v="2620"/>
    <n v="19"/>
    <n v="45"/>
    <n v="64"/>
    <n v="16"/>
    <n v="13"/>
    <x v="15"/>
    <n v="26"/>
    <n v="6"/>
    <n v="48"/>
    <n v="0.60000000000000009"/>
    <n v="0"/>
    <n v="0"/>
  </r>
  <r>
    <x v="2621"/>
    <n v="6"/>
    <n v="48"/>
    <n v="54"/>
    <n v="26"/>
    <n v="15"/>
    <x v="5"/>
    <n v="20"/>
    <n v="1"/>
    <n v="59"/>
    <n v="0.1"/>
    <n v="0"/>
    <n v="0"/>
  </r>
  <r>
    <x v="2622"/>
    <n v="1"/>
    <n v="59"/>
    <n v="60"/>
    <n v="20"/>
    <n v="17"/>
    <x v="33"/>
    <n v="15"/>
    <n v="3"/>
    <n v="62"/>
    <n v="0.30000000000000004"/>
    <n v="0"/>
    <n v="0"/>
  </r>
  <r>
    <x v="2623"/>
    <n v="3"/>
    <n v="62"/>
    <n v="65"/>
    <n v="15"/>
    <n v="16"/>
    <x v="23"/>
    <n v="27"/>
    <n v="-8"/>
    <n v="61"/>
    <n v="0"/>
    <n v="1"/>
    <n v="8"/>
  </r>
  <r>
    <x v="2624"/>
    <n v="-8"/>
    <n v="61"/>
    <n v="53"/>
    <n v="27"/>
    <n v="26"/>
    <x v="33"/>
    <n v="27"/>
    <n v="-9"/>
    <n v="62"/>
    <n v="0"/>
    <n v="1"/>
    <n v="9"/>
  </r>
  <r>
    <x v="2625"/>
    <n v="-9"/>
    <n v="62"/>
    <n v="53"/>
    <n v="27"/>
    <n v="20"/>
    <x v="30"/>
    <n v="30"/>
    <n v="-19"/>
    <n v="69"/>
    <n v="0"/>
    <n v="1"/>
    <n v="19"/>
  </r>
  <r>
    <x v="2626"/>
    <n v="-19"/>
    <n v="69"/>
    <n v="50"/>
    <n v="30"/>
    <n v="15"/>
    <x v="53"/>
    <n v="21"/>
    <n v="-25"/>
    <n v="84"/>
    <n v="0"/>
    <n v="1"/>
    <n v="21"/>
  </r>
  <r>
    <x v="2627"/>
    <n v="-25"/>
    <n v="84"/>
    <n v="59"/>
    <n v="21"/>
    <n v="27"/>
    <x v="35"/>
    <n v="18"/>
    <n v="-16"/>
    <n v="78"/>
    <n v="0"/>
    <n v="1"/>
    <n v="16"/>
  </r>
  <r>
    <x v="2628"/>
    <n v="-16"/>
    <n v="78"/>
    <n v="62"/>
    <n v="18"/>
    <n v="27"/>
    <x v="30"/>
    <n v="10"/>
    <n v="1"/>
    <n v="69"/>
    <n v="0.1"/>
    <n v="0"/>
    <n v="0"/>
  </r>
  <r>
    <x v="2629"/>
    <n v="1"/>
    <n v="69"/>
    <n v="70"/>
    <n v="10"/>
    <n v="30"/>
    <x v="10"/>
    <n v="24"/>
    <n v="7"/>
    <n v="49"/>
    <n v="0.70000000000000007"/>
    <n v="0"/>
    <n v="0"/>
  </r>
  <r>
    <x v="2630"/>
    <n v="7"/>
    <n v="49"/>
    <n v="56"/>
    <n v="24"/>
    <n v="21"/>
    <x v="25"/>
    <n v="23"/>
    <n v="5"/>
    <n v="52"/>
    <n v="0.5"/>
    <n v="0"/>
    <n v="0"/>
  </r>
  <r>
    <x v="2631"/>
    <n v="5"/>
    <n v="52"/>
    <n v="57"/>
    <n v="23"/>
    <n v="18"/>
    <x v="24"/>
    <n v="26"/>
    <n v="-3"/>
    <n v="57"/>
    <n v="0"/>
    <n v="1"/>
    <n v="3"/>
  </r>
  <r>
    <x v="2632"/>
    <n v="-3"/>
    <n v="57"/>
    <n v="54"/>
    <n v="26"/>
    <n v="10"/>
    <x v="31"/>
    <n v="14"/>
    <n v="-7"/>
    <n v="73"/>
    <n v="0"/>
    <n v="1"/>
    <n v="7"/>
  </r>
  <r>
    <x v="2633"/>
    <n v="-7"/>
    <n v="73"/>
    <n v="66"/>
    <n v="14"/>
    <n v="24"/>
    <x v="22"/>
    <n v="23"/>
    <n v="-6"/>
    <n v="63"/>
    <n v="0"/>
    <n v="1"/>
    <n v="6"/>
  </r>
  <r>
    <x v="2634"/>
    <n v="-6"/>
    <n v="63"/>
    <n v="57"/>
    <n v="23"/>
    <n v="23"/>
    <x v="22"/>
    <n v="21"/>
    <n v="-4"/>
    <n v="63"/>
    <n v="0"/>
    <n v="1"/>
    <n v="4"/>
  </r>
  <r>
    <x v="2635"/>
    <n v="-4"/>
    <n v="63"/>
    <n v="59"/>
    <n v="21"/>
    <n v="26"/>
    <x v="28"/>
    <n v="18"/>
    <n v="4"/>
    <n v="58"/>
    <n v="0.4"/>
    <n v="0"/>
    <n v="0"/>
  </r>
  <r>
    <x v="2636"/>
    <n v="4"/>
    <n v="58"/>
    <n v="62"/>
    <n v="18"/>
    <n v="14"/>
    <x v="33"/>
    <n v="16"/>
    <n v="2"/>
    <n v="62"/>
    <n v="0.2"/>
    <n v="0"/>
    <n v="0"/>
  </r>
  <r>
    <x v="2637"/>
    <n v="2"/>
    <n v="62"/>
    <n v="64"/>
    <n v="16"/>
    <n v="23"/>
    <x v="27"/>
    <n v="28"/>
    <n v="-3"/>
    <n v="55"/>
    <n v="0"/>
    <n v="1"/>
    <n v="3"/>
  </r>
  <r>
    <x v="2638"/>
    <n v="-3"/>
    <n v="55"/>
    <n v="52"/>
    <n v="28"/>
    <n v="21"/>
    <x v="33"/>
    <n v="24"/>
    <n v="-6"/>
    <n v="62"/>
    <n v="0"/>
    <n v="1"/>
    <n v="6"/>
  </r>
  <r>
    <x v="2639"/>
    <n v="-6"/>
    <n v="62"/>
    <n v="56"/>
    <n v="24"/>
    <n v="18"/>
    <x v="17"/>
    <n v="21"/>
    <n v="-9"/>
    <n v="68"/>
    <n v="0"/>
    <n v="1"/>
    <n v="9"/>
  </r>
  <r>
    <x v="2640"/>
    <n v="-9"/>
    <n v="68"/>
    <n v="59"/>
    <n v="21"/>
    <n v="16"/>
    <x v="31"/>
    <n v="19"/>
    <n v="-12"/>
    <n v="73"/>
    <n v="0"/>
    <n v="1"/>
    <n v="12"/>
  </r>
  <r>
    <x v="2641"/>
    <n v="-12"/>
    <n v="73"/>
    <n v="61"/>
    <n v="19"/>
    <n v="28"/>
    <x v="8"/>
    <n v="23"/>
    <n v="-7"/>
    <n v="64"/>
    <n v="0"/>
    <n v="1"/>
    <n v="7"/>
  </r>
  <r>
    <x v="2642"/>
    <n v="-7"/>
    <n v="64"/>
    <n v="57"/>
    <n v="23"/>
    <n v="24"/>
    <x v="22"/>
    <n v="21"/>
    <n v="-4"/>
    <n v="63"/>
    <n v="0"/>
    <n v="1"/>
    <n v="4"/>
  </r>
  <r>
    <x v="2643"/>
    <n v="-4"/>
    <n v="63"/>
    <n v="59"/>
    <n v="21"/>
    <n v="21"/>
    <x v="22"/>
    <n v="15"/>
    <n v="2"/>
    <n v="63"/>
    <n v="0.2"/>
    <n v="0"/>
    <n v="0"/>
  </r>
  <r>
    <x v="2644"/>
    <n v="2"/>
    <n v="63"/>
    <n v="65"/>
    <n v="15"/>
    <n v="19"/>
    <x v="5"/>
    <n v="20"/>
    <n v="1"/>
    <n v="59"/>
    <n v="0.1"/>
    <n v="0"/>
    <n v="0"/>
  </r>
  <r>
    <x v="2645"/>
    <n v="1"/>
    <n v="59"/>
    <n v="60"/>
    <n v="20"/>
    <n v="23"/>
    <x v="32"/>
    <n v="18"/>
    <n v="6"/>
    <n v="56"/>
    <n v="0.60000000000000009"/>
    <n v="0"/>
    <n v="0"/>
  </r>
  <r>
    <x v="2646"/>
    <n v="6"/>
    <n v="56"/>
    <n v="62"/>
    <n v="18"/>
    <n v="21"/>
    <x v="12"/>
    <n v="17"/>
    <n v="10"/>
    <n v="53"/>
    <n v="1"/>
    <n v="0"/>
    <n v="0"/>
  </r>
  <r>
    <x v="2647"/>
    <n v="10"/>
    <n v="53"/>
    <n v="63"/>
    <n v="17"/>
    <n v="15"/>
    <x v="27"/>
    <n v="23"/>
    <n v="2"/>
    <n v="55"/>
    <n v="0.2"/>
    <n v="0"/>
    <n v="0"/>
  </r>
  <r>
    <x v="2648"/>
    <n v="2"/>
    <n v="55"/>
    <n v="57"/>
    <n v="23"/>
    <n v="20"/>
    <x v="28"/>
    <n v="22"/>
    <n v="0"/>
    <n v="58"/>
    <n v="0"/>
    <n v="0"/>
    <n v="0"/>
  </r>
  <r>
    <x v="2649"/>
    <n v="0"/>
    <n v="58"/>
    <n v="58"/>
    <n v="22"/>
    <n v="18"/>
    <x v="33"/>
    <n v="22"/>
    <n v="-4"/>
    <n v="62"/>
    <n v="0"/>
    <n v="1"/>
    <n v="4"/>
  </r>
  <r>
    <x v="2650"/>
    <n v="-4"/>
    <n v="62"/>
    <n v="58"/>
    <n v="22"/>
    <n v="17"/>
    <x v="21"/>
    <n v="24"/>
    <n v="-11"/>
    <n v="67"/>
    <n v="0"/>
    <n v="1"/>
    <n v="11"/>
  </r>
  <r>
    <x v="2651"/>
    <n v="-11"/>
    <n v="67"/>
    <n v="56"/>
    <n v="24"/>
    <n v="23"/>
    <x v="17"/>
    <n v="21"/>
    <n v="-9"/>
    <n v="68"/>
    <n v="0"/>
    <n v="1"/>
    <n v="9"/>
  </r>
  <r>
    <x v="2652"/>
    <n v="-9"/>
    <n v="68"/>
    <n v="59"/>
    <n v="21"/>
    <n v="22"/>
    <x v="21"/>
    <n v="22"/>
    <n v="-9"/>
    <n v="67"/>
    <n v="0"/>
    <n v="1"/>
    <n v="9"/>
  </r>
  <r>
    <x v="2653"/>
    <n v="-9"/>
    <n v="67"/>
    <n v="58"/>
    <n v="22"/>
    <n v="22"/>
    <x v="21"/>
    <n v="24"/>
    <n v="-11"/>
    <n v="67"/>
    <n v="0"/>
    <n v="1"/>
    <n v="11"/>
  </r>
  <r>
    <x v="2654"/>
    <n v="-11"/>
    <n v="67"/>
    <n v="56"/>
    <n v="24"/>
    <n v="24"/>
    <x v="21"/>
    <n v="24"/>
    <n v="-11"/>
    <n v="67"/>
    <n v="0"/>
    <n v="1"/>
    <n v="11"/>
  </r>
  <r>
    <x v="2655"/>
    <n v="-11"/>
    <n v="67"/>
    <n v="56"/>
    <n v="24"/>
    <n v="21"/>
    <x v="6"/>
    <n v="13"/>
    <n v="-3"/>
    <n v="70"/>
    <n v="0"/>
    <n v="1"/>
    <n v="3"/>
  </r>
  <r>
    <x v="2656"/>
    <n v="-3"/>
    <n v="70"/>
    <n v="67"/>
    <n v="13"/>
    <n v="22"/>
    <x v="23"/>
    <n v="19"/>
    <n v="0"/>
    <n v="61"/>
    <n v="0"/>
    <n v="0"/>
    <n v="0"/>
  </r>
  <r>
    <x v="2657"/>
    <n v="0"/>
    <n v="61"/>
    <n v="61"/>
    <n v="19"/>
    <n v="24"/>
    <x v="32"/>
    <n v="21"/>
    <n v="3"/>
    <n v="56"/>
    <n v="0.30000000000000004"/>
    <n v="0"/>
    <n v="0"/>
  </r>
  <r>
    <x v="2658"/>
    <n v="3"/>
    <n v="56"/>
    <n v="59"/>
    <n v="21"/>
    <n v="24"/>
    <x v="12"/>
    <n v="21"/>
    <n v="6"/>
    <n v="53"/>
    <n v="0.60000000000000009"/>
    <n v="0"/>
    <n v="0"/>
  </r>
  <r>
    <x v="2659"/>
    <n v="6"/>
    <n v="53"/>
    <n v="59"/>
    <n v="21"/>
    <n v="13"/>
    <x v="23"/>
    <n v="17"/>
    <n v="2"/>
    <n v="61"/>
    <n v="0.2"/>
    <n v="0"/>
    <n v="0"/>
  </r>
  <r>
    <x v="2660"/>
    <n v="2"/>
    <n v="61"/>
    <n v="63"/>
    <n v="17"/>
    <n v="19"/>
    <x v="5"/>
    <n v="17"/>
    <n v="4"/>
    <n v="59"/>
    <n v="0.4"/>
    <n v="0"/>
    <n v="0"/>
  </r>
  <r>
    <x v="2661"/>
    <n v="4"/>
    <n v="59"/>
    <n v="63"/>
    <n v="17"/>
    <n v="21"/>
    <x v="27"/>
    <n v="24"/>
    <n v="1"/>
    <n v="55"/>
    <n v="0.1"/>
    <n v="0"/>
    <n v="0"/>
  </r>
  <r>
    <x v="2662"/>
    <n v="1"/>
    <n v="55"/>
    <n v="56"/>
    <n v="24"/>
    <n v="21"/>
    <x v="28"/>
    <n v="13"/>
    <n v="9"/>
    <n v="58"/>
    <n v="0.9"/>
    <n v="0"/>
    <n v="0"/>
  </r>
  <r>
    <x v="2663"/>
    <n v="9"/>
    <n v="58"/>
    <n v="67"/>
    <n v="13"/>
    <n v="17"/>
    <x v="16"/>
    <n v="19"/>
    <n v="7"/>
    <n v="54"/>
    <n v="0.70000000000000007"/>
    <n v="0"/>
    <n v="0"/>
  </r>
  <r>
    <x v="2664"/>
    <n v="7"/>
    <n v="54"/>
    <n v="61"/>
    <n v="19"/>
    <n v="17"/>
    <x v="32"/>
    <n v="19"/>
    <n v="5"/>
    <n v="56"/>
    <n v="0.5"/>
    <n v="0"/>
    <n v="0"/>
  </r>
  <r>
    <x v="2665"/>
    <n v="5"/>
    <n v="56"/>
    <n v="61"/>
    <n v="19"/>
    <n v="24"/>
    <x v="9"/>
    <n v="20"/>
    <n v="9"/>
    <n v="51"/>
    <n v="0.9"/>
    <n v="0"/>
    <n v="0"/>
  </r>
  <r>
    <x v="2666"/>
    <n v="9"/>
    <n v="51"/>
    <n v="60"/>
    <n v="20"/>
    <n v="13"/>
    <x v="28"/>
    <n v="19"/>
    <n v="3"/>
    <n v="58"/>
    <n v="0.30000000000000004"/>
    <n v="0"/>
    <n v="0"/>
  </r>
  <r>
    <x v="2667"/>
    <n v="3"/>
    <n v="58"/>
    <n v="61"/>
    <n v="19"/>
    <n v="19"/>
    <x v="28"/>
    <n v="22"/>
    <n v="0"/>
    <n v="58"/>
    <n v="0"/>
    <n v="0"/>
    <n v="0"/>
  </r>
  <r>
    <x v="2668"/>
    <n v="0"/>
    <n v="58"/>
    <n v="58"/>
    <n v="22"/>
    <n v="19"/>
    <x v="23"/>
    <n v="20"/>
    <n v="-1"/>
    <n v="61"/>
    <n v="0"/>
    <n v="1"/>
    <n v="1"/>
  </r>
  <r>
    <x v="2669"/>
    <n v="-1"/>
    <n v="61"/>
    <n v="60"/>
    <n v="20"/>
    <n v="20"/>
    <x v="23"/>
    <n v="16"/>
    <n v="3"/>
    <n v="61"/>
    <n v="0.30000000000000004"/>
    <n v="0"/>
    <n v="0"/>
  </r>
  <r>
    <x v="2670"/>
    <n v="3"/>
    <n v="61"/>
    <n v="64"/>
    <n v="16"/>
    <n v="19"/>
    <x v="28"/>
    <n v="19"/>
    <n v="3"/>
    <n v="58"/>
    <n v="0.30000000000000004"/>
    <n v="0"/>
    <n v="0"/>
  </r>
  <r>
    <x v="2671"/>
    <n v="3"/>
    <n v="58"/>
    <n v="61"/>
    <n v="19"/>
    <n v="22"/>
    <x v="27"/>
    <n v="28"/>
    <n v="-3"/>
    <n v="55"/>
    <n v="0"/>
    <n v="1"/>
    <n v="3"/>
  </r>
  <r>
    <x v="2672"/>
    <n v="-3"/>
    <n v="55"/>
    <n v="52"/>
    <n v="28"/>
    <n v="20"/>
    <x v="22"/>
    <n v="14"/>
    <n v="3"/>
    <n v="63"/>
    <n v="0.30000000000000004"/>
    <n v="0"/>
    <n v="0"/>
  </r>
  <r>
    <x v="2673"/>
    <n v="3"/>
    <n v="63"/>
    <n v="66"/>
    <n v="14"/>
    <n v="16"/>
    <x v="23"/>
    <n v="20"/>
    <n v="-1"/>
    <n v="61"/>
    <n v="0"/>
    <n v="1"/>
    <n v="1"/>
  </r>
  <r>
    <x v="2674"/>
    <n v="-1"/>
    <n v="61"/>
    <n v="60"/>
    <n v="20"/>
    <n v="19"/>
    <x v="33"/>
    <n v="16"/>
    <n v="2"/>
    <n v="62"/>
    <n v="0.2"/>
    <n v="0"/>
    <n v="0"/>
  </r>
  <r>
    <x v="2675"/>
    <n v="2"/>
    <n v="62"/>
    <n v="64"/>
    <n v="16"/>
    <n v="28"/>
    <x v="13"/>
    <n v="16"/>
    <n v="14"/>
    <n v="50"/>
    <n v="1.4000000000000001"/>
    <n v="0"/>
    <n v="0"/>
  </r>
  <r>
    <x v="2676"/>
    <n v="14"/>
    <n v="50"/>
    <n v="64"/>
    <n v="16"/>
    <n v="14"/>
    <x v="25"/>
    <n v="21"/>
    <n v="7"/>
    <n v="52"/>
    <n v="0.70000000000000007"/>
    <n v="0"/>
    <n v="0"/>
  </r>
  <r>
    <x v="2677"/>
    <n v="7"/>
    <n v="52"/>
    <n v="59"/>
    <n v="21"/>
    <n v="20"/>
    <x v="12"/>
    <n v="21"/>
    <n v="6"/>
    <n v="53"/>
    <n v="0.60000000000000009"/>
    <n v="0"/>
    <n v="0"/>
  </r>
  <r>
    <x v="2678"/>
    <n v="6"/>
    <n v="53"/>
    <n v="59"/>
    <n v="21"/>
    <n v="16"/>
    <x v="28"/>
    <n v="13"/>
    <n v="9"/>
    <n v="58"/>
    <n v="0.9"/>
    <n v="0"/>
    <n v="0"/>
  </r>
  <r>
    <x v="2679"/>
    <n v="9"/>
    <n v="58"/>
    <n v="67"/>
    <n v="13"/>
    <n v="16"/>
    <x v="27"/>
    <n v="23"/>
    <n v="2"/>
    <n v="55"/>
    <n v="0.2"/>
    <n v="0"/>
    <n v="0"/>
  </r>
  <r>
    <x v="2680"/>
    <n v="2"/>
    <n v="55"/>
    <n v="57"/>
    <n v="23"/>
    <n v="21"/>
    <x v="24"/>
    <n v="14"/>
    <n v="9"/>
    <n v="57"/>
    <n v="0.9"/>
    <n v="0"/>
    <n v="0"/>
  </r>
  <r>
    <x v="2681"/>
    <n v="9"/>
    <n v="57"/>
    <n v="66"/>
    <n v="14"/>
    <n v="21"/>
    <x v="13"/>
    <n v="28"/>
    <n v="2"/>
    <n v="50"/>
    <n v="0.2"/>
    <n v="0"/>
    <n v="0"/>
  </r>
  <r>
    <x v="2682"/>
    <n v="2"/>
    <n v="50"/>
    <n v="52"/>
    <n v="28"/>
    <n v="13"/>
    <x v="26"/>
    <n v="25"/>
    <n v="-10"/>
    <n v="65"/>
    <n v="0"/>
    <n v="1"/>
    <n v="10"/>
  </r>
  <r>
    <x v="2683"/>
    <n v="-10"/>
    <n v="65"/>
    <n v="55"/>
    <n v="25"/>
    <n v="23"/>
    <x v="21"/>
    <n v="21"/>
    <n v="-8"/>
    <n v="67"/>
    <n v="0"/>
    <n v="1"/>
    <n v="8"/>
  </r>
  <r>
    <x v="2684"/>
    <n v="-8"/>
    <n v="67"/>
    <n v="59"/>
    <n v="21"/>
    <n v="14"/>
    <x v="39"/>
    <n v="17"/>
    <n v="-11"/>
    <n v="74"/>
    <n v="0"/>
    <n v="1"/>
    <n v="11"/>
  </r>
  <r>
    <x v="2685"/>
    <n v="-11"/>
    <n v="74"/>
    <n v="63"/>
    <n v="17"/>
    <n v="28"/>
    <x v="22"/>
    <n v="11"/>
    <n v="6"/>
    <n v="63"/>
    <n v="0.60000000000000009"/>
    <n v="0"/>
    <n v="0"/>
  </r>
  <r>
    <x v="2686"/>
    <n v="6"/>
    <n v="63"/>
    <n v="69"/>
    <n v="11"/>
    <n v="25"/>
    <x v="10"/>
    <n v="11"/>
    <n v="20"/>
    <n v="49"/>
    <n v="2"/>
    <n v="0"/>
    <n v="0"/>
  </r>
  <r>
    <x v="2687"/>
    <n v="20"/>
    <n v="49"/>
    <n v="69"/>
    <n v="11"/>
    <n v="21"/>
    <x v="34"/>
    <n v="20"/>
    <n v="21"/>
    <n v="39"/>
    <n v="2.1"/>
    <n v="0"/>
    <n v="0"/>
  </r>
  <r>
    <x v="2688"/>
    <n v="21"/>
    <n v="39"/>
    <n v="60"/>
    <n v="20"/>
    <n v="17"/>
    <x v="40"/>
    <n v="14"/>
    <n v="24"/>
    <n v="42"/>
    <n v="2.4000000000000004"/>
    <n v="0"/>
    <n v="0"/>
  </r>
  <r>
    <x v="2689"/>
    <n v="24"/>
    <n v="42"/>
    <n v="66"/>
    <n v="14"/>
    <n v="11"/>
    <x v="11"/>
    <n v="14"/>
    <n v="21"/>
    <n v="45"/>
    <n v="2.1"/>
    <n v="0"/>
    <n v="0"/>
  </r>
  <r>
    <x v="2690"/>
    <n v="21"/>
    <n v="45"/>
    <n v="66"/>
    <n v="14"/>
    <n v="11"/>
    <x v="15"/>
    <n v="22"/>
    <n v="10"/>
    <n v="48"/>
    <n v="1"/>
    <n v="0"/>
    <n v="0"/>
  </r>
  <r>
    <x v="2691"/>
    <n v="10"/>
    <n v="48"/>
    <n v="58"/>
    <n v="22"/>
    <n v="20"/>
    <x v="13"/>
    <n v="17"/>
    <n v="13"/>
    <n v="50"/>
    <n v="1.3"/>
    <n v="0"/>
    <n v="0"/>
  </r>
  <r>
    <x v="2692"/>
    <n v="13"/>
    <n v="50"/>
    <n v="63"/>
    <n v="17"/>
    <n v="14"/>
    <x v="12"/>
    <n v="21"/>
    <n v="6"/>
    <n v="53"/>
    <n v="0.60000000000000009"/>
    <n v="0"/>
    <n v="0"/>
  </r>
  <r>
    <x v="2693"/>
    <n v="6"/>
    <n v="53"/>
    <n v="59"/>
    <n v="21"/>
    <n v="14"/>
    <x v="4"/>
    <n v="21"/>
    <n v="-1"/>
    <n v="60"/>
    <n v="0"/>
    <n v="1"/>
    <n v="1"/>
  </r>
  <r>
    <x v="2694"/>
    <n v="-1"/>
    <n v="60"/>
    <n v="59"/>
    <n v="21"/>
    <n v="22"/>
    <x v="5"/>
    <n v="17"/>
    <n v="4"/>
    <n v="59"/>
    <n v="0.4"/>
    <n v="0"/>
    <n v="0"/>
  </r>
  <r>
    <x v="2695"/>
    <n v="4"/>
    <n v="59"/>
    <n v="63"/>
    <n v="17"/>
    <n v="17"/>
    <x v="5"/>
    <n v="24"/>
    <n v="-3"/>
    <n v="59"/>
    <n v="0"/>
    <n v="1"/>
    <n v="3"/>
  </r>
  <r>
    <x v="2696"/>
    <n v="-3"/>
    <n v="59"/>
    <n v="56"/>
    <n v="24"/>
    <n v="21"/>
    <x v="33"/>
    <n v="15"/>
    <n v="3"/>
    <n v="62"/>
    <n v="0.30000000000000004"/>
    <n v="0"/>
    <n v="0"/>
  </r>
  <r>
    <x v="2697"/>
    <n v="3"/>
    <n v="62"/>
    <n v="65"/>
    <n v="15"/>
    <n v="21"/>
    <x v="32"/>
    <n v="20"/>
    <n v="4"/>
    <n v="56"/>
    <n v="0.4"/>
    <n v="0"/>
    <n v="0"/>
  </r>
  <r>
    <x v="2698"/>
    <n v="4"/>
    <n v="56"/>
    <n v="60"/>
    <n v="20"/>
    <n v="17"/>
    <x v="5"/>
    <n v="16"/>
    <n v="5"/>
    <n v="59"/>
    <n v="0.5"/>
    <n v="0"/>
    <n v="0"/>
  </r>
  <r>
    <x v="2699"/>
    <n v="5"/>
    <n v="59"/>
    <n v="64"/>
    <n v="16"/>
    <n v="24"/>
    <x v="9"/>
    <n v="20"/>
    <n v="9"/>
    <n v="51"/>
    <n v="0.9"/>
    <n v="0"/>
    <n v="0"/>
  </r>
  <r>
    <x v="2700"/>
    <n v="9"/>
    <n v="51"/>
    <n v="60"/>
    <n v="20"/>
    <n v="15"/>
    <x v="32"/>
    <n v="19"/>
    <n v="5"/>
    <n v="56"/>
    <n v="0.5"/>
    <n v="0"/>
    <n v="0"/>
  </r>
  <r>
    <x v="2701"/>
    <n v="5"/>
    <n v="56"/>
    <n v="61"/>
    <n v="19"/>
    <n v="20"/>
    <x v="27"/>
    <n v="23"/>
    <n v="2"/>
    <n v="55"/>
    <n v="0.2"/>
    <n v="0"/>
    <n v="0"/>
  </r>
  <r>
    <x v="2702"/>
    <n v="2"/>
    <n v="55"/>
    <n v="57"/>
    <n v="23"/>
    <n v="16"/>
    <x v="33"/>
    <n v="28"/>
    <n v="-10"/>
    <n v="62"/>
    <n v="0"/>
    <n v="1"/>
    <n v="10"/>
  </r>
  <r>
    <x v="2703"/>
    <n v="-10"/>
    <n v="62"/>
    <n v="52"/>
    <n v="28"/>
    <n v="20"/>
    <x v="6"/>
    <n v="17"/>
    <n v="-7"/>
    <n v="70"/>
    <n v="0"/>
    <n v="1"/>
    <n v="7"/>
  </r>
  <r>
    <x v="2704"/>
    <n v="-7"/>
    <n v="70"/>
    <n v="63"/>
    <n v="17"/>
    <n v="19"/>
    <x v="17"/>
    <n v="16"/>
    <n v="-4"/>
    <n v="68"/>
    <n v="0"/>
    <n v="1"/>
    <n v="4"/>
  </r>
  <r>
    <x v="2705"/>
    <n v="-4"/>
    <n v="68"/>
    <n v="64"/>
    <n v="16"/>
    <n v="23"/>
    <x v="23"/>
    <n v="21"/>
    <n v="-2"/>
    <n v="61"/>
    <n v="0"/>
    <n v="1"/>
    <n v="2"/>
  </r>
  <r>
    <x v="2706"/>
    <n v="-2"/>
    <n v="61"/>
    <n v="59"/>
    <n v="21"/>
    <n v="28"/>
    <x v="16"/>
    <n v="28"/>
    <n v="-2"/>
    <n v="54"/>
    <n v="0"/>
    <n v="1"/>
    <n v="2"/>
  </r>
  <r>
    <x v="2707"/>
    <n v="-2"/>
    <n v="54"/>
    <n v="52"/>
    <n v="28"/>
    <n v="17"/>
    <x v="26"/>
    <n v="13"/>
    <n v="2"/>
    <n v="65"/>
    <n v="0.2"/>
    <n v="0"/>
    <n v="0"/>
  </r>
  <r>
    <x v="2708"/>
    <n v="2"/>
    <n v="65"/>
    <n v="67"/>
    <n v="13"/>
    <n v="16"/>
    <x v="33"/>
    <n v="22"/>
    <n v="-4"/>
    <n v="62"/>
    <n v="0"/>
    <n v="1"/>
    <n v="4"/>
  </r>
  <r>
    <x v="2709"/>
    <n v="-4"/>
    <n v="62"/>
    <n v="58"/>
    <n v="22"/>
    <n v="21"/>
    <x v="22"/>
    <n v="22"/>
    <n v="-5"/>
    <n v="63"/>
    <n v="0"/>
    <n v="1"/>
    <n v="5"/>
  </r>
  <r>
    <x v="2710"/>
    <n v="-5"/>
    <n v="63"/>
    <n v="58"/>
    <n v="22"/>
    <n v="28"/>
    <x v="24"/>
    <n v="23"/>
    <n v="0"/>
    <n v="57"/>
    <n v="0"/>
    <n v="0"/>
    <n v="0"/>
  </r>
  <r>
    <x v="2711"/>
    <n v="0"/>
    <n v="57"/>
    <n v="57"/>
    <n v="23"/>
    <n v="13"/>
    <x v="21"/>
    <n v="25"/>
    <n v="-12"/>
    <n v="67"/>
    <n v="0"/>
    <n v="1"/>
    <n v="12"/>
  </r>
  <r>
    <x v="2712"/>
    <n v="-12"/>
    <n v="67"/>
    <n v="55"/>
    <n v="25"/>
    <n v="22"/>
    <x v="6"/>
    <n v="17"/>
    <n v="-7"/>
    <n v="70"/>
    <n v="0"/>
    <n v="1"/>
    <n v="7"/>
  </r>
  <r>
    <x v="2713"/>
    <n v="-7"/>
    <n v="70"/>
    <n v="63"/>
    <n v="17"/>
    <n v="22"/>
    <x v="26"/>
    <n v="21"/>
    <n v="-6"/>
    <n v="65"/>
    <n v="0"/>
    <n v="1"/>
    <n v="6"/>
  </r>
  <r>
    <x v="2714"/>
    <n v="-6"/>
    <n v="65"/>
    <n v="59"/>
    <n v="21"/>
    <n v="23"/>
    <x v="22"/>
    <n v="17"/>
    <n v="0"/>
    <n v="63"/>
    <n v="0"/>
    <n v="0"/>
    <n v="0"/>
  </r>
  <r>
    <x v="2715"/>
    <n v="0"/>
    <n v="63"/>
    <n v="63"/>
    <n v="17"/>
    <n v="25"/>
    <x v="27"/>
    <n v="20"/>
    <n v="5"/>
    <n v="55"/>
    <n v="0.5"/>
    <n v="0"/>
    <n v="0"/>
  </r>
  <r>
    <x v="2716"/>
    <n v="5"/>
    <n v="55"/>
    <n v="60"/>
    <n v="20"/>
    <n v="17"/>
    <x v="28"/>
    <n v="19"/>
    <n v="3"/>
    <n v="58"/>
    <n v="0.30000000000000004"/>
    <n v="0"/>
    <n v="0"/>
  </r>
  <r>
    <x v="2717"/>
    <n v="3"/>
    <n v="58"/>
    <n v="61"/>
    <n v="19"/>
    <n v="21"/>
    <x v="32"/>
    <n v="15"/>
    <n v="9"/>
    <n v="56"/>
    <n v="0.9"/>
    <n v="0"/>
    <n v="0"/>
  </r>
  <r>
    <x v="2718"/>
    <n v="9"/>
    <n v="56"/>
    <n v="65"/>
    <n v="15"/>
    <n v="17"/>
    <x v="16"/>
    <n v="26"/>
    <n v="0"/>
    <n v="54"/>
    <n v="0"/>
    <n v="0"/>
    <n v="0"/>
  </r>
  <r>
    <x v="2719"/>
    <n v="0"/>
    <n v="54"/>
    <n v="54"/>
    <n v="26"/>
    <n v="20"/>
    <x v="4"/>
    <n v="20"/>
    <n v="0"/>
    <n v="60"/>
    <n v="0"/>
    <n v="0"/>
    <n v="0"/>
  </r>
  <r>
    <x v="2720"/>
    <n v="0"/>
    <n v="60"/>
    <n v="60"/>
    <n v="20"/>
    <n v="19"/>
    <x v="23"/>
    <n v="16"/>
    <n v="3"/>
    <n v="61"/>
    <n v="0.30000000000000004"/>
    <n v="0"/>
    <n v="0"/>
  </r>
  <r>
    <x v="2721"/>
    <n v="3"/>
    <n v="61"/>
    <n v="64"/>
    <n v="16"/>
    <n v="15"/>
    <x v="33"/>
    <n v="24"/>
    <n v="-6"/>
    <n v="62"/>
    <n v="0"/>
    <n v="1"/>
    <n v="6"/>
  </r>
  <r>
    <x v="2722"/>
    <n v="-6"/>
    <n v="62"/>
    <n v="56"/>
    <n v="24"/>
    <n v="26"/>
    <x v="4"/>
    <n v="19"/>
    <n v="1"/>
    <n v="60"/>
    <n v="0.1"/>
    <n v="0"/>
    <n v="0"/>
  </r>
  <r>
    <x v="2723"/>
    <n v="1"/>
    <n v="60"/>
    <n v="61"/>
    <n v="19"/>
    <n v="20"/>
    <x v="5"/>
    <n v="20"/>
    <n v="1"/>
    <n v="59"/>
    <n v="0.1"/>
    <n v="0"/>
    <n v="0"/>
  </r>
  <r>
    <x v="2724"/>
    <n v="1"/>
    <n v="59"/>
    <n v="60"/>
    <n v="20"/>
    <n v="16"/>
    <x v="22"/>
    <n v="15"/>
    <n v="2"/>
    <n v="63"/>
    <n v="0.2"/>
    <n v="0"/>
    <n v="0"/>
  </r>
  <r>
    <x v="2725"/>
    <n v="2"/>
    <n v="63"/>
    <n v="65"/>
    <n v="15"/>
    <n v="24"/>
    <x v="16"/>
    <n v="20"/>
    <n v="6"/>
    <n v="54"/>
    <n v="0.60000000000000009"/>
    <n v="0"/>
    <n v="0"/>
  </r>
  <r>
    <x v="2726"/>
    <n v="6"/>
    <n v="54"/>
    <n v="60"/>
    <n v="20"/>
    <n v="19"/>
    <x v="27"/>
    <n v="24"/>
    <n v="1"/>
    <n v="55"/>
    <n v="0.1"/>
    <n v="0"/>
    <n v="0"/>
  </r>
  <r>
    <x v="2727"/>
    <n v="1"/>
    <n v="55"/>
    <n v="56"/>
    <n v="24"/>
    <n v="20"/>
    <x v="5"/>
    <n v="15"/>
    <n v="6"/>
    <n v="59"/>
    <n v="0.60000000000000009"/>
    <n v="0"/>
    <n v="0"/>
  </r>
  <r>
    <x v="2728"/>
    <n v="6"/>
    <n v="59"/>
    <n v="65"/>
    <n v="15"/>
    <n v="15"/>
    <x v="5"/>
    <n v="11"/>
    <n v="10"/>
    <n v="59"/>
    <n v="1"/>
    <n v="0"/>
    <n v="0"/>
  </r>
  <r>
    <x v="2729"/>
    <n v="10"/>
    <n v="59"/>
    <n v="69"/>
    <n v="11"/>
    <n v="20"/>
    <x v="13"/>
    <n v="23"/>
    <n v="7"/>
    <n v="50"/>
    <n v="0.70000000000000007"/>
    <n v="0"/>
    <n v="0"/>
  </r>
  <r>
    <x v="2730"/>
    <n v="7"/>
    <n v="50"/>
    <n v="57"/>
    <n v="23"/>
    <n v="24"/>
    <x v="10"/>
    <n v="17"/>
    <n v="14"/>
    <n v="49"/>
    <n v="1.4000000000000001"/>
    <n v="0"/>
    <n v="0"/>
  </r>
  <r>
    <x v="2731"/>
    <n v="14"/>
    <n v="49"/>
    <n v="63"/>
    <n v="17"/>
    <n v="15"/>
    <x v="9"/>
    <n v="21"/>
    <n v="8"/>
    <n v="51"/>
    <n v="0.8"/>
    <n v="0"/>
    <n v="0"/>
  </r>
  <r>
    <x v="2732"/>
    <n v="8"/>
    <n v="51"/>
    <n v="59"/>
    <n v="21"/>
    <n v="11"/>
    <x v="23"/>
    <n v="21"/>
    <n v="-2"/>
    <n v="61"/>
    <n v="0"/>
    <n v="1"/>
    <n v="2"/>
  </r>
  <r>
    <x v="2733"/>
    <n v="-2"/>
    <n v="61"/>
    <n v="59"/>
    <n v="21"/>
    <n v="23"/>
    <x v="5"/>
    <n v="17"/>
    <n v="4"/>
    <n v="59"/>
    <n v="0.4"/>
    <n v="0"/>
    <n v="0"/>
  </r>
  <r>
    <x v="2734"/>
    <n v="4"/>
    <n v="59"/>
    <n v="63"/>
    <n v="17"/>
    <n v="17"/>
    <x v="5"/>
    <n v="28"/>
    <n v="-7"/>
    <n v="59"/>
    <n v="0"/>
    <n v="1"/>
    <n v="7"/>
  </r>
  <r>
    <x v="2735"/>
    <n v="-7"/>
    <n v="59"/>
    <n v="52"/>
    <n v="28"/>
    <n v="21"/>
    <x v="7"/>
    <n v="21"/>
    <n v="-7"/>
    <n v="66"/>
    <n v="0"/>
    <n v="1"/>
    <n v="7"/>
  </r>
  <r>
    <x v="2736"/>
    <n v="-7"/>
    <n v="66"/>
    <n v="59"/>
    <n v="21"/>
    <n v="21"/>
    <x v="7"/>
    <n v="19"/>
    <n v="-5"/>
    <n v="66"/>
    <n v="0"/>
    <n v="1"/>
    <n v="5"/>
  </r>
  <r>
    <x v="2737"/>
    <n v="-5"/>
    <n v="66"/>
    <n v="61"/>
    <n v="19"/>
    <n v="17"/>
    <x v="17"/>
    <n v="12"/>
    <n v="0"/>
    <n v="68"/>
    <n v="0"/>
    <n v="0"/>
    <n v="0"/>
  </r>
  <r>
    <x v="2738"/>
    <n v="0"/>
    <n v="68"/>
    <n v="68"/>
    <n v="12"/>
    <n v="28"/>
    <x v="25"/>
    <n v="23"/>
    <n v="5"/>
    <n v="52"/>
    <n v="0.5"/>
    <n v="0"/>
    <n v="0"/>
  </r>
  <r>
    <x v="2739"/>
    <n v="5"/>
    <n v="52"/>
    <n v="57"/>
    <n v="23"/>
    <n v="21"/>
    <x v="16"/>
    <n v="14"/>
    <n v="12"/>
    <n v="54"/>
    <n v="1.2000000000000002"/>
    <n v="0"/>
    <n v="0"/>
  </r>
  <r>
    <x v="2740"/>
    <n v="12"/>
    <n v="54"/>
    <n v="66"/>
    <n v="14"/>
    <n v="19"/>
    <x v="10"/>
    <n v="20"/>
    <n v="11"/>
    <n v="49"/>
    <n v="1.1000000000000001"/>
    <n v="0"/>
    <n v="0"/>
  </r>
  <r>
    <x v="2741"/>
    <n v="11"/>
    <n v="49"/>
    <n v="60"/>
    <n v="20"/>
    <n v="12"/>
    <x v="24"/>
    <n v="21"/>
    <n v="2"/>
    <n v="57"/>
    <n v="0.2"/>
    <n v="0"/>
    <n v="0"/>
  </r>
  <r>
    <x v="2742"/>
    <n v="2"/>
    <n v="57"/>
    <n v="59"/>
    <n v="21"/>
    <n v="23"/>
    <x v="27"/>
    <n v="12"/>
    <n v="13"/>
    <n v="55"/>
    <n v="1.3"/>
    <n v="0"/>
    <n v="0"/>
  </r>
  <r>
    <x v="2743"/>
    <n v="13"/>
    <n v="55"/>
    <n v="68"/>
    <n v="12"/>
    <n v="14"/>
    <x v="12"/>
    <n v="24"/>
    <n v="3"/>
    <n v="53"/>
    <n v="0.30000000000000004"/>
    <n v="0"/>
    <n v="0"/>
  </r>
  <r>
    <x v="2744"/>
    <n v="3"/>
    <n v="53"/>
    <n v="56"/>
    <n v="24"/>
    <n v="20"/>
    <x v="24"/>
    <n v="16"/>
    <n v="7"/>
    <n v="57"/>
    <n v="0.70000000000000007"/>
    <n v="0"/>
    <n v="0"/>
  </r>
  <r>
    <x v="2745"/>
    <n v="7"/>
    <n v="57"/>
    <n v="64"/>
    <n v="16"/>
    <n v="21"/>
    <x v="25"/>
    <n v="20"/>
    <n v="8"/>
    <n v="52"/>
    <n v="0.8"/>
    <n v="0"/>
    <n v="0"/>
  </r>
  <r>
    <x v="2746"/>
    <n v="8"/>
    <n v="52"/>
    <n v="60"/>
    <n v="20"/>
    <n v="12"/>
    <x v="4"/>
    <n v="17"/>
    <n v="3"/>
    <n v="60"/>
    <n v="0.30000000000000004"/>
    <n v="0"/>
    <n v="0"/>
  </r>
  <r>
    <x v="2747"/>
    <n v="3"/>
    <n v="60"/>
    <n v="63"/>
    <n v="17"/>
    <n v="24"/>
    <x v="12"/>
    <n v="21"/>
    <n v="6"/>
    <n v="53"/>
    <n v="0.60000000000000009"/>
    <n v="0"/>
    <n v="0"/>
  </r>
  <r>
    <x v="2748"/>
    <n v="6"/>
    <n v="53"/>
    <n v="59"/>
    <n v="21"/>
    <n v="16"/>
    <x v="28"/>
    <n v="15"/>
    <n v="7"/>
    <n v="58"/>
    <n v="0.70000000000000007"/>
    <n v="0"/>
    <n v="0"/>
  </r>
  <r>
    <x v="2749"/>
    <n v="7"/>
    <n v="58"/>
    <n v="65"/>
    <n v="15"/>
    <n v="20"/>
    <x v="12"/>
    <n v="24"/>
    <n v="3"/>
    <n v="53"/>
    <n v="0.30000000000000004"/>
    <n v="0"/>
    <n v="0"/>
  </r>
  <r>
    <x v="2750"/>
    <n v="3"/>
    <n v="53"/>
    <n v="56"/>
    <n v="24"/>
    <n v="17"/>
    <x v="4"/>
    <n v="19"/>
    <n v="1"/>
    <n v="60"/>
    <n v="0.1"/>
    <n v="0"/>
    <n v="0"/>
  </r>
  <r>
    <x v="2751"/>
    <n v="1"/>
    <n v="60"/>
    <n v="61"/>
    <n v="19"/>
    <n v="21"/>
    <x v="28"/>
    <n v="22"/>
    <n v="0"/>
    <n v="58"/>
    <n v="0"/>
    <n v="0"/>
    <n v="0"/>
  </r>
  <r>
    <x v="2752"/>
    <n v="0"/>
    <n v="58"/>
    <n v="58"/>
    <n v="22"/>
    <n v="15"/>
    <x v="26"/>
    <n v="32"/>
    <n v="-17"/>
    <n v="65"/>
    <n v="0"/>
    <n v="1"/>
    <n v="17"/>
  </r>
  <r>
    <x v="2753"/>
    <n v="-17"/>
    <n v="65"/>
    <n v="48"/>
    <n v="32"/>
    <n v="24"/>
    <x v="31"/>
    <n v="16"/>
    <n v="-9"/>
    <n v="73"/>
    <n v="0"/>
    <n v="1"/>
    <n v="9"/>
  </r>
  <r>
    <x v="2754"/>
    <n v="-9"/>
    <n v="73"/>
    <n v="64"/>
    <n v="16"/>
    <n v="19"/>
    <x v="6"/>
    <n v="19"/>
    <n v="-9"/>
    <n v="70"/>
    <n v="0"/>
    <n v="1"/>
    <n v="9"/>
  </r>
  <r>
    <x v="2755"/>
    <n v="-9"/>
    <n v="70"/>
    <n v="61"/>
    <n v="19"/>
    <n v="22"/>
    <x v="21"/>
    <n v="24"/>
    <n v="-11"/>
    <n v="67"/>
    <n v="0"/>
    <n v="1"/>
    <n v="11"/>
  </r>
  <r>
    <x v="2756"/>
    <n v="-11"/>
    <n v="67"/>
    <n v="56"/>
    <n v="24"/>
    <n v="32"/>
    <x v="5"/>
    <n v="20"/>
    <n v="1"/>
    <n v="59"/>
    <n v="0.1"/>
    <n v="0"/>
    <n v="0"/>
  </r>
  <r>
    <x v="2757"/>
    <n v="1"/>
    <n v="59"/>
    <n v="60"/>
    <n v="20"/>
    <n v="16"/>
    <x v="22"/>
    <n v="27"/>
    <n v="-10"/>
    <n v="63"/>
    <n v="0"/>
    <n v="1"/>
    <n v="10"/>
  </r>
  <r>
    <x v="2758"/>
    <n v="-10"/>
    <n v="63"/>
    <n v="53"/>
    <n v="27"/>
    <n v="19"/>
    <x v="20"/>
    <n v="16"/>
    <n v="-7"/>
    <n v="71"/>
    <n v="0"/>
    <n v="1"/>
    <n v="7"/>
  </r>
  <r>
    <x v="2759"/>
    <n v="-7"/>
    <n v="71"/>
    <n v="64"/>
    <n v="16"/>
    <n v="24"/>
    <x v="22"/>
    <n v="23"/>
    <n v="-6"/>
    <n v="63"/>
    <n v="0"/>
    <n v="1"/>
    <n v="6"/>
  </r>
  <r>
    <x v="2760"/>
    <n v="-6"/>
    <n v="63"/>
    <n v="57"/>
    <n v="23"/>
    <n v="20"/>
    <x v="7"/>
    <n v="19"/>
    <n v="-5"/>
    <n v="66"/>
    <n v="0"/>
    <n v="1"/>
    <n v="5"/>
  </r>
  <r>
    <x v="2761"/>
    <n v="-5"/>
    <n v="66"/>
    <n v="61"/>
    <n v="19"/>
    <n v="27"/>
    <x v="28"/>
    <n v="24"/>
    <n v="-2"/>
    <n v="58"/>
    <n v="0"/>
    <n v="1"/>
    <n v="2"/>
  </r>
  <r>
    <x v="2762"/>
    <n v="-2"/>
    <n v="58"/>
    <n v="56"/>
    <n v="24"/>
    <n v="16"/>
    <x v="7"/>
    <n v="14"/>
    <n v="0"/>
    <n v="66"/>
    <n v="0"/>
    <n v="0"/>
    <n v="0"/>
  </r>
  <r>
    <x v="2763"/>
    <n v="0"/>
    <n v="66"/>
    <n v="66"/>
    <n v="14"/>
    <n v="23"/>
    <x v="24"/>
    <n v="21"/>
    <n v="2"/>
    <n v="57"/>
    <n v="0.2"/>
    <n v="0"/>
    <n v="0"/>
  </r>
  <r>
    <x v="2764"/>
    <n v="2"/>
    <n v="57"/>
    <n v="59"/>
    <n v="21"/>
    <n v="19"/>
    <x v="5"/>
    <n v="8"/>
    <n v="13"/>
    <n v="59"/>
    <n v="1.3"/>
    <n v="0"/>
    <n v="0"/>
  </r>
  <r>
    <x v="2765"/>
    <n v="13"/>
    <n v="59"/>
    <n v="72"/>
    <n v="8"/>
    <n v="24"/>
    <x v="51"/>
    <n v="17"/>
    <n v="20"/>
    <n v="43"/>
    <n v="2"/>
    <n v="0"/>
    <n v="0"/>
  </r>
  <r>
    <x v="2766"/>
    <n v="20"/>
    <n v="43"/>
    <n v="63"/>
    <n v="17"/>
    <n v="14"/>
    <x v="38"/>
    <n v="25"/>
    <n v="9"/>
    <n v="46"/>
    <n v="0.9"/>
    <n v="0"/>
    <n v="0"/>
  </r>
  <r>
    <x v="2767"/>
    <n v="9"/>
    <n v="46"/>
    <n v="55"/>
    <n v="25"/>
    <n v="21"/>
    <x v="13"/>
    <n v="21"/>
    <n v="9"/>
    <n v="50"/>
    <n v="0.9"/>
    <n v="0"/>
    <n v="0"/>
  </r>
  <r>
    <x v="2768"/>
    <n v="9"/>
    <n v="50"/>
    <n v="59"/>
    <n v="21"/>
    <n v="8"/>
    <x v="22"/>
    <n v="17"/>
    <n v="0"/>
    <n v="63"/>
    <n v="0"/>
    <n v="0"/>
    <n v="0"/>
  </r>
  <r>
    <x v="2769"/>
    <n v="0"/>
    <n v="63"/>
    <n v="63"/>
    <n v="17"/>
    <n v="17"/>
    <x v="22"/>
    <n v="22"/>
    <n v="-5"/>
    <n v="63"/>
    <n v="0"/>
    <n v="1"/>
    <n v="5"/>
  </r>
  <r>
    <x v="2770"/>
    <n v="-5"/>
    <n v="63"/>
    <n v="58"/>
    <n v="22"/>
    <n v="25"/>
    <x v="4"/>
    <n v="12"/>
    <n v="8"/>
    <n v="60"/>
    <n v="0.8"/>
    <n v="0"/>
    <n v="0"/>
  </r>
  <r>
    <x v="2771"/>
    <n v="8"/>
    <n v="60"/>
    <n v="68"/>
    <n v="12"/>
    <n v="21"/>
    <x v="9"/>
    <n v="23"/>
    <n v="6"/>
    <n v="51"/>
    <n v="0.60000000000000009"/>
    <n v="0"/>
    <n v="0"/>
  </r>
  <r>
    <x v="2772"/>
    <n v="6"/>
    <n v="51"/>
    <n v="57"/>
    <n v="23"/>
    <n v="17"/>
    <x v="24"/>
    <n v="19"/>
    <n v="4"/>
    <n v="57"/>
    <n v="0.4"/>
    <n v="0"/>
    <n v="0"/>
  </r>
  <r>
    <x v="2773"/>
    <n v="4"/>
    <n v="57"/>
    <n v="61"/>
    <n v="19"/>
    <n v="22"/>
    <x v="16"/>
    <n v="20"/>
    <n v="6"/>
    <n v="54"/>
    <n v="0.60000000000000009"/>
    <n v="0"/>
    <n v="0"/>
  </r>
  <r>
    <x v="2774"/>
    <n v="6"/>
    <n v="54"/>
    <n v="60"/>
    <n v="20"/>
    <n v="12"/>
    <x v="33"/>
    <n v="13"/>
    <n v="5"/>
    <n v="62"/>
    <n v="0.5"/>
    <n v="0"/>
    <n v="0"/>
  </r>
  <r>
    <x v="2775"/>
    <n v="5"/>
    <n v="62"/>
    <n v="67"/>
    <n v="13"/>
    <n v="23"/>
    <x v="25"/>
    <n v="23"/>
    <n v="5"/>
    <n v="52"/>
    <n v="0.5"/>
    <n v="0"/>
    <n v="0"/>
  </r>
  <r>
    <x v="2776"/>
    <n v="5"/>
    <n v="52"/>
    <n v="57"/>
    <n v="23"/>
    <n v="19"/>
    <x v="32"/>
    <n v="13"/>
    <n v="11"/>
    <n v="56"/>
    <n v="1.1000000000000001"/>
    <n v="0"/>
    <n v="0"/>
  </r>
  <r>
    <x v="2777"/>
    <n v="11"/>
    <n v="56"/>
    <n v="67"/>
    <n v="13"/>
    <n v="20"/>
    <x v="10"/>
    <n v="20"/>
    <n v="11"/>
    <n v="49"/>
    <n v="1.1000000000000001"/>
    <n v="0"/>
    <n v="0"/>
  </r>
  <r>
    <x v="2778"/>
    <n v="11"/>
    <n v="49"/>
    <n v="60"/>
    <n v="20"/>
    <n v="13"/>
    <x v="32"/>
    <n v="12"/>
    <n v="12"/>
    <n v="56"/>
    <n v="1.2000000000000002"/>
    <n v="0"/>
    <n v="0"/>
  </r>
  <r>
    <x v="2779"/>
    <n v="12"/>
    <n v="56"/>
    <n v="68"/>
    <n v="12"/>
    <n v="23"/>
    <x v="11"/>
    <n v="30"/>
    <n v="5"/>
    <n v="45"/>
    <n v="0.5"/>
    <n v="0"/>
    <n v="0"/>
  </r>
  <r>
    <x v="2780"/>
    <n v="5"/>
    <n v="45"/>
    <n v="50"/>
    <n v="30"/>
    <n v="13"/>
    <x v="33"/>
    <n v="22"/>
    <n v="-4"/>
    <n v="62"/>
    <n v="0"/>
    <n v="1"/>
    <n v="4"/>
  </r>
  <r>
    <x v="2781"/>
    <n v="-4"/>
    <n v="62"/>
    <n v="58"/>
    <n v="22"/>
    <n v="20"/>
    <x v="8"/>
    <n v="19"/>
    <n v="-3"/>
    <n v="64"/>
    <n v="0"/>
    <n v="1"/>
    <n v="3"/>
  </r>
  <r>
    <x v="2782"/>
    <n v="-3"/>
    <n v="64"/>
    <n v="61"/>
    <n v="19"/>
    <n v="12"/>
    <x v="20"/>
    <n v="22"/>
    <n v="-13"/>
    <n v="71"/>
    <n v="0"/>
    <n v="1"/>
    <n v="13"/>
  </r>
  <r>
    <x v="2783"/>
    <n v="-13"/>
    <n v="71"/>
    <n v="58"/>
    <n v="22"/>
    <n v="30"/>
    <x v="22"/>
    <n v="19"/>
    <n v="-2"/>
    <n v="63"/>
    <n v="0"/>
    <n v="1"/>
    <n v="2"/>
  </r>
  <r>
    <x v="2784"/>
    <n v="-2"/>
    <n v="63"/>
    <n v="61"/>
    <n v="19"/>
    <n v="22"/>
    <x v="4"/>
    <n v="33"/>
    <n v="-13"/>
    <n v="60"/>
    <n v="0"/>
    <n v="1"/>
    <n v="13"/>
  </r>
  <r>
    <x v="2785"/>
    <n v="-13"/>
    <n v="60"/>
    <n v="47"/>
    <n v="33"/>
    <n v="19"/>
    <x v="39"/>
    <n v="23"/>
    <n v="-17"/>
    <n v="74"/>
    <n v="0"/>
    <n v="1"/>
    <n v="17"/>
  </r>
  <r>
    <x v="2786"/>
    <n v="-17"/>
    <n v="74"/>
    <n v="57"/>
    <n v="23"/>
    <n v="22"/>
    <x v="44"/>
    <n v="23"/>
    <n v="-18"/>
    <n v="75"/>
    <n v="0"/>
    <n v="1"/>
    <n v="18"/>
  </r>
  <r>
    <x v="2787"/>
    <n v="-18"/>
    <n v="75"/>
    <n v="57"/>
    <n v="23"/>
    <n v="19"/>
    <x v="43"/>
    <n v="16"/>
    <n v="-15"/>
    <n v="79"/>
    <n v="0"/>
    <n v="1"/>
    <n v="15"/>
  </r>
  <r>
    <x v="2788"/>
    <n v="-15"/>
    <n v="79"/>
    <n v="64"/>
    <n v="16"/>
    <n v="33"/>
    <x v="33"/>
    <n v="19"/>
    <n v="-1"/>
    <n v="62"/>
    <n v="0"/>
    <n v="1"/>
    <n v="1"/>
  </r>
  <r>
    <x v="2789"/>
    <n v="-1"/>
    <n v="62"/>
    <n v="61"/>
    <n v="19"/>
    <n v="23"/>
    <x v="28"/>
    <n v="26"/>
    <n v="-4"/>
    <n v="58"/>
    <n v="0"/>
    <n v="1"/>
    <n v="4"/>
  </r>
  <r>
    <x v="2790"/>
    <n v="-4"/>
    <n v="58"/>
    <n v="54"/>
    <n v="26"/>
    <n v="23"/>
    <x v="23"/>
    <n v="17"/>
    <n v="2"/>
    <n v="61"/>
    <n v="0.2"/>
    <n v="0"/>
    <n v="0"/>
  </r>
  <r>
    <x v="2791"/>
    <n v="2"/>
    <n v="61"/>
    <n v="63"/>
    <n v="17"/>
    <n v="16"/>
    <x v="33"/>
    <n v="26"/>
    <n v="-8"/>
    <n v="62"/>
    <n v="0"/>
    <n v="1"/>
    <n v="8"/>
  </r>
  <r>
    <x v="2792"/>
    <n v="-8"/>
    <n v="62"/>
    <n v="54"/>
    <n v="26"/>
    <n v="19"/>
    <x v="30"/>
    <n v="25"/>
    <n v="-14"/>
    <n v="69"/>
    <n v="0"/>
    <n v="1"/>
    <n v="14"/>
  </r>
  <r>
    <x v="2793"/>
    <n v="-14"/>
    <n v="69"/>
    <n v="55"/>
    <n v="25"/>
    <n v="26"/>
    <x v="17"/>
    <n v="19"/>
    <n v="-7"/>
    <n v="68"/>
    <n v="0"/>
    <n v="1"/>
    <n v="7"/>
  </r>
  <r>
    <x v="2794"/>
    <n v="-7"/>
    <n v="68"/>
    <n v="61"/>
    <n v="19"/>
    <n v="17"/>
    <x v="6"/>
    <n v="20"/>
    <n v="-10"/>
    <n v="70"/>
    <n v="0"/>
    <n v="1"/>
    <n v="10"/>
  </r>
  <r>
    <x v="2795"/>
    <n v="-10"/>
    <n v="70"/>
    <n v="60"/>
    <n v="20"/>
    <n v="26"/>
    <x v="8"/>
    <n v="26"/>
    <n v="-10"/>
    <n v="64"/>
    <n v="0"/>
    <n v="1"/>
    <n v="10"/>
  </r>
  <r>
    <x v="2796"/>
    <n v="-10"/>
    <n v="64"/>
    <n v="54"/>
    <n v="26"/>
    <n v="25"/>
    <x v="26"/>
    <n v="17"/>
    <n v="-2"/>
    <n v="65"/>
    <n v="0"/>
    <n v="1"/>
    <n v="2"/>
  </r>
  <r>
    <x v="2797"/>
    <n v="-2"/>
    <n v="65"/>
    <n v="63"/>
    <n v="17"/>
    <n v="19"/>
    <x v="22"/>
    <n v="19"/>
    <n v="-2"/>
    <n v="63"/>
    <n v="0"/>
    <n v="1"/>
    <n v="2"/>
  </r>
  <r>
    <x v="2798"/>
    <n v="-2"/>
    <n v="63"/>
    <n v="61"/>
    <n v="19"/>
    <n v="20"/>
    <x v="33"/>
    <n v="23"/>
    <n v="-5"/>
    <n v="62"/>
    <n v="0"/>
    <n v="1"/>
    <n v="5"/>
  </r>
  <r>
    <x v="2799"/>
    <n v="-5"/>
    <n v="62"/>
    <n v="57"/>
    <n v="23"/>
    <n v="26"/>
    <x v="5"/>
    <n v="22"/>
    <n v="-1"/>
    <n v="59"/>
    <n v="0"/>
    <n v="1"/>
    <n v="1"/>
  </r>
  <r>
    <x v="2800"/>
    <n v="-1"/>
    <n v="59"/>
    <n v="58"/>
    <n v="22"/>
    <n v="17"/>
    <x v="8"/>
    <n v="16"/>
    <n v="0"/>
    <n v="64"/>
    <n v="0"/>
    <n v="0"/>
    <n v="0"/>
  </r>
  <r>
    <x v="2801"/>
    <n v="0"/>
    <n v="64"/>
    <n v="64"/>
    <n v="16"/>
    <n v="19"/>
    <x v="23"/>
    <n v="18"/>
    <n v="1"/>
    <n v="61"/>
    <n v="0.1"/>
    <n v="0"/>
    <n v="0"/>
  </r>
  <r>
    <x v="2802"/>
    <n v="1"/>
    <n v="61"/>
    <n v="62"/>
    <n v="18"/>
    <n v="23"/>
    <x v="32"/>
    <n v="35"/>
    <n v="-11"/>
    <n v="56"/>
    <n v="0"/>
    <n v="1"/>
    <n v="11"/>
  </r>
  <r>
    <x v="2803"/>
    <n v="-11"/>
    <n v="56"/>
    <n v="45"/>
    <n v="35"/>
    <n v="22"/>
    <x v="30"/>
    <n v="21"/>
    <n v="-10"/>
    <n v="69"/>
    <n v="0"/>
    <n v="1"/>
    <n v="10"/>
  </r>
  <r>
    <x v="2804"/>
    <n v="-10"/>
    <n v="69"/>
    <n v="59"/>
    <n v="21"/>
    <n v="16"/>
    <x v="39"/>
    <n v="21"/>
    <n v="-15"/>
    <n v="74"/>
    <n v="0"/>
    <n v="1"/>
    <n v="15"/>
  </r>
  <r>
    <x v="2805"/>
    <n v="-15"/>
    <n v="74"/>
    <n v="59"/>
    <n v="21"/>
    <n v="18"/>
    <x v="18"/>
    <n v="20"/>
    <n v="-17"/>
    <n v="77"/>
    <n v="0"/>
    <n v="1"/>
    <n v="17"/>
  </r>
  <r>
    <x v="2806"/>
    <n v="-17"/>
    <n v="77"/>
    <n v="60"/>
    <n v="20"/>
    <n v="35"/>
    <x v="33"/>
    <n v="27"/>
    <n v="-9"/>
    <n v="62"/>
    <n v="0"/>
    <n v="1"/>
    <n v="9"/>
  </r>
  <r>
    <x v="2807"/>
    <n v="-9"/>
    <n v="62"/>
    <n v="53"/>
    <n v="27"/>
    <n v="21"/>
    <x v="17"/>
    <n v="30"/>
    <n v="-18"/>
    <n v="68"/>
    <n v="0"/>
    <n v="1"/>
    <n v="18"/>
  </r>
  <r>
    <x v="2808"/>
    <n v="-18"/>
    <n v="68"/>
    <n v="50"/>
    <n v="30"/>
    <n v="21"/>
    <x v="18"/>
    <n v="14"/>
    <n v="-11"/>
    <n v="77"/>
    <n v="0"/>
    <n v="1"/>
    <n v="11"/>
  </r>
  <r>
    <x v="2809"/>
    <n v="-11"/>
    <n v="77"/>
    <n v="66"/>
    <n v="14"/>
    <n v="20"/>
    <x v="20"/>
    <n v="15"/>
    <n v="-6"/>
    <n v="71"/>
    <n v="0"/>
    <n v="1"/>
    <n v="6"/>
  </r>
  <r>
    <x v="2810"/>
    <n v="-6"/>
    <n v="71"/>
    <n v="65"/>
    <n v="15"/>
    <n v="27"/>
    <x v="5"/>
    <n v="19"/>
    <n v="2"/>
    <n v="59"/>
    <n v="0.2"/>
    <n v="0"/>
    <n v="0"/>
  </r>
  <r>
    <x v="2811"/>
    <n v="2"/>
    <n v="59"/>
    <n v="61"/>
    <n v="19"/>
    <n v="30"/>
    <x v="15"/>
    <n v="20"/>
    <n v="12"/>
    <n v="48"/>
    <n v="1.2000000000000002"/>
    <n v="0"/>
    <n v="0"/>
  </r>
  <r>
    <x v="2812"/>
    <n v="12"/>
    <n v="48"/>
    <n v="60"/>
    <n v="20"/>
    <n v="14"/>
    <x v="16"/>
    <n v="18"/>
    <n v="8"/>
    <n v="54"/>
    <n v="0.8"/>
    <n v="0"/>
    <n v="0"/>
  </r>
  <r>
    <x v="2813"/>
    <n v="8"/>
    <n v="54"/>
    <n v="62"/>
    <n v="18"/>
    <n v="15"/>
    <x v="24"/>
    <n v="22"/>
    <n v="1"/>
    <n v="57"/>
    <n v="0.1"/>
    <n v="0"/>
    <n v="0"/>
  </r>
  <r>
    <x v="2814"/>
    <n v="1"/>
    <n v="57"/>
    <n v="58"/>
    <n v="22"/>
    <n v="19"/>
    <x v="4"/>
    <n v="21"/>
    <n v="-1"/>
    <n v="60"/>
    <n v="0"/>
    <n v="1"/>
    <n v="1"/>
  </r>
  <r>
    <x v="2815"/>
    <n v="-1"/>
    <n v="60"/>
    <n v="59"/>
    <n v="21"/>
    <n v="20"/>
    <x v="23"/>
    <n v="16"/>
    <n v="3"/>
    <n v="61"/>
    <n v="0.30000000000000004"/>
    <n v="0"/>
    <n v="0"/>
  </r>
  <r>
    <x v="2816"/>
    <n v="3"/>
    <n v="61"/>
    <n v="64"/>
    <n v="16"/>
    <n v="18"/>
    <x v="5"/>
    <n v="24"/>
    <n v="-3"/>
    <n v="59"/>
    <n v="0"/>
    <n v="1"/>
    <n v="3"/>
  </r>
  <r>
    <x v="2817"/>
    <n v="-3"/>
    <n v="59"/>
    <n v="56"/>
    <n v="24"/>
    <n v="22"/>
    <x v="23"/>
    <n v="21"/>
    <n v="-2"/>
    <n v="61"/>
    <n v="0"/>
    <n v="1"/>
    <n v="2"/>
  </r>
  <r>
    <x v="2818"/>
    <n v="-2"/>
    <n v="61"/>
    <n v="59"/>
    <n v="21"/>
    <n v="21"/>
    <x v="23"/>
    <n v="18"/>
    <n v="1"/>
    <n v="61"/>
    <n v="0.1"/>
    <n v="0"/>
    <n v="0"/>
  </r>
  <r>
    <x v="2819"/>
    <n v="1"/>
    <n v="61"/>
    <n v="62"/>
    <n v="18"/>
    <n v="16"/>
    <x v="22"/>
    <n v="27"/>
    <n v="-10"/>
    <n v="63"/>
    <n v="0"/>
    <n v="1"/>
    <n v="10"/>
  </r>
  <r>
    <x v="2820"/>
    <n v="-10"/>
    <n v="63"/>
    <n v="53"/>
    <n v="27"/>
    <n v="24"/>
    <x v="7"/>
    <n v="16"/>
    <n v="-2"/>
    <n v="66"/>
    <n v="0"/>
    <n v="1"/>
    <n v="2"/>
  </r>
  <r>
    <x v="2821"/>
    <n v="-2"/>
    <n v="66"/>
    <n v="64"/>
    <n v="16"/>
    <n v="21"/>
    <x v="23"/>
    <n v="28"/>
    <n v="-9"/>
    <n v="61"/>
    <n v="0"/>
    <n v="1"/>
    <n v="9"/>
  </r>
  <r>
    <x v="2822"/>
    <n v="-9"/>
    <n v="61"/>
    <n v="52"/>
    <n v="28"/>
    <n v="18"/>
    <x v="20"/>
    <n v="19"/>
    <n v="-10"/>
    <n v="71"/>
    <n v="0"/>
    <n v="1"/>
    <n v="10"/>
  </r>
  <r>
    <x v="2823"/>
    <n v="-10"/>
    <n v="71"/>
    <n v="61"/>
    <n v="19"/>
    <n v="27"/>
    <x v="22"/>
    <n v="12"/>
    <n v="5"/>
    <n v="63"/>
    <n v="0.5"/>
    <n v="0"/>
    <n v="0"/>
  </r>
  <r>
    <x v="2824"/>
    <n v="5"/>
    <n v="63"/>
    <n v="68"/>
    <n v="12"/>
    <n v="16"/>
    <x v="5"/>
    <n v="19"/>
    <n v="2"/>
    <n v="59"/>
    <n v="0.2"/>
    <n v="0"/>
    <n v="0"/>
  </r>
  <r>
    <x v="2825"/>
    <n v="2"/>
    <n v="59"/>
    <n v="61"/>
    <n v="19"/>
    <n v="28"/>
    <x v="13"/>
    <n v="15"/>
    <n v="15"/>
    <n v="50"/>
    <n v="1.5"/>
    <n v="0"/>
    <n v="0"/>
  </r>
  <r>
    <x v="2826"/>
    <n v="15"/>
    <n v="50"/>
    <n v="65"/>
    <n v="15"/>
    <n v="19"/>
    <x v="38"/>
    <n v="18"/>
    <n v="16"/>
    <n v="46"/>
    <n v="1.6"/>
    <n v="0"/>
    <n v="0"/>
  </r>
  <r>
    <x v="2827"/>
    <n v="16"/>
    <n v="46"/>
    <n v="62"/>
    <n v="18"/>
    <n v="12"/>
    <x v="25"/>
    <n v="25"/>
    <n v="3"/>
    <n v="52"/>
    <n v="0.30000000000000004"/>
    <n v="0"/>
    <n v="0"/>
  </r>
  <r>
    <x v="2828"/>
    <n v="3"/>
    <n v="52"/>
    <n v="55"/>
    <n v="25"/>
    <n v="19"/>
    <x v="28"/>
    <n v="22"/>
    <n v="0"/>
    <n v="58"/>
    <n v="0"/>
    <n v="0"/>
    <n v="0"/>
  </r>
  <r>
    <x v="2829"/>
    <n v="0"/>
    <n v="58"/>
    <n v="58"/>
    <n v="22"/>
    <n v="15"/>
    <x v="26"/>
    <n v="21"/>
    <n v="-6"/>
    <n v="65"/>
    <n v="0"/>
    <n v="1"/>
    <n v="6"/>
  </r>
  <r>
    <x v="2830"/>
    <n v="-6"/>
    <n v="65"/>
    <n v="59"/>
    <n v="21"/>
    <n v="18"/>
    <x v="17"/>
    <n v="19"/>
    <n v="-7"/>
    <n v="68"/>
    <n v="0"/>
    <n v="1"/>
    <n v="7"/>
  </r>
  <r>
    <x v="2831"/>
    <n v="-7"/>
    <n v="68"/>
    <n v="61"/>
    <n v="19"/>
    <n v="25"/>
    <x v="33"/>
    <n v="23"/>
    <n v="-5"/>
    <n v="62"/>
    <n v="0"/>
    <n v="1"/>
    <n v="5"/>
  </r>
  <r>
    <x v="2832"/>
    <n v="-5"/>
    <n v="62"/>
    <n v="57"/>
    <n v="23"/>
    <n v="22"/>
    <x v="22"/>
    <n v="14"/>
    <n v="3"/>
    <n v="63"/>
    <n v="0.30000000000000004"/>
    <n v="0"/>
    <n v="0"/>
  </r>
  <r>
    <x v="2833"/>
    <n v="3"/>
    <n v="63"/>
    <n v="66"/>
    <n v="14"/>
    <n v="21"/>
    <x v="32"/>
    <n v="23"/>
    <n v="1"/>
    <n v="56"/>
    <n v="0.1"/>
    <n v="0"/>
    <n v="0"/>
  </r>
  <r>
    <x v="2834"/>
    <n v="1"/>
    <n v="56"/>
    <n v="57"/>
    <n v="23"/>
    <n v="19"/>
    <x v="4"/>
    <n v="17"/>
    <n v="3"/>
    <n v="60"/>
    <n v="0.30000000000000004"/>
    <n v="0"/>
    <n v="0"/>
  </r>
  <r>
    <x v="2835"/>
    <n v="3"/>
    <n v="60"/>
    <n v="63"/>
    <n v="17"/>
    <n v="23"/>
    <x v="16"/>
    <n v="10"/>
    <n v="16"/>
    <n v="54"/>
    <n v="1.6"/>
    <n v="0"/>
    <n v="0"/>
  </r>
  <r>
    <x v="2836"/>
    <n v="16"/>
    <n v="54"/>
    <n v="70"/>
    <n v="10"/>
    <n v="14"/>
    <x v="13"/>
    <n v="24"/>
    <n v="6"/>
    <n v="50"/>
    <n v="0.60000000000000009"/>
    <n v="0"/>
    <n v="0"/>
  </r>
  <r>
    <x v="2837"/>
    <n v="6"/>
    <n v="50"/>
    <n v="56"/>
    <n v="24"/>
    <n v="23"/>
    <x v="9"/>
    <n v="22"/>
    <n v="7"/>
    <n v="51"/>
    <n v="0.70000000000000007"/>
    <n v="0"/>
    <n v="0"/>
  </r>
  <r>
    <x v="2838"/>
    <n v="7"/>
    <n v="51"/>
    <n v="58"/>
    <n v="22"/>
    <n v="17"/>
    <x v="32"/>
    <n v="23"/>
    <n v="1"/>
    <n v="56"/>
    <n v="0.1"/>
    <n v="0"/>
    <n v="0"/>
  </r>
  <r>
    <x v="2839"/>
    <n v="1"/>
    <n v="56"/>
    <n v="57"/>
    <n v="23"/>
    <n v="10"/>
    <x v="30"/>
    <n v="22"/>
    <n v="-11"/>
    <n v="69"/>
    <n v="0"/>
    <n v="1"/>
    <n v="11"/>
  </r>
  <r>
    <x v="2840"/>
    <n v="-11"/>
    <n v="69"/>
    <n v="58"/>
    <n v="22"/>
    <n v="24"/>
    <x v="21"/>
    <n v="15"/>
    <n v="-2"/>
    <n v="67"/>
    <n v="0"/>
    <n v="1"/>
    <n v="2"/>
  </r>
  <r>
    <x v="2841"/>
    <n v="-2"/>
    <n v="67"/>
    <n v="65"/>
    <n v="15"/>
    <n v="22"/>
    <x v="4"/>
    <n v="24"/>
    <n v="-4"/>
    <n v="60"/>
    <n v="0"/>
    <n v="1"/>
    <n v="4"/>
  </r>
  <r>
    <x v="2842"/>
    <n v="-4"/>
    <n v="60"/>
    <n v="56"/>
    <n v="24"/>
    <n v="23"/>
    <x v="23"/>
    <n v="20"/>
    <n v="-1"/>
    <n v="61"/>
    <n v="0"/>
    <n v="1"/>
    <n v="1"/>
  </r>
  <r>
    <x v="2843"/>
    <n v="-1"/>
    <n v="61"/>
    <n v="60"/>
    <n v="20"/>
    <n v="22"/>
    <x v="5"/>
    <n v="12"/>
    <n v="9"/>
    <n v="59"/>
    <n v="0.9"/>
    <n v="0"/>
    <n v="0"/>
  </r>
  <r>
    <x v="2844"/>
    <n v="9"/>
    <n v="59"/>
    <n v="68"/>
    <n v="12"/>
    <n v="15"/>
    <x v="32"/>
    <n v="19"/>
    <n v="5"/>
    <n v="56"/>
    <n v="0.5"/>
    <n v="0"/>
    <n v="0"/>
  </r>
  <r>
    <x v="2845"/>
    <n v="5"/>
    <n v="56"/>
    <n v="61"/>
    <n v="19"/>
    <n v="24"/>
    <x v="9"/>
    <n v="18"/>
    <n v="11"/>
    <n v="51"/>
    <n v="1.1000000000000001"/>
    <n v="0"/>
    <n v="0"/>
  </r>
  <r>
    <x v="2846"/>
    <n v="11"/>
    <n v="51"/>
    <n v="62"/>
    <n v="18"/>
    <n v="20"/>
    <x v="10"/>
    <n v="17"/>
    <n v="14"/>
    <n v="49"/>
    <n v="1.4000000000000001"/>
    <n v="0"/>
    <n v="0"/>
  </r>
  <r>
    <x v="2847"/>
    <n v="14"/>
    <n v="49"/>
    <n v="63"/>
    <n v="17"/>
    <n v="12"/>
    <x v="16"/>
    <n v="28"/>
    <n v="-2"/>
    <n v="54"/>
    <n v="0"/>
    <n v="1"/>
    <n v="2"/>
  </r>
  <r>
    <x v="2848"/>
    <n v="-2"/>
    <n v="54"/>
    <n v="52"/>
    <n v="28"/>
    <n v="19"/>
    <x v="22"/>
    <n v="21"/>
    <n v="-4"/>
    <n v="63"/>
    <n v="0"/>
    <n v="1"/>
    <n v="4"/>
  </r>
  <r>
    <x v="2849"/>
    <n v="-4"/>
    <n v="63"/>
    <n v="59"/>
    <n v="21"/>
    <n v="18"/>
    <x v="7"/>
    <n v="32"/>
    <n v="-18"/>
    <n v="66"/>
    <n v="0"/>
    <n v="1"/>
    <n v="18"/>
  </r>
  <r>
    <x v="2850"/>
    <n v="-18"/>
    <n v="66"/>
    <n v="48"/>
    <n v="32"/>
    <n v="17"/>
    <x v="41"/>
    <n v="27"/>
    <n v="-28"/>
    <n v="81"/>
    <n v="0"/>
    <n v="1"/>
    <n v="27"/>
  </r>
  <r>
    <x v="2851"/>
    <n v="-28"/>
    <n v="81"/>
    <n v="53"/>
    <n v="27"/>
    <n v="28"/>
    <x v="0"/>
    <n v="29"/>
    <n v="-29"/>
    <n v="80"/>
    <n v="0"/>
    <n v="1"/>
    <n v="29"/>
  </r>
  <r>
    <x v="2852"/>
    <n v="-29"/>
    <n v="80"/>
    <n v="51"/>
    <n v="29"/>
    <n v="21"/>
    <x v="48"/>
    <n v="21"/>
    <n v="-29"/>
    <n v="88"/>
    <n v="0"/>
    <n v="1"/>
    <n v="21"/>
  </r>
  <r>
    <x v="2853"/>
    <n v="-29"/>
    <n v="88"/>
    <n v="59"/>
    <n v="21"/>
    <n v="32"/>
    <x v="18"/>
    <n v="19"/>
    <n v="-16"/>
    <n v="77"/>
    <n v="0"/>
    <n v="1"/>
    <n v="16"/>
  </r>
  <r>
    <x v="2854"/>
    <n v="-16"/>
    <n v="77"/>
    <n v="61"/>
    <n v="19"/>
    <n v="27"/>
    <x v="30"/>
    <n v="19"/>
    <n v="-8"/>
    <n v="69"/>
    <n v="0"/>
    <n v="1"/>
    <n v="8"/>
  </r>
  <r>
    <x v="2855"/>
    <n v="-8"/>
    <n v="69"/>
    <n v="61"/>
    <n v="19"/>
    <n v="29"/>
    <x v="5"/>
    <n v="22"/>
    <n v="-1"/>
    <n v="59"/>
    <n v="0"/>
    <n v="1"/>
    <n v="1"/>
  </r>
  <r>
    <x v="2856"/>
    <n v="-1"/>
    <n v="59"/>
    <n v="58"/>
    <n v="22"/>
    <n v="21"/>
    <x v="4"/>
    <n v="21"/>
    <n v="-1"/>
    <n v="60"/>
    <n v="0"/>
    <n v="1"/>
    <n v="1"/>
  </r>
  <r>
    <x v="2857"/>
    <n v="-1"/>
    <n v="60"/>
    <n v="59"/>
    <n v="21"/>
    <n v="19"/>
    <x v="33"/>
    <n v="25"/>
    <n v="-7"/>
    <n v="62"/>
    <n v="0"/>
    <n v="1"/>
    <n v="7"/>
  </r>
  <r>
    <x v="2858"/>
    <n v="-7"/>
    <n v="62"/>
    <n v="55"/>
    <n v="25"/>
    <n v="19"/>
    <x v="17"/>
    <n v="14"/>
    <n v="-2"/>
    <n v="68"/>
    <n v="0"/>
    <n v="1"/>
    <n v="2"/>
  </r>
  <r>
    <x v="2859"/>
    <n v="-2"/>
    <n v="68"/>
    <n v="66"/>
    <n v="14"/>
    <n v="22"/>
    <x v="4"/>
    <n v="12"/>
    <n v="8"/>
    <n v="60"/>
    <n v="0.8"/>
    <n v="0"/>
    <n v="0"/>
  </r>
  <r>
    <x v="2860"/>
    <n v="8"/>
    <n v="60"/>
    <n v="68"/>
    <n v="12"/>
    <n v="21"/>
    <x v="9"/>
    <n v="16"/>
    <n v="13"/>
    <n v="51"/>
    <n v="1.3"/>
    <n v="0"/>
    <n v="0"/>
  </r>
  <r>
    <x v="2861"/>
    <n v="13"/>
    <n v="51"/>
    <n v="64"/>
    <n v="16"/>
    <n v="25"/>
    <x v="40"/>
    <n v="21"/>
    <n v="17"/>
    <n v="42"/>
    <n v="1.7000000000000002"/>
    <n v="0"/>
    <n v="0"/>
  </r>
  <r>
    <x v="2862"/>
    <n v="17"/>
    <n v="42"/>
    <n v="59"/>
    <n v="21"/>
    <n v="14"/>
    <x v="10"/>
    <n v="21"/>
    <n v="10"/>
    <n v="49"/>
    <n v="1"/>
    <n v="0"/>
    <n v="0"/>
  </r>
  <r>
    <x v="2863"/>
    <n v="10"/>
    <n v="49"/>
    <n v="59"/>
    <n v="21"/>
    <n v="12"/>
    <x v="28"/>
    <n v="26"/>
    <n v="-4"/>
    <n v="58"/>
    <n v="0"/>
    <n v="1"/>
    <n v="4"/>
  </r>
  <r>
    <x v="2864"/>
    <n v="-4"/>
    <n v="58"/>
    <n v="54"/>
    <n v="26"/>
    <n v="16"/>
    <x v="17"/>
    <n v="27"/>
    <n v="-15"/>
    <n v="68"/>
    <n v="0"/>
    <n v="1"/>
    <n v="15"/>
  </r>
  <r>
    <x v="2865"/>
    <n v="-15"/>
    <n v="68"/>
    <n v="53"/>
    <n v="27"/>
    <n v="21"/>
    <x v="39"/>
    <n v="14"/>
    <n v="-8"/>
    <n v="74"/>
    <n v="0"/>
    <n v="1"/>
    <n v="8"/>
  </r>
  <r>
    <x v="2866"/>
    <n v="-8"/>
    <n v="74"/>
    <n v="66"/>
    <n v="14"/>
    <n v="21"/>
    <x v="21"/>
    <n v="23"/>
    <n v="-10"/>
    <n v="67"/>
    <n v="0"/>
    <n v="1"/>
    <n v="10"/>
  </r>
  <r>
    <x v="2867"/>
    <n v="-10"/>
    <n v="67"/>
    <n v="57"/>
    <n v="23"/>
    <n v="26"/>
    <x v="8"/>
    <n v="17"/>
    <n v="-1"/>
    <n v="64"/>
    <n v="0"/>
    <n v="1"/>
    <n v="1"/>
  </r>
  <r>
    <x v="2868"/>
    <n v="-1"/>
    <n v="64"/>
    <n v="63"/>
    <n v="17"/>
    <n v="27"/>
    <x v="16"/>
    <n v="29"/>
    <n v="-3"/>
    <n v="54"/>
    <n v="0"/>
    <n v="1"/>
    <n v="3"/>
  </r>
  <r>
    <x v="2869"/>
    <n v="-3"/>
    <n v="54"/>
    <n v="51"/>
    <n v="29"/>
    <n v="14"/>
    <x v="30"/>
    <n v="15"/>
    <n v="-4"/>
    <n v="69"/>
    <n v="0"/>
    <n v="1"/>
    <n v="4"/>
  </r>
  <r>
    <x v="2870"/>
    <n v="-4"/>
    <n v="69"/>
    <n v="65"/>
    <n v="15"/>
    <n v="23"/>
    <x v="23"/>
    <n v="19"/>
    <n v="0"/>
    <n v="61"/>
    <n v="0"/>
    <n v="0"/>
    <n v="0"/>
  </r>
  <r>
    <x v="2871"/>
    <n v="0"/>
    <n v="61"/>
    <n v="61"/>
    <n v="19"/>
    <n v="17"/>
    <x v="22"/>
    <n v="18"/>
    <n v="-1"/>
    <n v="63"/>
    <n v="0"/>
    <n v="1"/>
    <n v="1"/>
  </r>
  <r>
    <x v="2872"/>
    <n v="-1"/>
    <n v="63"/>
    <n v="62"/>
    <n v="18"/>
    <n v="29"/>
    <x v="25"/>
    <n v="27"/>
    <n v="1"/>
    <n v="52"/>
    <n v="0.1"/>
    <n v="0"/>
    <n v="0"/>
  </r>
  <r>
    <x v="2873"/>
    <n v="1"/>
    <n v="52"/>
    <n v="53"/>
    <n v="27"/>
    <n v="15"/>
    <x v="8"/>
    <n v="32"/>
    <n v="-16"/>
    <n v="64"/>
    <n v="0"/>
    <n v="1"/>
    <n v="16"/>
  </r>
  <r>
    <x v="2874"/>
    <n v="-16"/>
    <n v="64"/>
    <n v="48"/>
    <n v="32"/>
    <n v="19"/>
    <x v="18"/>
    <n v="18"/>
    <n v="-15"/>
    <n v="77"/>
    <n v="0"/>
    <n v="1"/>
    <n v="15"/>
  </r>
  <r>
    <x v="2875"/>
    <n v="-15"/>
    <n v="77"/>
    <n v="62"/>
    <n v="18"/>
    <n v="18"/>
    <x v="18"/>
    <n v="22"/>
    <n v="-19"/>
    <n v="77"/>
    <n v="0"/>
    <n v="1"/>
    <n v="19"/>
  </r>
  <r>
    <x v="2876"/>
    <n v="-19"/>
    <n v="77"/>
    <n v="58"/>
    <n v="22"/>
    <n v="27"/>
    <x v="29"/>
    <n v="19"/>
    <n v="-11"/>
    <n v="72"/>
    <n v="0"/>
    <n v="1"/>
    <n v="11"/>
  </r>
  <r>
    <x v="2877"/>
    <n v="-11"/>
    <n v="72"/>
    <n v="61"/>
    <n v="19"/>
    <n v="32"/>
    <x v="5"/>
    <n v="23"/>
    <n v="-2"/>
    <n v="59"/>
    <n v="0"/>
    <n v="1"/>
    <n v="2"/>
  </r>
  <r>
    <x v="2878"/>
    <n v="-2"/>
    <n v="59"/>
    <n v="57"/>
    <n v="23"/>
    <n v="18"/>
    <x v="8"/>
    <n v="21"/>
    <n v="-5"/>
    <n v="64"/>
    <n v="0"/>
    <n v="1"/>
    <n v="5"/>
  </r>
  <r>
    <x v="2879"/>
    <n v="-5"/>
    <n v="64"/>
    <n v="59"/>
    <n v="21"/>
    <n v="22"/>
    <x v="22"/>
    <n v="20"/>
    <n v="-3"/>
    <n v="63"/>
    <n v="0"/>
    <n v="1"/>
    <n v="3"/>
  </r>
  <r>
    <x v="2880"/>
    <n v="-3"/>
    <n v="63"/>
    <n v="60"/>
    <n v="20"/>
    <n v="19"/>
    <x v="8"/>
    <n v="18"/>
    <n v="-2"/>
    <n v="64"/>
    <n v="0"/>
    <n v="1"/>
    <n v="2"/>
  </r>
  <r>
    <x v="2881"/>
    <n v="-2"/>
    <n v="64"/>
    <n v="62"/>
    <n v="18"/>
    <n v="23"/>
    <x v="5"/>
    <n v="25"/>
    <n v="-4"/>
    <n v="59"/>
    <n v="0"/>
    <n v="1"/>
    <n v="4"/>
  </r>
  <r>
    <x v="2882"/>
    <n v="-4"/>
    <n v="59"/>
    <n v="55"/>
    <n v="25"/>
    <n v="21"/>
    <x v="22"/>
    <n v="13"/>
    <n v="4"/>
    <n v="63"/>
    <n v="0.4"/>
    <n v="0"/>
    <n v="0"/>
  </r>
  <r>
    <x v="2883"/>
    <n v="4"/>
    <n v="63"/>
    <n v="67"/>
    <n v="13"/>
    <n v="20"/>
    <x v="32"/>
    <n v="22"/>
    <n v="2"/>
    <n v="56"/>
    <n v="0.2"/>
    <n v="0"/>
    <n v="0"/>
  </r>
  <r>
    <x v="2884"/>
    <n v="2"/>
    <n v="56"/>
    <n v="58"/>
    <n v="22"/>
    <n v="18"/>
    <x v="4"/>
    <n v="15"/>
    <n v="5"/>
    <n v="60"/>
    <n v="0.5"/>
    <n v="0"/>
    <n v="0"/>
  </r>
  <r>
    <x v="2885"/>
    <n v="5"/>
    <n v="60"/>
    <n v="65"/>
    <n v="15"/>
    <n v="25"/>
    <x v="13"/>
    <n v="17"/>
    <n v="13"/>
    <n v="50"/>
    <n v="1.3"/>
    <n v="0"/>
    <n v="0"/>
  </r>
  <r>
    <x v="2886"/>
    <n v="13"/>
    <n v="50"/>
    <n v="63"/>
    <n v="17"/>
    <n v="13"/>
    <x v="16"/>
    <n v="26"/>
    <n v="0"/>
    <n v="54"/>
    <n v="0"/>
    <n v="0"/>
    <n v="0"/>
  </r>
  <r>
    <x v="2887"/>
    <n v="0"/>
    <n v="54"/>
    <n v="54"/>
    <n v="26"/>
    <n v="22"/>
    <x v="28"/>
    <n v="23"/>
    <n v="-1"/>
    <n v="58"/>
    <n v="0"/>
    <n v="1"/>
    <n v="1"/>
  </r>
  <r>
    <x v="2888"/>
    <n v="-1"/>
    <n v="58"/>
    <n v="57"/>
    <n v="23"/>
    <n v="15"/>
    <x v="7"/>
    <n v="16"/>
    <n v="-2"/>
    <n v="66"/>
    <n v="0"/>
    <n v="1"/>
    <n v="2"/>
  </r>
  <r>
    <x v="2889"/>
    <n v="-2"/>
    <n v="66"/>
    <n v="64"/>
    <n v="16"/>
    <n v="17"/>
    <x v="26"/>
    <n v="22"/>
    <n v="-7"/>
    <n v="65"/>
    <n v="0"/>
    <n v="1"/>
    <n v="7"/>
  </r>
  <r>
    <x v="2890"/>
    <n v="-7"/>
    <n v="65"/>
    <n v="58"/>
    <n v="22"/>
    <n v="26"/>
    <x v="23"/>
    <n v="33"/>
    <n v="-14"/>
    <n v="61"/>
    <n v="0"/>
    <n v="1"/>
    <n v="14"/>
  </r>
  <r>
    <x v="2891"/>
    <n v="-14"/>
    <n v="61"/>
    <n v="47"/>
    <n v="33"/>
    <n v="23"/>
    <x v="20"/>
    <n v="14"/>
    <n v="-5"/>
    <n v="71"/>
    <n v="0"/>
    <n v="1"/>
    <n v="5"/>
  </r>
  <r>
    <x v="2892"/>
    <n v="-5"/>
    <n v="71"/>
    <n v="66"/>
    <n v="14"/>
    <n v="16"/>
    <x v="30"/>
    <n v="22"/>
    <n v="-11"/>
    <n v="69"/>
    <n v="0"/>
    <n v="1"/>
    <n v="11"/>
  </r>
  <r>
    <x v="2893"/>
    <n v="-11"/>
    <n v="69"/>
    <n v="58"/>
    <n v="22"/>
    <n v="22"/>
    <x v="30"/>
    <n v="20"/>
    <n v="-9"/>
    <n v="69"/>
    <n v="0"/>
    <n v="1"/>
    <n v="9"/>
  </r>
  <r>
    <x v="2894"/>
    <n v="-9"/>
    <n v="69"/>
    <n v="60"/>
    <n v="20"/>
    <n v="33"/>
    <x v="32"/>
    <n v="22"/>
    <n v="2"/>
    <n v="56"/>
    <n v="0.2"/>
    <n v="0"/>
    <n v="0"/>
  </r>
  <r>
    <x v="2895"/>
    <n v="2"/>
    <n v="56"/>
    <n v="58"/>
    <n v="22"/>
    <n v="14"/>
    <x v="8"/>
    <n v="20"/>
    <n v="-4"/>
    <n v="64"/>
    <n v="0"/>
    <n v="1"/>
    <n v="4"/>
  </r>
  <r>
    <x v="2896"/>
    <n v="-4"/>
    <n v="64"/>
    <n v="60"/>
    <n v="20"/>
    <n v="22"/>
    <x v="33"/>
    <n v="24"/>
    <n v="-6"/>
    <n v="62"/>
    <n v="0"/>
    <n v="1"/>
    <n v="6"/>
  </r>
  <r>
    <x v="2897"/>
    <n v="-6"/>
    <n v="62"/>
    <n v="56"/>
    <n v="24"/>
    <n v="20"/>
    <x v="7"/>
    <n v="18"/>
    <n v="-4"/>
    <n v="66"/>
    <n v="0"/>
    <n v="1"/>
    <n v="4"/>
  </r>
  <r>
    <x v="2898"/>
    <n v="-4"/>
    <n v="66"/>
    <n v="62"/>
    <n v="18"/>
    <n v="22"/>
    <x v="33"/>
    <n v="20"/>
    <n v="-2"/>
    <n v="62"/>
    <n v="0"/>
    <n v="1"/>
    <n v="2"/>
  </r>
  <r>
    <x v="2899"/>
    <n v="-2"/>
    <n v="62"/>
    <n v="60"/>
    <n v="20"/>
    <n v="20"/>
    <x v="33"/>
    <n v="22"/>
    <n v="-4"/>
    <n v="62"/>
    <n v="0"/>
    <n v="1"/>
    <n v="4"/>
  </r>
  <r>
    <x v="2900"/>
    <n v="-4"/>
    <n v="62"/>
    <n v="58"/>
    <n v="22"/>
    <n v="24"/>
    <x v="4"/>
    <n v="16"/>
    <n v="4"/>
    <n v="60"/>
    <n v="0.4"/>
    <n v="0"/>
    <n v="0"/>
  </r>
  <r>
    <x v="2901"/>
    <n v="4"/>
    <n v="60"/>
    <n v="64"/>
    <n v="16"/>
    <n v="18"/>
    <x v="28"/>
    <n v="22"/>
    <n v="0"/>
    <n v="58"/>
    <n v="0"/>
    <n v="0"/>
    <n v="0"/>
  </r>
  <r>
    <x v="2902"/>
    <n v="0"/>
    <n v="58"/>
    <n v="58"/>
    <n v="22"/>
    <n v="20"/>
    <x v="4"/>
    <n v="16"/>
    <n v="4"/>
    <n v="60"/>
    <n v="0.4"/>
    <n v="0"/>
    <n v="0"/>
  </r>
  <r>
    <x v="2903"/>
    <n v="4"/>
    <n v="60"/>
    <n v="64"/>
    <n v="16"/>
    <n v="22"/>
    <x v="16"/>
    <n v="19"/>
    <n v="7"/>
    <n v="54"/>
    <n v="0.70000000000000007"/>
    <n v="0"/>
    <n v="0"/>
  </r>
  <r>
    <x v="2904"/>
    <n v="7"/>
    <n v="54"/>
    <n v="61"/>
    <n v="19"/>
    <n v="16"/>
    <x v="24"/>
    <n v="14"/>
    <n v="9"/>
    <n v="57"/>
    <n v="0.9"/>
    <n v="0"/>
    <n v="0"/>
  </r>
  <r>
    <x v="2905"/>
    <n v="9"/>
    <n v="57"/>
    <n v="66"/>
    <n v="14"/>
    <n v="22"/>
    <x v="10"/>
    <n v="26"/>
    <n v="5"/>
    <n v="49"/>
    <n v="0.5"/>
    <n v="0"/>
    <n v="0"/>
  </r>
  <r>
    <x v="2906"/>
    <n v="5"/>
    <n v="49"/>
    <n v="54"/>
    <n v="26"/>
    <n v="16"/>
    <x v="5"/>
    <n v="27"/>
    <n v="-6"/>
    <n v="59"/>
    <n v="0"/>
    <n v="1"/>
    <n v="6"/>
  </r>
  <r>
    <x v="2907"/>
    <n v="-6"/>
    <n v="59"/>
    <n v="53"/>
    <n v="27"/>
    <n v="19"/>
    <x v="21"/>
    <n v="19"/>
    <n v="-6"/>
    <n v="67"/>
    <n v="0"/>
    <n v="1"/>
    <n v="6"/>
  </r>
  <r>
    <x v="2908"/>
    <n v="-6"/>
    <n v="67"/>
    <n v="61"/>
    <n v="19"/>
    <n v="14"/>
    <x v="29"/>
    <n v="27"/>
    <n v="-19"/>
    <n v="72"/>
    <n v="0"/>
    <n v="1"/>
    <n v="19"/>
  </r>
  <r>
    <x v="2909"/>
    <n v="-19"/>
    <n v="72"/>
    <n v="53"/>
    <n v="27"/>
    <n v="26"/>
    <x v="31"/>
    <n v="19"/>
    <n v="-12"/>
    <n v="73"/>
    <n v="0"/>
    <n v="1"/>
    <n v="12"/>
  </r>
  <r>
    <x v="2910"/>
    <n v="-12"/>
    <n v="73"/>
    <n v="61"/>
    <n v="19"/>
    <n v="27"/>
    <x v="26"/>
    <n v="19"/>
    <n v="-4"/>
    <n v="65"/>
    <n v="0"/>
    <n v="1"/>
    <n v="4"/>
  </r>
  <r>
    <x v="2911"/>
    <n v="-4"/>
    <n v="65"/>
    <n v="61"/>
    <n v="19"/>
    <n v="19"/>
    <x v="26"/>
    <n v="28"/>
    <n v="-13"/>
    <n v="65"/>
    <n v="0"/>
    <n v="1"/>
    <n v="13"/>
  </r>
  <r>
    <x v="2912"/>
    <n v="-13"/>
    <n v="65"/>
    <n v="52"/>
    <n v="28"/>
    <n v="27"/>
    <x v="7"/>
    <n v="14"/>
    <n v="0"/>
    <n v="66"/>
    <n v="0"/>
    <n v="0"/>
    <n v="0"/>
  </r>
  <r>
    <x v="2913"/>
    <n v="0"/>
    <n v="66"/>
    <n v="66"/>
    <n v="14"/>
    <n v="19"/>
    <x v="23"/>
    <n v="21"/>
    <n v="-2"/>
    <n v="61"/>
    <n v="0"/>
    <n v="1"/>
    <n v="2"/>
  </r>
  <r>
    <x v="2914"/>
    <n v="-2"/>
    <n v="61"/>
    <n v="59"/>
    <n v="21"/>
    <n v="19"/>
    <x v="22"/>
    <n v="14"/>
    <n v="3"/>
    <n v="63"/>
    <n v="0.30000000000000004"/>
    <n v="0"/>
    <n v="0"/>
  </r>
  <r>
    <x v="2915"/>
    <n v="3"/>
    <n v="63"/>
    <n v="66"/>
    <n v="14"/>
    <n v="28"/>
    <x v="10"/>
    <n v="26"/>
    <n v="5"/>
    <n v="49"/>
    <n v="0.5"/>
    <n v="0"/>
    <n v="0"/>
  </r>
  <r>
    <x v="2916"/>
    <n v="5"/>
    <n v="49"/>
    <n v="54"/>
    <n v="26"/>
    <n v="14"/>
    <x v="23"/>
    <n v="21"/>
    <n v="-2"/>
    <n v="61"/>
    <n v="0"/>
    <n v="1"/>
    <n v="2"/>
  </r>
  <r>
    <x v="2917"/>
    <n v="-2"/>
    <n v="61"/>
    <n v="59"/>
    <n v="21"/>
    <n v="21"/>
    <x v="23"/>
    <n v="28"/>
    <n v="-9"/>
    <n v="61"/>
    <n v="0"/>
    <n v="1"/>
    <n v="9"/>
  </r>
  <r>
    <x v="2918"/>
    <n v="-9"/>
    <n v="61"/>
    <n v="52"/>
    <n v="28"/>
    <n v="14"/>
    <x v="44"/>
    <n v="14"/>
    <n v="-9"/>
    <n v="75"/>
    <n v="0"/>
    <n v="1"/>
    <n v="9"/>
  </r>
  <r>
    <x v="2919"/>
    <n v="-9"/>
    <n v="75"/>
    <n v="66"/>
    <n v="14"/>
    <n v="26"/>
    <x v="22"/>
    <n v="21"/>
    <n v="-4"/>
    <n v="63"/>
    <n v="0"/>
    <n v="1"/>
    <n v="4"/>
  </r>
  <r>
    <x v="2920"/>
    <n v="-4"/>
    <n v="63"/>
    <n v="59"/>
    <n v="21"/>
    <n v="21"/>
    <x v="22"/>
    <n v="18"/>
    <n v="-1"/>
    <n v="63"/>
    <n v="0"/>
    <n v="1"/>
    <n v="1"/>
  </r>
  <r>
    <x v="2921"/>
    <n v="-1"/>
    <n v="63"/>
    <n v="62"/>
    <n v="18"/>
    <n v="28"/>
    <x v="12"/>
    <n v="21"/>
    <n v="6"/>
    <n v="53"/>
    <n v="0.60000000000000009"/>
    <n v="0"/>
    <n v="0"/>
  </r>
  <r>
    <x v="2922"/>
    <n v="6"/>
    <n v="53"/>
    <n v="59"/>
    <n v="21"/>
    <n v="14"/>
    <x v="4"/>
    <n v="12"/>
    <n v="8"/>
    <n v="60"/>
    <n v="0.8"/>
    <n v="0"/>
    <n v="0"/>
  </r>
  <r>
    <x v="2923"/>
    <n v="8"/>
    <n v="60"/>
    <n v="68"/>
    <n v="12"/>
    <n v="21"/>
    <x v="9"/>
    <n v="27"/>
    <n v="2"/>
    <n v="51"/>
    <n v="0.2"/>
    <n v="0"/>
    <n v="0"/>
  </r>
  <r>
    <x v="2924"/>
    <n v="2"/>
    <n v="51"/>
    <n v="53"/>
    <n v="27"/>
    <n v="18"/>
    <x v="4"/>
    <n v="20"/>
    <n v="0"/>
    <n v="60"/>
    <n v="0"/>
    <n v="0"/>
    <n v="0"/>
  </r>
  <r>
    <x v="2925"/>
    <n v="0"/>
    <n v="60"/>
    <n v="60"/>
    <n v="20"/>
    <n v="21"/>
    <x v="5"/>
    <n v="20"/>
    <n v="1"/>
    <n v="59"/>
    <n v="0.1"/>
    <n v="0"/>
    <n v="0"/>
  </r>
  <r>
    <x v="2926"/>
    <n v="1"/>
    <n v="59"/>
    <n v="60"/>
    <n v="20"/>
    <n v="12"/>
    <x v="21"/>
    <n v="26"/>
    <n v="-13"/>
    <n v="67"/>
    <n v="0"/>
    <n v="1"/>
    <n v="13"/>
  </r>
  <r>
    <x v="2927"/>
    <n v="-13"/>
    <n v="67"/>
    <n v="54"/>
    <n v="26"/>
    <n v="27"/>
    <x v="7"/>
    <n v="14"/>
    <n v="0"/>
    <n v="66"/>
    <n v="0"/>
    <n v="0"/>
    <n v="0"/>
  </r>
  <r>
    <x v="2928"/>
    <n v="0"/>
    <n v="66"/>
    <n v="66"/>
    <n v="14"/>
    <n v="20"/>
    <x v="4"/>
    <n v="19"/>
    <n v="1"/>
    <n v="60"/>
    <n v="0.1"/>
    <n v="0"/>
    <n v="0"/>
  </r>
  <r>
    <x v="2929"/>
    <n v="1"/>
    <n v="60"/>
    <n v="61"/>
    <n v="19"/>
    <n v="20"/>
    <x v="5"/>
    <n v="17"/>
    <n v="4"/>
    <n v="59"/>
    <n v="0.4"/>
    <n v="0"/>
    <n v="0"/>
  </r>
  <r>
    <x v="2930"/>
    <n v="4"/>
    <n v="59"/>
    <n v="63"/>
    <n v="17"/>
    <n v="26"/>
    <x v="13"/>
    <n v="26"/>
    <n v="4"/>
    <n v="50"/>
    <n v="0.4"/>
    <n v="0"/>
    <n v="0"/>
  </r>
  <r>
    <x v="2931"/>
    <n v="4"/>
    <n v="50"/>
    <n v="54"/>
    <n v="26"/>
    <n v="14"/>
    <x v="33"/>
    <n v="24"/>
    <n v="-6"/>
    <n v="62"/>
    <n v="0"/>
    <n v="1"/>
    <n v="6"/>
  </r>
  <r>
    <x v="2932"/>
    <n v="-6"/>
    <n v="62"/>
    <n v="56"/>
    <n v="24"/>
    <n v="19"/>
    <x v="21"/>
    <n v="19"/>
    <n v="-6"/>
    <n v="67"/>
    <n v="0"/>
    <n v="1"/>
    <n v="6"/>
  </r>
  <r>
    <x v="2933"/>
    <n v="-6"/>
    <n v="67"/>
    <n v="61"/>
    <n v="19"/>
    <n v="17"/>
    <x v="30"/>
    <n v="18"/>
    <n v="-7"/>
    <n v="69"/>
    <n v="0"/>
    <n v="1"/>
    <n v="7"/>
  </r>
  <r>
    <x v="2934"/>
    <n v="-7"/>
    <n v="69"/>
    <n v="62"/>
    <n v="18"/>
    <n v="26"/>
    <x v="23"/>
    <n v="29"/>
    <n v="-10"/>
    <n v="61"/>
    <n v="0"/>
    <n v="1"/>
    <n v="10"/>
  </r>
  <r>
    <x v="2935"/>
    <n v="-10"/>
    <n v="61"/>
    <n v="51"/>
    <n v="29"/>
    <n v="24"/>
    <x v="7"/>
    <n v="20"/>
    <n v="-6"/>
    <n v="66"/>
    <n v="0"/>
    <n v="1"/>
    <n v="6"/>
  </r>
  <r>
    <x v="2936"/>
    <n v="-6"/>
    <n v="66"/>
    <n v="60"/>
    <n v="20"/>
    <n v="19"/>
    <x v="21"/>
    <n v="33"/>
    <n v="-20"/>
    <n v="67"/>
    <n v="0"/>
    <n v="1"/>
    <n v="20"/>
  </r>
  <r>
    <x v="2937"/>
    <n v="-20"/>
    <n v="67"/>
    <n v="47"/>
    <n v="33"/>
    <n v="18"/>
    <x v="19"/>
    <n v="29"/>
    <n v="-31"/>
    <n v="82"/>
    <n v="0"/>
    <n v="1"/>
    <n v="29"/>
  </r>
  <r>
    <x v="2938"/>
    <n v="-31"/>
    <n v="82"/>
    <n v="51"/>
    <n v="29"/>
    <n v="29"/>
    <x v="19"/>
    <n v="19"/>
    <n v="-21"/>
    <n v="82"/>
    <n v="0"/>
    <n v="1"/>
    <n v="19"/>
  </r>
  <r>
    <x v="2939"/>
    <n v="-21"/>
    <n v="82"/>
    <n v="61"/>
    <n v="19"/>
    <n v="20"/>
    <x v="41"/>
    <n v="25"/>
    <n v="-26"/>
    <n v="81"/>
    <n v="0"/>
    <n v="1"/>
    <n v="25"/>
  </r>
  <r>
    <x v="2940"/>
    <n v="-26"/>
    <n v="81"/>
    <n v="55"/>
    <n v="25"/>
    <n v="33"/>
    <x v="31"/>
    <n v="19"/>
    <n v="-12"/>
    <n v="73"/>
    <n v="0"/>
    <n v="1"/>
    <n v="12"/>
  </r>
  <r>
    <x v="2941"/>
    <n v="-12"/>
    <n v="73"/>
    <n v="61"/>
    <n v="19"/>
    <n v="29"/>
    <x v="22"/>
    <n v="16"/>
    <n v="1"/>
    <n v="63"/>
    <n v="0.1"/>
    <n v="0"/>
    <n v="0"/>
  </r>
  <r>
    <x v="2942"/>
    <n v="1"/>
    <n v="63"/>
    <n v="64"/>
    <n v="16"/>
    <n v="19"/>
    <x v="4"/>
    <n v="17"/>
    <n v="3"/>
    <n v="60"/>
    <n v="0.30000000000000004"/>
    <n v="0"/>
    <n v="0"/>
  </r>
  <r>
    <x v="2943"/>
    <n v="3"/>
    <n v="60"/>
    <n v="63"/>
    <n v="17"/>
    <n v="25"/>
    <x v="25"/>
    <n v="18"/>
    <n v="10"/>
    <n v="52"/>
    <n v="1"/>
    <n v="0"/>
    <n v="0"/>
  </r>
  <r>
    <x v="2944"/>
    <n v="10"/>
    <n v="52"/>
    <n v="62"/>
    <n v="18"/>
    <n v="19"/>
    <x v="9"/>
    <n v="27"/>
    <n v="2"/>
    <n v="51"/>
    <n v="0.2"/>
    <n v="0"/>
    <n v="0"/>
  </r>
  <r>
    <x v="2945"/>
    <n v="2"/>
    <n v="51"/>
    <n v="53"/>
    <n v="27"/>
    <n v="16"/>
    <x v="33"/>
    <n v="20"/>
    <n v="-2"/>
    <n v="62"/>
    <n v="0"/>
    <n v="1"/>
    <n v="2"/>
  </r>
  <r>
    <x v="2946"/>
    <n v="-2"/>
    <n v="62"/>
    <n v="60"/>
    <n v="20"/>
    <n v="17"/>
    <x v="26"/>
    <n v="18"/>
    <n v="-3"/>
    <n v="65"/>
    <n v="0"/>
    <n v="1"/>
    <n v="3"/>
  </r>
  <r>
    <x v="2947"/>
    <n v="-3"/>
    <n v="65"/>
    <n v="62"/>
    <n v="18"/>
    <n v="18"/>
    <x v="26"/>
    <n v="27"/>
    <n v="-12"/>
    <n v="65"/>
    <n v="0"/>
    <n v="1"/>
    <n v="12"/>
  </r>
  <r>
    <x v="2948"/>
    <n v="-12"/>
    <n v="65"/>
    <n v="53"/>
    <n v="27"/>
    <n v="27"/>
    <x v="26"/>
    <n v="17"/>
    <n v="-2"/>
    <n v="65"/>
    <n v="0"/>
    <n v="1"/>
    <n v="2"/>
  </r>
  <r>
    <x v="2949"/>
    <n v="-2"/>
    <n v="65"/>
    <n v="63"/>
    <n v="17"/>
    <n v="20"/>
    <x v="33"/>
    <n v="16"/>
    <n v="2"/>
    <n v="62"/>
    <n v="0.2"/>
    <n v="0"/>
    <n v="0"/>
  </r>
  <r>
    <x v="2950"/>
    <n v="2"/>
    <n v="62"/>
    <n v="64"/>
    <n v="16"/>
    <n v="18"/>
    <x v="4"/>
    <n v="13"/>
    <n v="7"/>
    <n v="60"/>
    <n v="0.70000000000000007"/>
    <n v="0"/>
    <n v="0"/>
  </r>
  <r>
    <x v="2951"/>
    <n v="7"/>
    <n v="60"/>
    <n v="67"/>
    <n v="13"/>
    <n v="27"/>
    <x v="38"/>
    <n v="15"/>
    <n v="19"/>
    <n v="46"/>
    <n v="1.9000000000000001"/>
    <n v="0"/>
    <n v="0"/>
  </r>
  <r>
    <x v="2952"/>
    <n v="19"/>
    <n v="46"/>
    <n v="65"/>
    <n v="15"/>
    <n v="17"/>
    <x v="45"/>
    <n v="25"/>
    <n v="11"/>
    <n v="44"/>
    <n v="1.1000000000000001"/>
    <n v="0"/>
    <n v="0"/>
  </r>
  <r>
    <x v="2953"/>
    <n v="11"/>
    <n v="44"/>
    <n v="55"/>
    <n v="25"/>
    <n v="16"/>
    <x v="12"/>
    <n v="25"/>
    <n v="2"/>
    <n v="53"/>
    <n v="0.2"/>
    <n v="0"/>
    <n v="0"/>
  </r>
  <r>
    <x v="2954"/>
    <n v="2"/>
    <n v="53"/>
    <n v="55"/>
    <n v="25"/>
    <n v="13"/>
    <x v="26"/>
    <n v="21"/>
    <n v="-6"/>
    <n v="65"/>
    <n v="0"/>
    <n v="1"/>
    <n v="6"/>
  </r>
  <r>
    <x v="2955"/>
    <n v="-6"/>
    <n v="65"/>
    <n v="59"/>
    <n v="21"/>
    <n v="15"/>
    <x v="20"/>
    <n v="27"/>
    <n v="-18"/>
    <n v="71"/>
    <n v="0"/>
    <n v="1"/>
    <n v="18"/>
  </r>
  <r>
    <x v="2956"/>
    <n v="-18"/>
    <n v="71"/>
    <n v="53"/>
    <n v="27"/>
    <n v="25"/>
    <x v="31"/>
    <n v="22"/>
    <n v="-15"/>
    <n v="73"/>
    <n v="0"/>
    <n v="1"/>
    <n v="15"/>
  </r>
  <r>
    <x v="2957"/>
    <n v="-15"/>
    <n v="73"/>
    <n v="58"/>
    <n v="22"/>
    <n v="25"/>
    <x v="6"/>
    <n v="23"/>
    <n v="-13"/>
    <n v="70"/>
    <n v="0"/>
    <n v="1"/>
    <n v="13"/>
  </r>
  <r>
    <x v="2958"/>
    <n v="-13"/>
    <n v="70"/>
    <n v="57"/>
    <n v="23"/>
    <n v="21"/>
    <x v="29"/>
    <n v="21"/>
    <n v="-13"/>
    <n v="72"/>
    <n v="0"/>
    <n v="1"/>
    <n v="13"/>
  </r>
  <r>
    <x v="2959"/>
    <n v="-13"/>
    <n v="72"/>
    <n v="59"/>
    <n v="21"/>
    <n v="27"/>
    <x v="7"/>
    <n v="13"/>
    <n v="1"/>
    <n v="66"/>
    <n v="0.1"/>
    <n v="0"/>
    <n v="0"/>
  </r>
  <r>
    <x v="2960"/>
    <n v="1"/>
    <n v="66"/>
    <n v="67"/>
    <n v="13"/>
    <n v="22"/>
    <x v="24"/>
    <n v="19"/>
    <n v="4"/>
    <n v="57"/>
    <n v="0.4"/>
    <n v="0"/>
    <n v="0"/>
  </r>
  <r>
    <x v="2961"/>
    <n v="4"/>
    <n v="57"/>
    <n v="61"/>
    <n v="19"/>
    <n v="23"/>
    <x v="12"/>
    <n v="22"/>
    <n v="5"/>
    <n v="53"/>
    <n v="0.5"/>
    <n v="0"/>
    <n v="0"/>
  </r>
  <r>
    <x v="2962"/>
    <n v="5"/>
    <n v="53"/>
    <n v="58"/>
    <n v="22"/>
    <n v="21"/>
    <x v="16"/>
    <n v="18"/>
    <n v="8"/>
    <n v="54"/>
    <n v="0.8"/>
    <n v="0"/>
    <n v="0"/>
  </r>
  <r>
    <x v="2963"/>
    <n v="8"/>
    <n v="54"/>
    <n v="62"/>
    <n v="18"/>
    <n v="13"/>
    <x v="5"/>
    <n v="15"/>
    <n v="6"/>
    <n v="59"/>
    <n v="0.60000000000000009"/>
    <n v="0"/>
    <n v="0"/>
  </r>
  <r>
    <x v="2964"/>
    <n v="6"/>
    <n v="59"/>
    <n v="65"/>
    <n v="15"/>
    <n v="19"/>
    <x v="27"/>
    <n v="14"/>
    <n v="11"/>
    <n v="55"/>
    <n v="1.1000000000000001"/>
    <n v="0"/>
    <n v="0"/>
  </r>
  <r>
    <x v="2965"/>
    <n v="11"/>
    <n v="55"/>
    <n v="66"/>
    <n v="14"/>
    <n v="22"/>
    <x v="14"/>
    <n v="21"/>
    <n v="12"/>
    <n v="47"/>
    <n v="1.2000000000000002"/>
    <n v="0"/>
    <n v="0"/>
  </r>
  <r>
    <x v="2966"/>
    <n v="12"/>
    <n v="47"/>
    <n v="59"/>
    <n v="21"/>
    <n v="18"/>
    <x v="13"/>
    <n v="21"/>
    <n v="9"/>
    <n v="50"/>
    <n v="0.9"/>
    <n v="0"/>
    <n v="0"/>
  </r>
  <r>
    <x v="2967"/>
    <n v="9"/>
    <n v="50"/>
    <n v="59"/>
    <n v="21"/>
    <n v="15"/>
    <x v="32"/>
    <n v="22"/>
    <n v="2"/>
    <n v="56"/>
    <n v="0.2"/>
    <n v="0"/>
    <n v="0"/>
  </r>
  <r>
    <x v="2968"/>
    <n v="2"/>
    <n v="56"/>
    <n v="58"/>
    <n v="22"/>
    <n v="14"/>
    <x v="8"/>
    <n v="22"/>
    <n v="-6"/>
    <n v="64"/>
    <n v="0"/>
    <n v="1"/>
    <n v="6"/>
  </r>
  <r>
    <x v="2969"/>
    <n v="-6"/>
    <n v="64"/>
    <n v="58"/>
    <n v="22"/>
    <n v="21"/>
    <x v="26"/>
    <n v="15"/>
    <n v="0"/>
    <n v="65"/>
    <n v="0"/>
    <n v="0"/>
    <n v="0"/>
  </r>
  <r>
    <x v="2970"/>
    <n v="0"/>
    <n v="65"/>
    <n v="65"/>
    <n v="15"/>
    <n v="21"/>
    <x v="5"/>
    <n v="19"/>
    <n v="2"/>
    <n v="59"/>
    <n v="0.2"/>
    <n v="0"/>
    <n v="0"/>
  </r>
  <r>
    <x v="2971"/>
    <n v="2"/>
    <n v="59"/>
    <n v="61"/>
    <n v="19"/>
    <n v="22"/>
    <x v="32"/>
    <n v="24"/>
    <n v="0"/>
    <n v="56"/>
    <n v="0"/>
    <n v="0"/>
    <n v="0"/>
  </r>
  <r>
    <x v="2972"/>
    <n v="0"/>
    <n v="56"/>
    <n v="56"/>
    <n v="24"/>
    <n v="22"/>
    <x v="28"/>
    <n v="26"/>
    <n v="-4"/>
    <n v="58"/>
    <n v="0"/>
    <n v="1"/>
    <n v="4"/>
  </r>
  <r>
    <x v="2973"/>
    <n v="-4"/>
    <n v="58"/>
    <n v="54"/>
    <n v="26"/>
    <n v="15"/>
    <x v="30"/>
    <n v="17"/>
    <n v="-6"/>
    <n v="69"/>
    <n v="0"/>
    <n v="1"/>
    <n v="6"/>
  </r>
  <r>
    <x v="2974"/>
    <n v="-6"/>
    <n v="69"/>
    <n v="63"/>
    <n v="17"/>
    <n v="19"/>
    <x v="21"/>
    <n v="15"/>
    <n v="-2"/>
    <n v="67"/>
    <n v="0"/>
    <n v="1"/>
    <n v="2"/>
  </r>
  <r>
    <x v="2975"/>
    <n v="-2"/>
    <n v="67"/>
    <n v="65"/>
    <n v="15"/>
    <n v="24"/>
    <x v="28"/>
    <n v="17"/>
    <n v="5"/>
    <n v="58"/>
    <n v="0.5"/>
    <n v="0"/>
    <n v="0"/>
  </r>
  <r>
    <x v="2976"/>
    <n v="5"/>
    <n v="58"/>
    <n v="63"/>
    <n v="17"/>
    <n v="26"/>
    <x v="10"/>
    <n v="17"/>
    <n v="14"/>
    <n v="49"/>
    <n v="1.4000000000000001"/>
    <n v="0"/>
    <n v="0"/>
  </r>
  <r>
    <x v="2977"/>
    <n v="14"/>
    <n v="49"/>
    <n v="63"/>
    <n v="17"/>
    <n v="17"/>
    <x v="10"/>
    <n v="19"/>
    <n v="12"/>
    <n v="49"/>
    <n v="1.2000000000000002"/>
    <n v="0"/>
    <n v="0"/>
  </r>
  <r>
    <x v="2978"/>
    <n v="12"/>
    <n v="49"/>
    <n v="61"/>
    <n v="19"/>
    <n v="15"/>
    <x v="12"/>
    <n v="21"/>
    <n v="6"/>
    <n v="53"/>
    <n v="0.60000000000000009"/>
    <n v="0"/>
    <n v="0"/>
  </r>
  <r>
    <x v="2979"/>
    <n v="6"/>
    <n v="53"/>
    <n v="59"/>
    <n v="21"/>
    <n v="17"/>
    <x v="24"/>
    <n v="20"/>
    <n v="3"/>
    <n v="57"/>
    <n v="0.30000000000000004"/>
    <n v="0"/>
    <n v="0"/>
  </r>
  <r>
    <x v="2980"/>
    <n v="3"/>
    <n v="57"/>
    <n v="60"/>
    <n v="20"/>
    <n v="17"/>
    <x v="4"/>
    <n v="12"/>
    <n v="8"/>
    <n v="60"/>
    <n v="0.8"/>
    <n v="0"/>
    <n v="0"/>
  </r>
  <r>
    <x v="2981"/>
    <n v="8"/>
    <n v="60"/>
    <n v="68"/>
    <n v="12"/>
    <n v="19"/>
    <x v="12"/>
    <n v="13"/>
    <n v="14"/>
    <n v="53"/>
    <n v="1.4000000000000001"/>
    <n v="0"/>
    <n v="0"/>
  </r>
  <r>
    <x v="2982"/>
    <n v="14"/>
    <n v="53"/>
    <n v="67"/>
    <n v="13"/>
    <n v="21"/>
    <x v="11"/>
    <n v="19"/>
    <n v="16"/>
    <n v="45"/>
    <n v="1.6"/>
    <n v="0"/>
    <n v="0"/>
  </r>
  <r>
    <x v="2983"/>
    <n v="16"/>
    <n v="45"/>
    <n v="61"/>
    <n v="19"/>
    <n v="20"/>
    <x v="45"/>
    <n v="14"/>
    <n v="22"/>
    <n v="44"/>
    <n v="2.2000000000000002"/>
    <n v="0"/>
    <n v="0"/>
  </r>
  <r>
    <x v="2984"/>
    <n v="22"/>
    <n v="44"/>
    <n v="66"/>
    <n v="14"/>
    <n v="12"/>
    <x v="38"/>
    <n v="15"/>
    <n v="19"/>
    <n v="46"/>
    <n v="1.9000000000000001"/>
    <n v="0"/>
    <n v="0"/>
  </r>
  <r>
    <x v="2985"/>
    <n v="19"/>
    <n v="46"/>
    <n v="65"/>
    <n v="15"/>
    <n v="13"/>
    <x v="15"/>
    <n v="22"/>
    <n v="10"/>
    <n v="48"/>
    <n v="1"/>
    <n v="0"/>
    <n v="0"/>
  </r>
  <r>
    <x v="2986"/>
    <n v="10"/>
    <n v="48"/>
    <n v="58"/>
    <n v="22"/>
    <n v="19"/>
    <x v="9"/>
    <n v="23"/>
    <n v="6"/>
    <n v="51"/>
    <n v="0.60000000000000009"/>
    <n v="0"/>
    <n v="0"/>
  </r>
  <r>
    <x v="2987"/>
    <n v="6"/>
    <n v="51"/>
    <n v="57"/>
    <n v="23"/>
    <n v="14"/>
    <x v="4"/>
    <n v="11"/>
    <n v="9"/>
    <n v="60"/>
    <n v="0.9"/>
    <n v="0"/>
    <n v="0"/>
  </r>
  <r>
    <x v="2988"/>
    <n v="9"/>
    <n v="60"/>
    <n v="69"/>
    <n v="11"/>
    <n v="15"/>
    <x v="32"/>
    <n v="26"/>
    <n v="-2"/>
    <n v="56"/>
    <n v="0"/>
    <n v="1"/>
    <n v="2"/>
  </r>
  <r>
    <x v="2989"/>
    <n v="-2"/>
    <n v="56"/>
    <n v="54"/>
    <n v="26"/>
    <n v="22"/>
    <x v="4"/>
    <n v="20"/>
    <n v="0"/>
    <n v="60"/>
    <n v="0"/>
    <n v="0"/>
    <n v="0"/>
  </r>
  <r>
    <x v="2990"/>
    <n v="0"/>
    <n v="60"/>
    <n v="60"/>
    <n v="20"/>
    <n v="23"/>
    <x v="24"/>
    <n v="25"/>
    <n v="-2"/>
    <n v="57"/>
    <n v="0"/>
    <n v="1"/>
    <n v="2"/>
  </r>
  <r>
    <x v="2991"/>
    <n v="-2"/>
    <n v="57"/>
    <n v="55"/>
    <n v="25"/>
    <n v="11"/>
    <x v="20"/>
    <n v="27"/>
    <n v="-18"/>
    <n v="71"/>
    <n v="0"/>
    <n v="1"/>
    <n v="18"/>
  </r>
  <r>
    <x v="2992"/>
    <n v="-18"/>
    <n v="71"/>
    <n v="53"/>
    <n v="27"/>
    <n v="26"/>
    <x v="29"/>
    <n v="15"/>
    <n v="-7"/>
    <n v="72"/>
    <n v="0"/>
    <n v="1"/>
    <n v="7"/>
  </r>
  <r>
    <x v="2993"/>
    <n v="-7"/>
    <n v="72"/>
    <n v="65"/>
    <n v="15"/>
    <n v="20"/>
    <x v="21"/>
    <n v="22"/>
    <n v="-9"/>
    <n v="67"/>
    <n v="0"/>
    <n v="1"/>
    <n v="9"/>
  </r>
  <r>
    <x v="2994"/>
    <n v="-9"/>
    <n v="67"/>
    <n v="58"/>
    <n v="22"/>
    <n v="25"/>
    <x v="8"/>
    <n v="25"/>
    <n v="-9"/>
    <n v="64"/>
    <n v="0"/>
    <n v="1"/>
    <n v="9"/>
  </r>
  <r>
    <x v="2995"/>
    <n v="-9"/>
    <n v="64"/>
    <n v="55"/>
    <n v="25"/>
    <n v="27"/>
    <x v="33"/>
    <n v="18"/>
    <n v="0"/>
    <n v="62"/>
    <n v="0"/>
    <n v="0"/>
    <n v="0"/>
  </r>
  <r>
    <x v="2996"/>
    <n v="0"/>
    <n v="62"/>
    <n v="62"/>
    <n v="18"/>
    <n v="15"/>
    <x v="26"/>
    <n v="17"/>
    <n v="-2"/>
    <n v="65"/>
    <n v="0"/>
    <n v="1"/>
    <n v="2"/>
  </r>
  <r>
    <x v="2997"/>
    <n v="-2"/>
    <n v="65"/>
    <n v="63"/>
    <n v="17"/>
    <n v="22"/>
    <x v="4"/>
    <n v="21"/>
    <n v="-1"/>
    <n v="60"/>
    <n v="0"/>
    <n v="1"/>
    <n v="1"/>
  </r>
  <r>
    <x v="2998"/>
    <n v="-1"/>
    <n v="60"/>
    <n v="59"/>
    <n v="21"/>
    <n v="25"/>
    <x v="32"/>
    <n v="14"/>
    <n v="10"/>
    <n v="56"/>
    <n v="1"/>
    <n v="0"/>
    <n v="0"/>
  </r>
  <r>
    <x v="2999"/>
    <n v="10"/>
    <n v="56"/>
    <n v="66"/>
    <n v="14"/>
    <n v="18"/>
    <x v="25"/>
    <n v="18"/>
    <n v="10"/>
    <n v="52"/>
    <n v="1"/>
    <n v="0"/>
    <n v="0"/>
  </r>
  <r>
    <x v="3000"/>
    <n v="10"/>
    <n v="52"/>
    <n v="62"/>
    <n v="18"/>
    <n v="17"/>
    <x v="12"/>
    <n v="19"/>
    <n v="8"/>
    <n v="53"/>
    <n v="0.8"/>
    <n v="0"/>
    <n v="0"/>
  </r>
  <r>
    <x v="3001"/>
    <n v="8"/>
    <n v="53"/>
    <n v="61"/>
    <n v="19"/>
    <n v="21"/>
    <x v="9"/>
    <n v="27"/>
    <n v="2"/>
    <n v="51"/>
    <n v="0.2"/>
    <n v="0"/>
    <n v="0"/>
  </r>
  <r>
    <x v="3002"/>
    <n v="2"/>
    <n v="51"/>
    <n v="53"/>
    <n v="27"/>
    <n v="14"/>
    <x v="8"/>
    <n v="26"/>
    <n v="-10"/>
    <n v="64"/>
    <n v="0"/>
    <n v="1"/>
    <n v="10"/>
  </r>
  <r>
    <x v="3003"/>
    <n v="-10"/>
    <n v="64"/>
    <n v="54"/>
    <n v="26"/>
    <n v="18"/>
    <x v="29"/>
    <n v="20"/>
    <n v="-12"/>
    <n v="72"/>
    <n v="0"/>
    <n v="1"/>
    <n v="12"/>
  </r>
  <r>
    <x v="3004"/>
    <n v="-12"/>
    <n v="72"/>
    <n v="60"/>
    <n v="20"/>
    <n v="19"/>
    <x v="31"/>
    <n v="19"/>
    <n v="-12"/>
    <n v="73"/>
    <n v="0"/>
    <n v="1"/>
    <n v="12"/>
  </r>
  <r>
    <x v="3005"/>
    <n v="-12"/>
    <n v="73"/>
    <n v="61"/>
    <n v="19"/>
    <n v="27"/>
    <x v="26"/>
    <n v="14"/>
    <n v="1"/>
    <n v="65"/>
    <n v="0.1"/>
    <n v="0"/>
    <n v="0"/>
  </r>
  <r>
    <x v="3006"/>
    <n v="1"/>
    <n v="65"/>
    <n v="66"/>
    <n v="14"/>
    <n v="26"/>
    <x v="12"/>
    <n v="20"/>
    <n v="7"/>
    <n v="53"/>
    <n v="0.70000000000000007"/>
    <n v="0"/>
    <n v="0"/>
  </r>
  <r>
    <x v="3007"/>
    <n v="7"/>
    <n v="53"/>
    <n v="60"/>
    <n v="20"/>
    <n v="20"/>
    <x v="12"/>
    <n v="23"/>
    <n v="4"/>
    <n v="53"/>
    <n v="0.4"/>
    <n v="0"/>
    <n v="0"/>
  </r>
  <r>
    <x v="3008"/>
    <n v="4"/>
    <n v="53"/>
    <n v="57"/>
    <n v="23"/>
    <n v="19"/>
    <x v="24"/>
    <n v="26"/>
    <n v="-3"/>
    <n v="57"/>
    <n v="0"/>
    <n v="1"/>
    <n v="3"/>
  </r>
  <r>
    <x v="3009"/>
    <n v="-3"/>
    <n v="57"/>
    <n v="54"/>
    <n v="26"/>
    <n v="14"/>
    <x v="30"/>
    <n v="17"/>
    <n v="-6"/>
    <n v="69"/>
    <n v="0"/>
    <n v="1"/>
    <n v="6"/>
  </r>
  <r>
    <x v="3010"/>
    <n v="-6"/>
    <n v="69"/>
    <n v="63"/>
    <n v="17"/>
    <n v="20"/>
    <x v="7"/>
    <n v="18"/>
    <n v="-4"/>
    <n v="66"/>
    <n v="0"/>
    <n v="1"/>
    <n v="4"/>
  </r>
  <r>
    <x v="3011"/>
    <n v="-4"/>
    <n v="66"/>
    <n v="62"/>
    <n v="18"/>
    <n v="23"/>
    <x v="23"/>
    <n v="18"/>
    <n v="1"/>
    <n v="61"/>
    <n v="0.1"/>
    <n v="0"/>
    <n v="0"/>
  </r>
  <r>
    <x v="3012"/>
    <n v="1"/>
    <n v="61"/>
    <n v="62"/>
    <n v="18"/>
    <n v="26"/>
    <x v="12"/>
    <n v="18"/>
    <n v="9"/>
    <n v="53"/>
    <n v="0.9"/>
    <n v="0"/>
    <n v="0"/>
  </r>
  <r>
    <x v="3013"/>
    <n v="9"/>
    <n v="53"/>
    <n v="62"/>
    <n v="18"/>
    <n v="17"/>
    <x v="16"/>
    <n v="18"/>
    <n v="8"/>
    <n v="54"/>
    <n v="0.8"/>
    <n v="0"/>
    <n v="0"/>
  </r>
  <r>
    <x v="3014"/>
    <n v="8"/>
    <n v="54"/>
    <n v="62"/>
    <n v="18"/>
    <n v="18"/>
    <x v="16"/>
    <n v="18"/>
    <n v="8"/>
    <n v="54"/>
    <n v="0.8"/>
    <n v="0"/>
    <n v="0"/>
  </r>
  <r>
    <x v="3015"/>
    <n v="8"/>
    <n v="54"/>
    <n v="62"/>
    <n v="18"/>
    <n v="18"/>
    <x v="16"/>
    <n v="17"/>
    <n v="9"/>
    <n v="54"/>
    <n v="0.9"/>
    <n v="0"/>
    <n v="0"/>
  </r>
  <r>
    <x v="3016"/>
    <n v="9"/>
    <n v="54"/>
    <n v="63"/>
    <n v="17"/>
    <n v="18"/>
    <x v="12"/>
    <n v="16"/>
    <n v="11"/>
    <n v="53"/>
    <n v="1.1000000000000001"/>
    <n v="0"/>
    <n v="0"/>
  </r>
  <r>
    <x v="3017"/>
    <n v="11"/>
    <n v="53"/>
    <n v="64"/>
    <n v="16"/>
    <n v="18"/>
    <x v="9"/>
    <n v="31"/>
    <n v="-2"/>
    <n v="51"/>
    <n v="0"/>
    <n v="1"/>
    <n v="2"/>
  </r>
  <r>
    <x v="3018"/>
    <n v="-2"/>
    <n v="51"/>
    <n v="49"/>
    <n v="31"/>
    <n v="18"/>
    <x v="8"/>
    <n v="28"/>
    <n v="-12"/>
    <n v="64"/>
    <n v="0"/>
    <n v="1"/>
    <n v="12"/>
  </r>
  <r>
    <x v="3019"/>
    <n v="-12"/>
    <n v="64"/>
    <n v="52"/>
    <n v="28"/>
    <n v="17"/>
    <x v="44"/>
    <n v="20"/>
    <n v="-15"/>
    <n v="75"/>
    <n v="0"/>
    <n v="1"/>
    <n v="15"/>
  </r>
  <r>
    <x v="3020"/>
    <n v="-15"/>
    <n v="75"/>
    <n v="60"/>
    <n v="20"/>
    <n v="16"/>
    <x v="43"/>
    <n v="20"/>
    <n v="-19"/>
    <n v="79"/>
    <n v="0"/>
    <n v="1"/>
    <n v="19"/>
  </r>
  <r>
    <x v="3021"/>
    <n v="-19"/>
    <n v="79"/>
    <n v="60"/>
    <n v="20"/>
    <n v="31"/>
    <x v="17"/>
    <n v="23"/>
    <n v="-11"/>
    <n v="68"/>
    <n v="0"/>
    <n v="1"/>
    <n v="11"/>
  </r>
  <r>
    <x v="3022"/>
    <n v="-11"/>
    <n v="68"/>
    <n v="57"/>
    <n v="23"/>
    <n v="28"/>
    <x v="22"/>
    <n v="26"/>
    <n v="-9"/>
    <n v="63"/>
    <n v="0"/>
    <n v="1"/>
    <n v="9"/>
  </r>
  <r>
    <x v="3023"/>
    <n v="-9"/>
    <n v="63"/>
    <n v="54"/>
    <n v="26"/>
    <n v="20"/>
    <x v="30"/>
    <n v="17"/>
    <n v="-6"/>
    <n v="69"/>
    <n v="0"/>
    <n v="1"/>
    <n v="6"/>
  </r>
  <r>
    <x v="3024"/>
    <n v="-6"/>
    <n v="69"/>
    <n v="63"/>
    <n v="17"/>
    <n v="20"/>
    <x v="7"/>
    <n v="27"/>
    <n v="-13"/>
    <n v="66"/>
    <n v="0"/>
    <n v="1"/>
    <n v="13"/>
  </r>
  <r>
    <x v="3025"/>
    <n v="-13"/>
    <n v="66"/>
    <n v="53"/>
    <n v="27"/>
    <n v="23"/>
    <x v="6"/>
    <n v="22"/>
    <n v="-12"/>
    <n v="70"/>
    <n v="0"/>
    <n v="1"/>
    <n v="12"/>
  </r>
  <r>
    <x v="3026"/>
    <n v="-12"/>
    <n v="70"/>
    <n v="58"/>
    <n v="22"/>
    <n v="26"/>
    <x v="7"/>
    <n v="17"/>
    <n v="-3"/>
    <n v="66"/>
    <n v="0"/>
    <n v="1"/>
    <n v="3"/>
  </r>
  <r>
    <x v="3027"/>
    <n v="-3"/>
    <n v="66"/>
    <n v="63"/>
    <n v="17"/>
    <n v="17"/>
    <x v="7"/>
    <n v="17"/>
    <n v="-3"/>
    <n v="66"/>
    <n v="0"/>
    <n v="1"/>
    <n v="3"/>
  </r>
  <r>
    <x v="3028"/>
    <n v="-3"/>
    <n v="66"/>
    <n v="63"/>
    <n v="17"/>
    <n v="27"/>
    <x v="32"/>
    <n v="15"/>
    <n v="9"/>
    <n v="56"/>
    <n v="0.9"/>
    <n v="0"/>
    <n v="0"/>
  </r>
  <r>
    <x v="3029"/>
    <n v="9"/>
    <n v="56"/>
    <n v="65"/>
    <n v="15"/>
    <n v="22"/>
    <x v="10"/>
    <n v="21"/>
    <n v="10"/>
    <n v="49"/>
    <n v="1"/>
    <n v="0"/>
    <n v="0"/>
  </r>
  <r>
    <x v="3030"/>
    <n v="10"/>
    <n v="49"/>
    <n v="59"/>
    <n v="21"/>
    <n v="17"/>
    <x v="12"/>
    <n v="13"/>
    <n v="14"/>
    <n v="53"/>
    <n v="1.4000000000000001"/>
    <n v="0"/>
    <n v="0"/>
  </r>
  <r>
    <x v="3031"/>
    <n v="14"/>
    <n v="53"/>
    <n v="67"/>
    <n v="13"/>
    <n v="17"/>
    <x v="10"/>
    <n v="23"/>
    <n v="8"/>
    <n v="49"/>
    <n v="0.8"/>
    <n v="0"/>
    <n v="0"/>
  </r>
  <r>
    <x v="3032"/>
    <n v="8"/>
    <n v="49"/>
    <n v="57"/>
    <n v="23"/>
    <n v="15"/>
    <x v="24"/>
    <n v="23"/>
    <n v="0"/>
    <n v="57"/>
    <n v="0"/>
    <n v="0"/>
    <n v="0"/>
  </r>
  <r>
    <x v="3033"/>
    <n v="0"/>
    <n v="57"/>
    <n v="57"/>
    <n v="23"/>
    <n v="21"/>
    <x v="5"/>
    <n v="13"/>
    <n v="8"/>
    <n v="59"/>
    <n v="0.8"/>
    <n v="0"/>
    <n v="0"/>
  </r>
  <r>
    <x v="3034"/>
    <n v="8"/>
    <n v="59"/>
    <n v="67"/>
    <n v="13"/>
    <n v="13"/>
    <x v="5"/>
    <n v="19"/>
    <n v="2"/>
    <n v="59"/>
    <n v="0.2"/>
    <n v="0"/>
    <n v="0"/>
  </r>
  <r>
    <x v="3035"/>
    <n v="2"/>
    <n v="59"/>
    <n v="61"/>
    <n v="19"/>
    <n v="23"/>
    <x v="27"/>
    <n v="20"/>
    <n v="5"/>
    <n v="55"/>
    <n v="0.5"/>
    <n v="0"/>
    <n v="0"/>
  </r>
  <r>
    <x v="3036"/>
    <n v="5"/>
    <n v="55"/>
    <n v="60"/>
    <n v="20"/>
    <n v="23"/>
    <x v="25"/>
    <n v="21"/>
    <n v="7"/>
    <n v="52"/>
    <n v="0.70000000000000007"/>
    <n v="0"/>
    <n v="0"/>
  </r>
  <r>
    <x v="3037"/>
    <n v="7"/>
    <n v="52"/>
    <n v="59"/>
    <n v="21"/>
    <n v="13"/>
    <x v="4"/>
    <n v="19"/>
    <n v="1"/>
    <n v="60"/>
    <n v="0.1"/>
    <n v="0"/>
    <n v="0"/>
  </r>
  <r>
    <x v="3038"/>
    <n v="1"/>
    <n v="60"/>
    <n v="61"/>
    <n v="19"/>
    <n v="19"/>
    <x v="4"/>
    <n v="20"/>
    <n v="0"/>
    <n v="60"/>
    <n v="0"/>
    <n v="0"/>
    <n v="0"/>
  </r>
  <r>
    <x v="3039"/>
    <n v="0"/>
    <n v="60"/>
    <n v="60"/>
    <n v="20"/>
    <n v="20"/>
    <x v="4"/>
    <n v="18"/>
    <n v="2"/>
    <n v="60"/>
    <n v="0.2"/>
    <n v="0"/>
    <n v="0"/>
  </r>
  <r>
    <x v="3040"/>
    <n v="2"/>
    <n v="60"/>
    <n v="62"/>
    <n v="18"/>
    <n v="21"/>
    <x v="24"/>
    <n v="23"/>
    <n v="0"/>
    <n v="57"/>
    <n v="0"/>
    <n v="0"/>
    <n v="0"/>
  </r>
  <r>
    <x v="3041"/>
    <n v="0"/>
    <n v="57"/>
    <n v="57"/>
    <n v="23"/>
    <n v="19"/>
    <x v="23"/>
    <n v="30"/>
    <n v="-11"/>
    <n v="61"/>
    <n v="0"/>
    <n v="1"/>
    <n v="11"/>
  </r>
  <r>
    <x v="3042"/>
    <n v="-11"/>
    <n v="61"/>
    <n v="50"/>
    <n v="30"/>
    <n v="20"/>
    <x v="20"/>
    <n v="19"/>
    <n v="-10"/>
    <n v="71"/>
    <n v="0"/>
    <n v="1"/>
    <n v="10"/>
  </r>
  <r>
    <x v="3043"/>
    <n v="-10"/>
    <n v="71"/>
    <n v="61"/>
    <n v="19"/>
    <n v="18"/>
    <x v="29"/>
    <n v="25"/>
    <n v="-17"/>
    <n v="72"/>
    <n v="0"/>
    <n v="1"/>
    <n v="17"/>
  </r>
  <r>
    <x v="3044"/>
    <n v="-17"/>
    <n v="72"/>
    <n v="55"/>
    <n v="25"/>
    <n v="23"/>
    <x v="39"/>
    <n v="20"/>
    <n v="-14"/>
    <n v="74"/>
    <n v="0"/>
    <n v="1"/>
    <n v="14"/>
  </r>
  <r>
    <x v="3045"/>
    <n v="-14"/>
    <n v="74"/>
    <n v="60"/>
    <n v="20"/>
    <n v="30"/>
    <x v="8"/>
    <n v="24"/>
    <n v="-8"/>
    <n v="64"/>
    <n v="0"/>
    <n v="1"/>
    <n v="8"/>
  </r>
  <r>
    <x v="3046"/>
    <n v="-8"/>
    <n v="64"/>
    <n v="56"/>
    <n v="24"/>
    <n v="19"/>
    <x v="30"/>
    <n v="15"/>
    <n v="-4"/>
    <n v="69"/>
    <n v="0"/>
    <n v="1"/>
    <n v="4"/>
  </r>
  <r>
    <x v="3047"/>
    <n v="-4"/>
    <n v="69"/>
    <n v="65"/>
    <n v="15"/>
    <n v="25"/>
    <x v="5"/>
    <n v="20"/>
    <n v="1"/>
    <n v="59"/>
    <n v="0.1"/>
    <n v="0"/>
    <n v="0"/>
  </r>
  <r>
    <x v="3048"/>
    <n v="1"/>
    <n v="59"/>
    <n v="60"/>
    <n v="20"/>
    <n v="20"/>
    <x v="5"/>
    <n v="20"/>
    <n v="1"/>
    <n v="59"/>
    <n v="0.1"/>
    <n v="0"/>
    <n v="0"/>
  </r>
  <r>
    <x v="3049"/>
    <n v="1"/>
    <n v="59"/>
    <n v="60"/>
    <n v="20"/>
    <n v="24"/>
    <x v="27"/>
    <n v="24"/>
    <n v="1"/>
    <n v="55"/>
    <n v="0.1"/>
    <n v="0"/>
    <n v="0"/>
  </r>
  <r>
    <x v="3050"/>
    <n v="1"/>
    <n v="55"/>
    <n v="56"/>
    <n v="24"/>
    <n v="15"/>
    <x v="8"/>
    <n v="25"/>
    <n v="-9"/>
    <n v="64"/>
    <n v="0"/>
    <n v="1"/>
    <n v="9"/>
  </r>
  <r>
    <x v="3051"/>
    <n v="-9"/>
    <n v="64"/>
    <n v="55"/>
    <n v="25"/>
    <n v="20"/>
    <x v="30"/>
    <n v="23"/>
    <n v="-12"/>
    <n v="69"/>
    <n v="0"/>
    <n v="1"/>
    <n v="12"/>
  </r>
  <r>
    <x v="3052"/>
    <n v="-12"/>
    <n v="69"/>
    <n v="57"/>
    <n v="23"/>
    <n v="20"/>
    <x v="29"/>
    <n v="17"/>
    <n v="-9"/>
    <n v="72"/>
    <n v="0"/>
    <n v="1"/>
    <n v="9"/>
  </r>
  <r>
    <x v="3053"/>
    <n v="-9"/>
    <n v="72"/>
    <n v="63"/>
    <n v="17"/>
    <n v="24"/>
    <x v="26"/>
    <n v="16"/>
    <n v="-1"/>
    <n v="65"/>
    <n v="0"/>
    <n v="1"/>
    <n v="1"/>
  </r>
  <r>
    <x v="3054"/>
    <n v="-1"/>
    <n v="65"/>
    <n v="64"/>
    <n v="16"/>
    <n v="25"/>
    <x v="32"/>
    <n v="20"/>
    <n v="4"/>
    <n v="56"/>
    <n v="0.4"/>
    <n v="0"/>
    <n v="0"/>
  </r>
  <r>
    <x v="3055"/>
    <n v="4"/>
    <n v="56"/>
    <n v="60"/>
    <n v="20"/>
    <n v="23"/>
    <x v="12"/>
    <n v="20"/>
    <n v="7"/>
    <n v="53"/>
    <n v="0.70000000000000007"/>
    <n v="0"/>
    <n v="0"/>
  </r>
  <r>
    <x v="3056"/>
    <n v="7"/>
    <n v="53"/>
    <n v="60"/>
    <n v="20"/>
    <n v="17"/>
    <x v="32"/>
    <n v="22"/>
    <n v="2"/>
    <n v="56"/>
    <n v="0.2"/>
    <n v="0"/>
    <n v="0"/>
  </r>
  <r>
    <x v="3057"/>
    <n v="2"/>
    <n v="56"/>
    <n v="58"/>
    <n v="22"/>
    <n v="16"/>
    <x v="33"/>
    <n v="16"/>
    <n v="2"/>
    <n v="62"/>
    <n v="0.2"/>
    <n v="0"/>
    <n v="0"/>
  </r>
  <r>
    <x v="3058"/>
    <n v="2"/>
    <n v="62"/>
    <n v="64"/>
    <n v="16"/>
    <n v="20"/>
    <x v="28"/>
    <n v="23"/>
    <n v="-1"/>
    <n v="58"/>
    <n v="0"/>
    <n v="1"/>
    <n v="1"/>
  </r>
  <r>
    <x v="3059"/>
    <n v="-1"/>
    <n v="58"/>
    <n v="57"/>
    <n v="23"/>
    <n v="20"/>
    <x v="23"/>
    <n v="24"/>
    <n v="-5"/>
    <n v="61"/>
    <n v="0"/>
    <n v="1"/>
    <n v="5"/>
  </r>
  <r>
    <x v="3060"/>
    <n v="-5"/>
    <n v="61"/>
    <n v="56"/>
    <n v="24"/>
    <n v="22"/>
    <x v="22"/>
    <n v="21"/>
    <n v="-4"/>
    <n v="63"/>
    <n v="0"/>
    <n v="1"/>
    <n v="4"/>
  </r>
  <r>
    <x v="3061"/>
    <n v="-4"/>
    <n v="63"/>
    <n v="59"/>
    <n v="21"/>
    <n v="16"/>
    <x v="17"/>
    <n v="15"/>
    <n v="-3"/>
    <n v="68"/>
    <n v="0"/>
    <n v="1"/>
    <n v="3"/>
  </r>
  <r>
    <x v="3062"/>
    <n v="-3"/>
    <n v="68"/>
    <n v="65"/>
    <n v="15"/>
    <n v="23"/>
    <x v="4"/>
    <n v="19"/>
    <n v="1"/>
    <n v="60"/>
    <n v="0.1"/>
    <n v="0"/>
    <n v="0"/>
  </r>
  <r>
    <x v="3063"/>
    <n v="1"/>
    <n v="60"/>
    <n v="61"/>
    <n v="19"/>
    <n v="24"/>
    <x v="27"/>
    <n v="23"/>
    <n v="2"/>
    <n v="55"/>
    <n v="0.2"/>
    <n v="0"/>
    <n v="0"/>
  </r>
  <r>
    <x v="3064"/>
    <n v="2"/>
    <n v="55"/>
    <n v="57"/>
    <n v="23"/>
    <n v="21"/>
    <x v="24"/>
    <n v="21"/>
    <n v="2"/>
    <n v="57"/>
    <n v="0.2"/>
    <n v="0"/>
    <n v="0"/>
  </r>
  <r>
    <x v="3065"/>
    <n v="2"/>
    <n v="57"/>
    <n v="59"/>
    <n v="21"/>
    <n v="15"/>
    <x v="22"/>
    <n v="14"/>
    <n v="3"/>
    <n v="63"/>
    <n v="0.30000000000000004"/>
    <n v="0"/>
    <n v="0"/>
  </r>
  <r>
    <x v="3066"/>
    <n v="3"/>
    <n v="63"/>
    <n v="66"/>
    <n v="14"/>
    <n v="19"/>
    <x v="28"/>
    <n v="28"/>
    <n v="-6"/>
    <n v="58"/>
    <n v="0"/>
    <n v="1"/>
    <n v="6"/>
  </r>
  <r>
    <x v="3067"/>
    <n v="-6"/>
    <n v="58"/>
    <n v="52"/>
    <n v="28"/>
    <n v="23"/>
    <x v="22"/>
    <n v="15"/>
    <n v="2"/>
    <n v="63"/>
    <n v="0.2"/>
    <n v="0"/>
    <n v="0"/>
  </r>
  <r>
    <x v="3068"/>
    <n v="2"/>
    <n v="63"/>
    <n v="65"/>
    <n v="15"/>
    <n v="21"/>
    <x v="24"/>
    <n v="22"/>
    <n v="1"/>
    <n v="57"/>
    <n v="0.1"/>
    <n v="0"/>
    <n v="0"/>
  </r>
  <r>
    <x v="3069"/>
    <n v="1"/>
    <n v="57"/>
    <n v="58"/>
    <n v="22"/>
    <n v="14"/>
    <x v="26"/>
    <n v="22"/>
    <n v="-7"/>
    <n v="65"/>
    <n v="0"/>
    <n v="1"/>
    <n v="7"/>
  </r>
  <r>
    <x v="3070"/>
    <n v="-7"/>
    <n v="65"/>
    <n v="58"/>
    <n v="22"/>
    <n v="28"/>
    <x v="5"/>
    <n v="21"/>
    <n v="0"/>
    <n v="59"/>
    <n v="0"/>
    <n v="0"/>
    <n v="0"/>
  </r>
  <r>
    <x v="3071"/>
    <n v="0"/>
    <n v="59"/>
    <n v="59"/>
    <n v="21"/>
    <n v="15"/>
    <x v="26"/>
    <n v="16"/>
    <n v="-1"/>
    <n v="65"/>
    <n v="0"/>
    <n v="1"/>
    <n v="1"/>
  </r>
  <r>
    <x v="3072"/>
    <n v="-1"/>
    <n v="65"/>
    <n v="64"/>
    <n v="16"/>
    <n v="22"/>
    <x v="5"/>
    <n v="23"/>
    <n v="-2"/>
    <n v="59"/>
    <n v="0"/>
    <n v="1"/>
    <n v="2"/>
  </r>
  <r>
    <x v="3073"/>
    <n v="-2"/>
    <n v="59"/>
    <n v="57"/>
    <n v="23"/>
    <n v="22"/>
    <x v="4"/>
    <n v="16"/>
    <n v="4"/>
    <n v="60"/>
    <n v="0.4"/>
    <n v="0"/>
    <n v="0"/>
  </r>
  <r>
    <x v="3074"/>
    <n v="4"/>
    <n v="60"/>
    <n v="64"/>
    <n v="16"/>
    <n v="21"/>
    <x v="27"/>
    <n v="22"/>
    <n v="3"/>
    <n v="55"/>
    <n v="0.30000000000000004"/>
    <n v="0"/>
    <n v="0"/>
  </r>
  <r>
    <x v="3075"/>
    <n v="3"/>
    <n v="55"/>
    <n v="58"/>
    <n v="22"/>
    <n v="16"/>
    <x v="23"/>
    <n v="15"/>
    <n v="4"/>
    <n v="61"/>
    <n v="0.4"/>
    <n v="0"/>
    <n v="0"/>
  </r>
  <r>
    <x v="3076"/>
    <n v="4"/>
    <n v="61"/>
    <n v="65"/>
    <n v="15"/>
    <n v="23"/>
    <x v="12"/>
    <n v="29"/>
    <n v="-2"/>
    <n v="53"/>
    <n v="0"/>
    <n v="1"/>
    <n v="2"/>
  </r>
  <r>
    <x v="3077"/>
    <n v="-2"/>
    <n v="53"/>
    <n v="51"/>
    <n v="29"/>
    <n v="16"/>
    <x v="7"/>
    <n v="14"/>
    <n v="0"/>
    <n v="66"/>
    <n v="0"/>
    <n v="0"/>
    <n v="0"/>
  </r>
  <r>
    <x v="3078"/>
    <n v="0"/>
    <n v="66"/>
    <n v="66"/>
    <n v="14"/>
    <n v="22"/>
    <x v="28"/>
    <n v="19"/>
    <n v="3"/>
    <n v="58"/>
    <n v="0.30000000000000004"/>
    <n v="0"/>
    <n v="0"/>
  </r>
  <r>
    <x v="3079"/>
    <n v="3"/>
    <n v="58"/>
    <n v="61"/>
    <n v="19"/>
    <n v="15"/>
    <x v="33"/>
    <n v="18"/>
    <n v="0"/>
    <n v="62"/>
    <n v="0"/>
    <n v="0"/>
    <n v="0"/>
  </r>
  <r>
    <x v="3080"/>
    <n v="0"/>
    <n v="62"/>
    <n v="62"/>
    <n v="18"/>
    <n v="29"/>
    <x v="9"/>
    <n v="10"/>
    <n v="19"/>
    <n v="51"/>
    <n v="1.9000000000000001"/>
    <n v="0"/>
    <n v="0"/>
  </r>
  <r>
    <x v="3081"/>
    <n v="19"/>
    <n v="51"/>
    <n v="70"/>
    <n v="10"/>
    <n v="14"/>
    <x v="14"/>
    <n v="20"/>
    <n v="13"/>
    <n v="47"/>
    <n v="1.3"/>
    <n v="0"/>
    <n v="0"/>
  </r>
  <r>
    <x v="3082"/>
    <n v="13"/>
    <n v="47"/>
    <n v="60"/>
    <n v="20"/>
    <n v="19"/>
    <x v="15"/>
    <n v="12"/>
    <n v="20"/>
    <n v="48"/>
    <n v="2"/>
    <n v="0"/>
    <n v="0"/>
  </r>
  <r>
    <x v="3083"/>
    <n v="20"/>
    <n v="48"/>
    <n v="68"/>
    <n v="12"/>
    <n v="18"/>
    <x v="40"/>
    <n v="18"/>
    <n v="20"/>
    <n v="42"/>
    <n v="2"/>
    <n v="0"/>
    <n v="0"/>
  </r>
  <r>
    <x v="3084"/>
    <n v="20"/>
    <n v="42"/>
    <n v="62"/>
    <n v="18"/>
    <n v="10"/>
    <x v="13"/>
    <n v="19"/>
    <n v="11"/>
    <n v="50"/>
    <n v="1.1000000000000001"/>
    <n v="0"/>
    <n v="0"/>
  </r>
  <r>
    <x v="3085"/>
    <n v="11"/>
    <n v="50"/>
    <n v="61"/>
    <n v="19"/>
    <n v="20"/>
    <x v="10"/>
    <n v="26"/>
    <n v="5"/>
    <n v="49"/>
    <n v="0.5"/>
    <n v="0"/>
    <n v="0"/>
  </r>
  <r>
    <x v="3086"/>
    <n v="5"/>
    <n v="49"/>
    <n v="54"/>
    <n v="26"/>
    <n v="12"/>
    <x v="22"/>
    <n v="24"/>
    <n v="-7"/>
    <n v="63"/>
    <n v="0"/>
    <n v="1"/>
    <n v="7"/>
  </r>
  <r>
    <x v="3087"/>
    <n v="-7"/>
    <n v="63"/>
    <n v="56"/>
    <n v="24"/>
    <n v="18"/>
    <x v="30"/>
    <n v="26"/>
    <n v="-15"/>
    <n v="69"/>
    <n v="0"/>
    <n v="1"/>
    <n v="15"/>
  </r>
  <r>
    <x v="3088"/>
    <n v="-15"/>
    <n v="69"/>
    <n v="54"/>
    <n v="26"/>
    <n v="19"/>
    <x v="37"/>
    <n v="22"/>
    <n v="-18"/>
    <n v="76"/>
    <n v="0"/>
    <n v="1"/>
    <n v="18"/>
  </r>
  <r>
    <x v="3089"/>
    <n v="-18"/>
    <n v="76"/>
    <n v="58"/>
    <n v="22"/>
    <n v="26"/>
    <x v="29"/>
    <n v="19"/>
    <n v="-11"/>
    <n v="72"/>
    <n v="0"/>
    <n v="1"/>
    <n v="11"/>
  </r>
  <r>
    <x v="3090"/>
    <n v="-11"/>
    <n v="72"/>
    <n v="61"/>
    <n v="19"/>
    <n v="24"/>
    <x v="21"/>
    <n v="18"/>
    <n v="-5"/>
    <n v="67"/>
    <n v="0"/>
    <n v="1"/>
    <n v="5"/>
  </r>
  <r>
    <x v="3091"/>
    <n v="-5"/>
    <n v="67"/>
    <n v="62"/>
    <n v="18"/>
    <n v="26"/>
    <x v="5"/>
    <n v="15"/>
    <n v="6"/>
    <n v="59"/>
    <n v="0.60000000000000009"/>
    <n v="0"/>
    <n v="0"/>
  </r>
  <r>
    <x v="3092"/>
    <n v="6"/>
    <n v="59"/>
    <n v="65"/>
    <n v="15"/>
    <n v="22"/>
    <x v="25"/>
    <n v="33"/>
    <n v="-5"/>
    <n v="52"/>
    <n v="0"/>
    <n v="1"/>
    <n v="5"/>
  </r>
  <r>
    <x v="3093"/>
    <n v="-5"/>
    <n v="52"/>
    <n v="47"/>
    <n v="33"/>
    <n v="19"/>
    <x v="7"/>
    <n v="28"/>
    <n v="-14"/>
    <n v="66"/>
    <n v="0"/>
    <n v="1"/>
    <n v="14"/>
  </r>
  <r>
    <x v="3094"/>
    <n v="-14"/>
    <n v="66"/>
    <n v="52"/>
    <n v="28"/>
    <n v="18"/>
    <x v="37"/>
    <n v="19"/>
    <n v="-15"/>
    <n v="76"/>
    <n v="0"/>
    <n v="1"/>
    <n v="15"/>
  </r>
  <r>
    <x v="3095"/>
    <n v="-15"/>
    <n v="76"/>
    <n v="61"/>
    <n v="19"/>
    <n v="15"/>
    <x v="0"/>
    <n v="21"/>
    <n v="-21"/>
    <n v="80"/>
    <n v="0"/>
    <n v="1"/>
    <n v="21"/>
  </r>
  <r>
    <x v="3096"/>
    <n v="-21"/>
    <n v="80"/>
    <n v="59"/>
    <n v="21"/>
    <n v="33"/>
    <x v="17"/>
    <n v="22"/>
    <n v="-10"/>
    <n v="68"/>
    <n v="0"/>
    <n v="1"/>
    <n v="10"/>
  </r>
  <r>
    <x v="3097"/>
    <n v="-10"/>
    <n v="68"/>
    <n v="58"/>
    <n v="22"/>
    <n v="28"/>
    <x v="33"/>
    <n v="20"/>
    <n v="-2"/>
    <n v="62"/>
    <n v="0"/>
    <n v="1"/>
    <n v="2"/>
  </r>
  <r>
    <x v="3098"/>
    <n v="-2"/>
    <n v="62"/>
    <n v="60"/>
    <n v="20"/>
    <n v="19"/>
    <x v="22"/>
    <n v="24"/>
    <n v="-7"/>
    <n v="63"/>
    <n v="0"/>
    <n v="1"/>
    <n v="7"/>
  </r>
  <r>
    <x v="3099"/>
    <n v="-7"/>
    <n v="63"/>
    <n v="56"/>
    <n v="24"/>
    <n v="21"/>
    <x v="7"/>
    <n v="15"/>
    <n v="-1"/>
    <n v="66"/>
    <n v="0"/>
    <n v="1"/>
    <n v="1"/>
  </r>
  <r>
    <x v="3100"/>
    <n v="-1"/>
    <n v="66"/>
    <n v="65"/>
    <n v="15"/>
    <n v="22"/>
    <x v="5"/>
    <n v="26"/>
    <n v="-5"/>
    <n v="59"/>
    <n v="0"/>
    <n v="1"/>
    <n v="5"/>
  </r>
  <r>
    <x v="3101"/>
    <n v="-5"/>
    <n v="59"/>
    <n v="54"/>
    <n v="26"/>
    <n v="20"/>
    <x v="26"/>
    <n v="14"/>
    <n v="1"/>
    <n v="65"/>
    <n v="0.1"/>
    <n v="0"/>
    <n v="0"/>
  </r>
  <r>
    <x v="3102"/>
    <n v="1"/>
    <n v="65"/>
    <n v="66"/>
    <n v="14"/>
    <n v="24"/>
    <x v="27"/>
    <n v="18"/>
    <n v="7"/>
    <n v="55"/>
    <n v="0.70000000000000007"/>
    <n v="0"/>
    <n v="0"/>
  </r>
  <r>
    <x v="3103"/>
    <n v="7"/>
    <n v="55"/>
    <n v="62"/>
    <n v="18"/>
    <n v="15"/>
    <x v="28"/>
    <n v="21"/>
    <n v="1"/>
    <n v="58"/>
    <n v="0.1"/>
    <n v="0"/>
    <n v="0"/>
  </r>
  <r>
    <x v="3104"/>
    <n v="1"/>
    <n v="58"/>
    <n v="59"/>
    <n v="21"/>
    <n v="26"/>
    <x v="12"/>
    <n v="23"/>
    <n v="4"/>
    <n v="53"/>
    <n v="0.4"/>
    <n v="0"/>
    <n v="0"/>
  </r>
  <r>
    <x v="3105"/>
    <n v="4"/>
    <n v="53"/>
    <n v="57"/>
    <n v="23"/>
    <n v="14"/>
    <x v="33"/>
    <n v="20"/>
    <n v="-2"/>
    <n v="62"/>
    <n v="0"/>
    <n v="1"/>
    <n v="2"/>
  </r>
  <r>
    <x v="3106"/>
    <n v="-2"/>
    <n v="62"/>
    <n v="60"/>
    <n v="20"/>
    <n v="18"/>
    <x v="8"/>
    <n v="20"/>
    <n v="-4"/>
    <n v="64"/>
    <n v="0"/>
    <n v="1"/>
    <n v="4"/>
  </r>
  <r>
    <x v="3107"/>
    <n v="-4"/>
    <n v="64"/>
    <n v="60"/>
    <n v="20"/>
    <n v="21"/>
    <x v="22"/>
    <n v="20"/>
    <n v="-3"/>
    <n v="63"/>
    <n v="0"/>
    <n v="1"/>
    <n v="3"/>
  </r>
  <r>
    <x v="3108"/>
    <n v="-3"/>
    <n v="63"/>
    <n v="60"/>
    <n v="20"/>
    <n v="23"/>
    <x v="4"/>
    <n v="27"/>
    <n v="-7"/>
    <n v="60"/>
    <n v="0"/>
    <n v="1"/>
    <n v="7"/>
  </r>
  <r>
    <x v="3109"/>
    <n v="-7"/>
    <n v="60"/>
    <n v="53"/>
    <n v="27"/>
    <n v="20"/>
    <x v="21"/>
    <n v="23"/>
    <n v="-10"/>
    <n v="67"/>
    <n v="0"/>
    <n v="1"/>
    <n v="10"/>
  </r>
  <r>
    <x v="3110"/>
    <n v="-10"/>
    <n v="67"/>
    <n v="57"/>
    <n v="23"/>
    <n v="20"/>
    <x v="6"/>
    <n v="25"/>
    <n v="-15"/>
    <n v="70"/>
    <n v="0"/>
    <n v="1"/>
    <n v="15"/>
  </r>
  <r>
    <x v="3111"/>
    <n v="-15"/>
    <n v="70"/>
    <n v="55"/>
    <n v="25"/>
    <n v="20"/>
    <x v="44"/>
    <n v="18"/>
    <n v="-13"/>
    <n v="75"/>
    <n v="0"/>
    <n v="1"/>
    <n v="13"/>
  </r>
  <r>
    <x v="3112"/>
    <n v="-13"/>
    <n v="75"/>
    <n v="62"/>
    <n v="18"/>
    <n v="27"/>
    <x v="7"/>
    <n v="15"/>
    <n v="-1"/>
    <n v="66"/>
    <n v="0"/>
    <n v="1"/>
    <n v="1"/>
  </r>
  <r>
    <x v="3113"/>
    <n v="-1"/>
    <n v="66"/>
    <n v="65"/>
    <n v="15"/>
    <n v="23"/>
    <x v="28"/>
    <n v="12"/>
    <n v="10"/>
    <n v="58"/>
    <n v="1"/>
    <n v="0"/>
    <n v="0"/>
  </r>
  <r>
    <x v="3114"/>
    <n v="10"/>
    <n v="58"/>
    <n v="68"/>
    <n v="12"/>
    <n v="25"/>
    <x v="11"/>
    <n v="17"/>
    <n v="18"/>
    <n v="45"/>
    <n v="1.8"/>
    <n v="0"/>
    <n v="0"/>
  </r>
  <r>
    <x v="3115"/>
    <n v="18"/>
    <n v="45"/>
    <n v="63"/>
    <n v="17"/>
    <n v="18"/>
    <x v="45"/>
    <n v="16"/>
    <n v="20"/>
    <n v="44"/>
    <n v="2"/>
    <n v="0"/>
    <n v="0"/>
  </r>
  <r>
    <x v="3116"/>
    <n v="20"/>
    <n v="44"/>
    <n v="64"/>
    <n v="16"/>
    <n v="15"/>
    <x v="11"/>
    <n v="19"/>
    <n v="16"/>
    <n v="45"/>
    <n v="1.6"/>
    <n v="0"/>
    <n v="0"/>
  </r>
  <r>
    <x v="3117"/>
    <n v="16"/>
    <n v="45"/>
    <n v="61"/>
    <n v="19"/>
    <n v="12"/>
    <x v="25"/>
    <n v="15"/>
    <n v="13"/>
    <n v="52"/>
    <n v="1.3"/>
    <n v="0"/>
    <n v="0"/>
  </r>
  <r>
    <x v="3118"/>
    <n v="13"/>
    <n v="52"/>
    <n v="65"/>
    <n v="15"/>
    <n v="17"/>
    <x v="13"/>
    <n v="18"/>
    <n v="12"/>
    <n v="50"/>
    <n v="1.2000000000000002"/>
    <n v="0"/>
    <n v="0"/>
  </r>
  <r>
    <x v="3119"/>
    <n v="12"/>
    <n v="50"/>
    <n v="62"/>
    <n v="18"/>
    <n v="16"/>
    <x v="25"/>
    <n v="20"/>
    <n v="8"/>
    <n v="52"/>
    <n v="0.8"/>
    <n v="0"/>
    <n v="0"/>
  </r>
  <r>
    <x v="3120"/>
    <n v="8"/>
    <n v="52"/>
    <n v="60"/>
    <n v="20"/>
    <n v="19"/>
    <x v="12"/>
    <n v="23"/>
    <n v="4"/>
    <n v="53"/>
    <n v="0.4"/>
    <n v="0"/>
    <n v="0"/>
  </r>
  <r>
    <x v="3121"/>
    <n v="4"/>
    <n v="53"/>
    <n v="57"/>
    <n v="23"/>
    <n v="15"/>
    <x v="23"/>
    <n v="26"/>
    <n v="-7"/>
    <n v="61"/>
    <n v="0"/>
    <n v="1"/>
    <n v="7"/>
  </r>
  <r>
    <x v="3122"/>
    <n v="-7"/>
    <n v="61"/>
    <n v="54"/>
    <n v="26"/>
    <n v="18"/>
    <x v="30"/>
    <n v="18"/>
    <n v="-7"/>
    <n v="69"/>
    <n v="0"/>
    <n v="1"/>
    <n v="7"/>
  </r>
  <r>
    <x v="3123"/>
    <n v="-7"/>
    <n v="69"/>
    <n v="62"/>
    <n v="18"/>
    <n v="20"/>
    <x v="21"/>
    <n v="18"/>
    <n v="-5"/>
    <n v="67"/>
    <n v="0"/>
    <n v="1"/>
    <n v="5"/>
  </r>
  <r>
    <x v="3124"/>
    <n v="-5"/>
    <n v="67"/>
    <n v="62"/>
    <n v="18"/>
    <n v="23"/>
    <x v="33"/>
    <n v="22"/>
    <n v="-4"/>
    <n v="62"/>
    <n v="0"/>
    <n v="1"/>
    <n v="4"/>
  </r>
  <r>
    <x v="3125"/>
    <n v="-4"/>
    <n v="62"/>
    <n v="58"/>
    <n v="22"/>
    <n v="26"/>
    <x v="28"/>
    <n v="26"/>
    <n v="-4"/>
    <n v="58"/>
    <n v="0"/>
    <n v="1"/>
    <n v="4"/>
  </r>
  <r>
    <x v="3126"/>
    <n v="-4"/>
    <n v="58"/>
    <n v="54"/>
    <n v="26"/>
    <n v="18"/>
    <x v="7"/>
    <n v="19"/>
    <n v="-5"/>
    <n v="66"/>
    <n v="0"/>
    <n v="1"/>
    <n v="5"/>
  </r>
  <r>
    <x v="3127"/>
    <n v="-5"/>
    <n v="66"/>
    <n v="61"/>
    <n v="19"/>
    <n v="18"/>
    <x v="21"/>
    <n v="23"/>
    <n v="-10"/>
    <n v="67"/>
    <n v="0"/>
    <n v="1"/>
    <n v="10"/>
  </r>
  <r>
    <x v="3128"/>
    <n v="-10"/>
    <n v="67"/>
    <n v="57"/>
    <n v="23"/>
    <n v="22"/>
    <x v="17"/>
    <n v="20"/>
    <n v="-8"/>
    <n v="68"/>
    <n v="0"/>
    <n v="1"/>
    <n v="8"/>
  </r>
  <r>
    <x v="3129"/>
    <n v="-8"/>
    <n v="68"/>
    <n v="60"/>
    <n v="20"/>
    <n v="26"/>
    <x v="33"/>
    <n v="16"/>
    <n v="2"/>
    <n v="62"/>
    <n v="0.2"/>
    <n v="0"/>
    <n v="0"/>
  </r>
  <r>
    <x v="3130"/>
    <n v="2"/>
    <n v="62"/>
    <n v="64"/>
    <n v="16"/>
    <n v="19"/>
    <x v="5"/>
    <n v="17"/>
    <n v="4"/>
    <n v="59"/>
    <n v="0.4"/>
    <n v="0"/>
    <n v="0"/>
  </r>
  <r>
    <x v="3131"/>
    <n v="4"/>
    <n v="59"/>
    <n v="63"/>
    <n v="17"/>
    <n v="23"/>
    <x v="12"/>
    <n v="20"/>
    <n v="7"/>
    <n v="53"/>
    <n v="0.70000000000000007"/>
    <n v="0"/>
    <n v="0"/>
  </r>
  <r>
    <x v="3132"/>
    <n v="7"/>
    <n v="53"/>
    <n v="60"/>
    <n v="20"/>
    <n v="20"/>
    <x v="12"/>
    <n v="23"/>
    <n v="4"/>
    <n v="53"/>
    <n v="0.4"/>
    <n v="0"/>
    <n v="0"/>
  </r>
  <r>
    <x v="3133"/>
    <n v="4"/>
    <n v="53"/>
    <n v="57"/>
    <n v="23"/>
    <n v="16"/>
    <x v="4"/>
    <n v="20"/>
    <n v="0"/>
    <n v="60"/>
    <n v="0"/>
    <n v="0"/>
    <n v="0"/>
  </r>
  <r>
    <x v="3134"/>
    <n v="0"/>
    <n v="60"/>
    <n v="60"/>
    <n v="20"/>
    <n v="17"/>
    <x v="22"/>
    <n v="15"/>
    <n v="2"/>
    <n v="63"/>
    <n v="0.2"/>
    <n v="0"/>
    <n v="0"/>
  </r>
  <r>
    <x v="3135"/>
    <n v="2"/>
    <n v="63"/>
    <n v="65"/>
    <n v="15"/>
    <n v="20"/>
    <x v="28"/>
    <n v="18"/>
    <n v="4"/>
    <n v="58"/>
    <n v="0.4"/>
    <n v="0"/>
    <n v="0"/>
  </r>
  <r>
    <x v="3136"/>
    <n v="4"/>
    <n v="58"/>
    <n v="62"/>
    <n v="18"/>
    <n v="23"/>
    <x v="12"/>
    <n v="22"/>
    <n v="5"/>
    <n v="53"/>
    <n v="0.5"/>
    <n v="0"/>
    <n v="0"/>
  </r>
  <r>
    <x v="3137"/>
    <n v="5"/>
    <n v="53"/>
    <n v="58"/>
    <n v="22"/>
    <n v="20"/>
    <x v="27"/>
    <n v="21"/>
    <n v="4"/>
    <n v="55"/>
    <n v="0.4"/>
    <n v="0"/>
    <n v="0"/>
  </r>
  <r>
    <x v="3138"/>
    <n v="4"/>
    <n v="55"/>
    <n v="59"/>
    <n v="21"/>
    <n v="15"/>
    <x v="23"/>
    <n v="21"/>
    <n v="-2"/>
    <n v="61"/>
    <n v="0"/>
    <n v="1"/>
    <n v="2"/>
  </r>
  <r>
    <x v="3139"/>
    <n v="-2"/>
    <n v="61"/>
    <n v="59"/>
    <n v="21"/>
    <n v="18"/>
    <x v="8"/>
    <n v="21"/>
    <n v="-5"/>
    <n v="64"/>
    <n v="0"/>
    <n v="1"/>
    <n v="5"/>
  </r>
  <r>
    <x v="3140"/>
    <n v="-5"/>
    <n v="64"/>
    <n v="59"/>
    <n v="21"/>
    <n v="22"/>
    <x v="22"/>
    <n v="29"/>
    <n v="-12"/>
    <n v="63"/>
    <n v="0"/>
    <n v="1"/>
    <n v="12"/>
  </r>
  <r>
    <x v="3141"/>
    <n v="-12"/>
    <n v="63"/>
    <n v="51"/>
    <n v="29"/>
    <n v="21"/>
    <x v="20"/>
    <n v="19"/>
    <n v="-10"/>
    <n v="71"/>
    <n v="0"/>
    <n v="1"/>
    <n v="10"/>
  </r>
  <r>
    <x v="3142"/>
    <n v="-10"/>
    <n v="71"/>
    <n v="61"/>
    <n v="19"/>
    <n v="21"/>
    <x v="30"/>
    <n v="20"/>
    <n v="-9"/>
    <n v="69"/>
    <n v="0"/>
    <n v="1"/>
    <n v="9"/>
  </r>
  <r>
    <x v="3143"/>
    <n v="-9"/>
    <n v="69"/>
    <n v="60"/>
    <n v="20"/>
    <n v="21"/>
    <x v="17"/>
    <n v="13"/>
    <n v="-1"/>
    <n v="68"/>
    <n v="0"/>
    <n v="1"/>
    <n v="1"/>
  </r>
  <r>
    <x v="3144"/>
    <n v="-1"/>
    <n v="68"/>
    <n v="67"/>
    <n v="13"/>
    <n v="29"/>
    <x v="25"/>
    <n v="25"/>
    <n v="3"/>
    <n v="52"/>
    <n v="0.30000000000000004"/>
    <n v="0"/>
    <n v="0"/>
  </r>
  <r>
    <x v="3145"/>
    <n v="3"/>
    <n v="52"/>
    <n v="55"/>
    <n v="25"/>
    <n v="19"/>
    <x v="28"/>
    <n v="19"/>
    <n v="3"/>
    <n v="58"/>
    <n v="0.30000000000000004"/>
    <n v="0"/>
    <n v="0"/>
  </r>
  <r>
    <x v="3146"/>
    <n v="3"/>
    <n v="58"/>
    <n v="61"/>
    <n v="19"/>
    <n v="20"/>
    <x v="24"/>
    <n v="25"/>
    <n v="-2"/>
    <n v="57"/>
    <n v="0"/>
    <n v="1"/>
    <n v="2"/>
  </r>
  <r>
    <x v="3147"/>
    <n v="-2"/>
    <n v="57"/>
    <n v="55"/>
    <n v="25"/>
    <n v="13"/>
    <x v="30"/>
    <n v="12"/>
    <n v="-1"/>
    <n v="69"/>
    <n v="0"/>
    <n v="1"/>
    <n v="1"/>
  </r>
  <r>
    <x v="3148"/>
    <n v="-1"/>
    <n v="69"/>
    <n v="68"/>
    <n v="12"/>
    <n v="25"/>
    <x v="32"/>
    <n v="21"/>
    <n v="3"/>
    <n v="56"/>
    <n v="0.30000000000000004"/>
    <n v="0"/>
    <n v="0"/>
  </r>
  <r>
    <x v="3149"/>
    <n v="3"/>
    <n v="56"/>
    <n v="59"/>
    <n v="21"/>
    <n v="19"/>
    <x v="28"/>
    <n v="25"/>
    <n v="-3"/>
    <n v="58"/>
    <n v="0"/>
    <n v="1"/>
    <n v="3"/>
  </r>
  <r>
    <x v="3150"/>
    <n v="-3"/>
    <n v="58"/>
    <n v="55"/>
    <n v="25"/>
    <n v="25"/>
    <x v="28"/>
    <n v="19"/>
    <n v="3"/>
    <n v="58"/>
    <n v="0.30000000000000004"/>
    <n v="0"/>
    <n v="0"/>
  </r>
  <r>
    <x v="3151"/>
    <n v="3"/>
    <n v="58"/>
    <n v="61"/>
    <n v="19"/>
    <n v="12"/>
    <x v="26"/>
    <n v="22"/>
    <n v="-7"/>
    <n v="65"/>
    <n v="0"/>
    <n v="1"/>
    <n v="7"/>
  </r>
  <r>
    <x v="3152"/>
    <n v="-7"/>
    <n v="65"/>
    <n v="58"/>
    <n v="22"/>
    <n v="21"/>
    <x v="7"/>
    <n v="19"/>
    <n v="-5"/>
    <n v="66"/>
    <n v="0"/>
    <n v="1"/>
    <n v="5"/>
  </r>
  <r>
    <x v="3153"/>
    <n v="-5"/>
    <n v="66"/>
    <n v="61"/>
    <n v="19"/>
    <n v="25"/>
    <x v="4"/>
    <n v="24"/>
    <n v="-4"/>
    <n v="60"/>
    <n v="0"/>
    <n v="1"/>
    <n v="4"/>
  </r>
  <r>
    <x v="3154"/>
    <n v="-4"/>
    <n v="60"/>
    <n v="56"/>
    <n v="24"/>
    <n v="19"/>
    <x v="26"/>
    <n v="21"/>
    <n v="-6"/>
    <n v="65"/>
    <n v="0"/>
    <n v="1"/>
    <n v="6"/>
  </r>
  <r>
    <x v="3155"/>
    <n v="-6"/>
    <n v="65"/>
    <n v="59"/>
    <n v="21"/>
    <n v="22"/>
    <x v="8"/>
    <n v="22"/>
    <n v="-6"/>
    <n v="64"/>
    <n v="0"/>
    <n v="1"/>
    <n v="6"/>
  </r>
  <r>
    <x v="3156"/>
    <n v="-6"/>
    <n v="64"/>
    <n v="58"/>
    <n v="22"/>
    <n v="19"/>
    <x v="21"/>
    <n v="19"/>
    <n v="-6"/>
    <n v="67"/>
    <n v="0"/>
    <n v="1"/>
    <n v="6"/>
  </r>
  <r>
    <x v="3157"/>
    <n v="-6"/>
    <n v="67"/>
    <n v="61"/>
    <n v="19"/>
    <n v="24"/>
    <x v="33"/>
    <n v="21"/>
    <n v="-3"/>
    <n v="62"/>
    <n v="0"/>
    <n v="1"/>
    <n v="3"/>
  </r>
  <r>
    <x v="3158"/>
    <n v="-3"/>
    <n v="62"/>
    <n v="59"/>
    <n v="21"/>
    <n v="21"/>
    <x v="33"/>
    <n v="25"/>
    <n v="-7"/>
    <n v="62"/>
    <n v="0"/>
    <n v="1"/>
    <n v="7"/>
  </r>
  <r>
    <x v="3159"/>
    <n v="-7"/>
    <n v="62"/>
    <n v="55"/>
    <n v="25"/>
    <n v="22"/>
    <x v="26"/>
    <n v="23"/>
    <n v="-8"/>
    <n v="65"/>
    <n v="0"/>
    <n v="1"/>
    <n v="8"/>
  </r>
  <r>
    <x v="3160"/>
    <n v="-8"/>
    <n v="65"/>
    <n v="57"/>
    <n v="23"/>
    <n v="19"/>
    <x v="30"/>
    <n v="17"/>
    <n v="-6"/>
    <n v="69"/>
    <n v="0"/>
    <n v="1"/>
    <n v="6"/>
  </r>
  <r>
    <x v="3161"/>
    <n v="-6"/>
    <n v="69"/>
    <n v="63"/>
    <n v="17"/>
    <n v="21"/>
    <x v="26"/>
    <n v="22"/>
    <n v="-7"/>
    <n v="65"/>
    <n v="0"/>
    <n v="1"/>
    <n v="7"/>
  </r>
  <r>
    <x v="3162"/>
    <n v="-7"/>
    <n v="65"/>
    <n v="58"/>
    <n v="22"/>
    <n v="25"/>
    <x v="33"/>
    <n v="17"/>
    <n v="1"/>
    <n v="62"/>
    <n v="0.1"/>
    <n v="0"/>
    <n v="0"/>
  </r>
  <r>
    <x v="3163"/>
    <n v="1"/>
    <n v="62"/>
    <n v="63"/>
    <n v="17"/>
    <n v="23"/>
    <x v="32"/>
    <n v="18"/>
    <n v="6"/>
    <n v="56"/>
    <n v="0.60000000000000009"/>
    <n v="0"/>
    <n v="0"/>
  </r>
  <r>
    <x v="3164"/>
    <n v="6"/>
    <n v="56"/>
    <n v="62"/>
    <n v="18"/>
    <n v="17"/>
    <x v="24"/>
    <n v="25"/>
    <n v="-2"/>
    <n v="57"/>
    <n v="0"/>
    <n v="1"/>
    <n v="2"/>
  </r>
  <r>
    <x v="3165"/>
    <n v="-2"/>
    <n v="57"/>
    <n v="55"/>
    <n v="25"/>
    <n v="22"/>
    <x v="4"/>
    <n v="20"/>
    <n v="0"/>
    <n v="60"/>
    <n v="0"/>
    <n v="0"/>
    <n v="0"/>
  </r>
  <r>
    <x v="3166"/>
    <n v="0"/>
    <n v="60"/>
    <n v="60"/>
    <n v="20"/>
    <n v="17"/>
    <x v="22"/>
    <n v="18"/>
    <n v="-1"/>
    <n v="63"/>
    <n v="0"/>
    <n v="1"/>
    <n v="1"/>
  </r>
  <r>
    <x v="3167"/>
    <n v="-1"/>
    <n v="63"/>
    <n v="62"/>
    <n v="18"/>
    <n v="18"/>
    <x v="22"/>
    <n v="14"/>
    <n v="3"/>
    <n v="63"/>
    <n v="0.30000000000000004"/>
    <n v="0"/>
    <n v="0"/>
  </r>
  <r>
    <x v="3168"/>
    <n v="3"/>
    <n v="63"/>
    <n v="66"/>
    <n v="14"/>
    <n v="25"/>
    <x v="25"/>
    <n v="16"/>
    <n v="12"/>
    <n v="52"/>
    <n v="1.2000000000000002"/>
    <n v="0"/>
    <n v="0"/>
  </r>
  <r>
    <x v="3169"/>
    <n v="12"/>
    <n v="52"/>
    <n v="64"/>
    <n v="16"/>
    <n v="20"/>
    <x v="15"/>
    <n v="18"/>
    <n v="14"/>
    <n v="48"/>
    <n v="1.4000000000000001"/>
    <n v="0"/>
    <n v="0"/>
  </r>
  <r>
    <x v="3170"/>
    <n v="14"/>
    <n v="48"/>
    <n v="62"/>
    <n v="18"/>
    <n v="18"/>
    <x v="15"/>
    <n v="18"/>
    <n v="14"/>
    <n v="48"/>
    <n v="1.4000000000000001"/>
    <n v="0"/>
    <n v="0"/>
  </r>
  <r>
    <x v="3171"/>
    <n v="14"/>
    <n v="48"/>
    <n v="62"/>
    <n v="18"/>
    <n v="14"/>
    <x v="25"/>
    <n v="17"/>
    <n v="11"/>
    <n v="52"/>
    <n v="1.1000000000000001"/>
    <n v="0"/>
    <n v="0"/>
  </r>
  <r>
    <x v="3172"/>
    <n v="11"/>
    <n v="52"/>
    <n v="63"/>
    <n v="17"/>
    <n v="16"/>
    <x v="12"/>
    <n v="12"/>
    <n v="15"/>
    <n v="53"/>
    <n v="1.5"/>
    <n v="0"/>
    <n v="0"/>
  </r>
  <r>
    <x v="3173"/>
    <n v="15"/>
    <n v="53"/>
    <n v="68"/>
    <n v="12"/>
    <n v="18"/>
    <x v="14"/>
    <n v="24"/>
    <n v="9"/>
    <n v="47"/>
    <n v="0.9"/>
    <n v="0"/>
    <n v="0"/>
  </r>
  <r>
    <x v="3174"/>
    <n v="9"/>
    <n v="47"/>
    <n v="56"/>
    <n v="24"/>
    <n v="18"/>
    <x v="12"/>
    <n v="16"/>
    <n v="11"/>
    <n v="53"/>
    <n v="1.1000000000000001"/>
    <n v="0"/>
    <n v="0"/>
  </r>
  <r>
    <x v="3175"/>
    <n v="11"/>
    <n v="53"/>
    <n v="64"/>
    <n v="16"/>
    <n v="17"/>
    <x v="25"/>
    <n v="20"/>
    <n v="8"/>
    <n v="52"/>
    <n v="0.8"/>
    <n v="0"/>
    <n v="0"/>
  </r>
  <r>
    <x v="3176"/>
    <n v="8"/>
    <n v="52"/>
    <n v="60"/>
    <n v="20"/>
    <n v="12"/>
    <x v="4"/>
    <n v="26"/>
    <n v="-6"/>
    <n v="60"/>
    <n v="0"/>
    <n v="1"/>
    <n v="6"/>
  </r>
  <r>
    <x v="3177"/>
    <n v="-6"/>
    <n v="60"/>
    <n v="54"/>
    <n v="26"/>
    <n v="24"/>
    <x v="33"/>
    <n v="20"/>
    <n v="-2"/>
    <n v="62"/>
    <n v="0"/>
    <n v="1"/>
    <n v="2"/>
  </r>
  <r>
    <x v="3178"/>
    <n v="-2"/>
    <n v="62"/>
    <n v="60"/>
    <n v="20"/>
    <n v="16"/>
    <x v="7"/>
    <n v="20"/>
    <n v="-6"/>
    <n v="66"/>
    <n v="0"/>
    <n v="1"/>
    <n v="6"/>
  </r>
  <r>
    <x v="3179"/>
    <n v="-6"/>
    <n v="66"/>
    <n v="60"/>
    <n v="20"/>
    <n v="20"/>
    <x v="7"/>
    <n v="19"/>
    <n v="-5"/>
    <n v="66"/>
    <n v="0"/>
    <n v="1"/>
    <n v="5"/>
  </r>
  <r>
    <x v="3180"/>
    <n v="-5"/>
    <n v="66"/>
    <n v="61"/>
    <n v="19"/>
    <n v="26"/>
    <x v="5"/>
    <n v="16"/>
    <n v="5"/>
    <n v="59"/>
    <n v="0.5"/>
    <n v="0"/>
    <n v="0"/>
  </r>
  <r>
    <x v="3181"/>
    <n v="5"/>
    <n v="59"/>
    <n v="64"/>
    <n v="16"/>
    <n v="20"/>
    <x v="27"/>
    <n v="11"/>
    <n v="14"/>
    <n v="55"/>
    <n v="1.4000000000000001"/>
    <n v="0"/>
    <n v="0"/>
  </r>
  <r>
    <x v="3182"/>
    <n v="14"/>
    <n v="55"/>
    <n v="69"/>
    <n v="11"/>
    <n v="20"/>
    <x v="38"/>
    <n v="20"/>
    <n v="14"/>
    <n v="46"/>
    <n v="1.4000000000000001"/>
    <n v="0"/>
    <n v="0"/>
  </r>
  <r>
    <x v="3183"/>
    <n v="14"/>
    <n v="46"/>
    <n v="60"/>
    <n v="20"/>
    <n v="19"/>
    <x v="14"/>
    <n v="14"/>
    <n v="19"/>
    <n v="47"/>
    <n v="1.9000000000000001"/>
    <n v="0"/>
    <n v="0"/>
  </r>
  <r>
    <x v="3184"/>
    <n v="19"/>
    <n v="47"/>
    <n v="66"/>
    <n v="14"/>
    <n v="16"/>
    <x v="11"/>
    <n v="15"/>
    <n v="20"/>
    <n v="45"/>
    <n v="2"/>
    <n v="0"/>
    <n v="0"/>
  </r>
  <r>
    <x v="3185"/>
    <n v="20"/>
    <n v="45"/>
    <n v="65"/>
    <n v="15"/>
    <n v="11"/>
    <x v="10"/>
    <n v="13"/>
    <n v="18"/>
    <n v="49"/>
    <n v="1.8"/>
    <n v="0"/>
    <n v="0"/>
  </r>
  <r>
    <x v="3186"/>
    <n v="18"/>
    <n v="49"/>
    <n v="67"/>
    <n v="13"/>
    <n v="20"/>
    <x v="40"/>
    <n v="14"/>
    <n v="24"/>
    <n v="42"/>
    <n v="2.4000000000000004"/>
    <n v="0"/>
    <n v="0"/>
  </r>
  <r>
    <x v="3187"/>
    <n v="24"/>
    <n v="42"/>
    <n v="66"/>
    <n v="14"/>
    <n v="14"/>
    <x v="40"/>
    <n v="20"/>
    <n v="18"/>
    <n v="42"/>
    <n v="1.8"/>
    <n v="0"/>
    <n v="0"/>
  </r>
  <r>
    <x v="3188"/>
    <n v="18"/>
    <n v="42"/>
    <n v="60"/>
    <n v="20"/>
    <n v="15"/>
    <x v="14"/>
    <n v="21"/>
    <n v="12"/>
    <n v="47"/>
    <n v="1.2000000000000002"/>
    <n v="0"/>
    <n v="0"/>
  </r>
  <r>
    <x v="3189"/>
    <n v="12"/>
    <n v="47"/>
    <n v="59"/>
    <n v="21"/>
    <n v="13"/>
    <x v="27"/>
    <n v="18"/>
    <n v="7"/>
    <n v="55"/>
    <n v="0.70000000000000007"/>
    <n v="0"/>
    <n v="0"/>
  </r>
  <r>
    <x v="3190"/>
    <n v="7"/>
    <n v="55"/>
    <n v="62"/>
    <n v="18"/>
    <n v="14"/>
    <x v="5"/>
    <n v="18"/>
    <n v="3"/>
    <n v="59"/>
    <n v="0.30000000000000004"/>
    <n v="0"/>
    <n v="0"/>
  </r>
  <r>
    <x v="3191"/>
    <n v="3"/>
    <n v="59"/>
    <n v="62"/>
    <n v="18"/>
    <n v="20"/>
    <x v="24"/>
    <n v="25"/>
    <n v="-2"/>
    <n v="57"/>
    <n v="0"/>
    <n v="1"/>
    <n v="2"/>
  </r>
  <r>
    <x v="3192"/>
    <n v="-2"/>
    <n v="57"/>
    <n v="55"/>
    <n v="25"/>
    <n v="21"/>
    <x v="23"/>
    <n v="28"/>
    <n v="-9"/>
    <n v="61"/>
    <n v="0"/>
    <n v="1"/>
    <n v="9"/>
  </r>
  <r>
    <x v="3193"/>
    <n v="-9"/>
    <n v="61"/>
    <n v="52"/>
    <n v="28"/>
    <n v="18"/>
    <x v="20"/>
    <n v="18"/>
    <n v="-9"/>
    <n v="71"/>
    <n v="0"/>
    <n v="1"/>
    <n v="9"/>
  </r>
  <r>
    <x v="3194"/>
    <n v="-9"/>
    <n v="71"/>
    <n v="62"/>
    <n v="18"/>
    <n v="18"/>
    <x v="20"/>
    <n v="11"/>
    <n v="-2"/>
    <n v="71"/>
    <n v="0"/>
    <n v="1"/>
    <n v="2"/>
  </r>
  <r>
    <x v="3195"/>
    <n v="-2"/>
    <n v="71"/>
    <n v="69"/>
    <n v="11"/>
    <n v="25"/>
    <x v="24"/>
    <n v="23"/>
    <n v="0"/>
    <n v="57"/>
    <n v="0"/>
    <n v="0"/>
    <n v="0"/>
  </r>
  <r>
    <x v="3196"/>
    <n v="0"/>
    <n v="57"/>
    <n v="57"/>
    <n v="23"/>
    <n v="28"/>
    <x v="25"/>
    <n v="12"/>
    <n v="16"/>
    <n v="52"/>
    <n v="1.6"/>
    <n v="0"/>
    <n v="0"/>
  </r>
  <r>
    <x v="3197"/>
    <n v="16"/>
    <n v="52"/>
    <n v="68"/>
    <n v="12"/>
    <n v="18"/>
    <x v="38"/>
    <n v="20"/>
    <n v="14"/>
    <n v="46"/>
    <n v="1.4000000000000001"/>
    <n v="0"/>
    <n v="0"/>
  </r>
  <r>
    <x v="3198"/>
    <n v="14"/>
    <n v="46"/>
    <n v="60"/>
    <n v="20"/>
    <n v="11"/>
    <x v="27"/>
    <n v="12"/>
    <n v="13"/>
    <n v="55"/>
    <n v="1.3"/>
    <n v="0"/>
    <n v="0"/>
  </r>
  <r>
    <x v="3199"/>
    <n v="13"/>
    <n v="55"/>
    <n v="68"/>
    <n v="12"/>
    <n v="23"/>
    <x v="45"/>
    <n v="23"/>
    <n v="13"/>
    <n v="44"/>
    <n v="1.3"/>
    <n v="0"/>
    <n v="0"/>
  </r>
  <r>
    <x v="3200"/>
    <n v="13"/>
    <n v="44"/>
    <n v="57"/>
    <n v="23"/>
    <n v="12"/>
    <x v="27"/>
    <n v="16"/>
    <n v="9"/>
    <n v="55"/>
    <n v="0.9"/>
    <n v="0"/>
    <n v="0"/>
  </r>
  <r>
    <x v="3201"/>
    <n v="9"/>
    <n v="55"/>
    <n v="64"/>
    <n v="16"/>
    <n v="20"/>
    <x v="9"/>
    <n v="18"/>
    <n v="11"/>
    <n v="51"/>
    <n v="1.1000000000000001"/>
    <n v="0"/>
    <n v="0"/>
  </r>
  <r>
    <x v="3202"/>
    <n v="11"/>
    <n v="51"/>
    <n v="62"/>
    <n v="18"/>
    <n v="12"/>
    <x v="24"/>
    <n v="17"/>
    <n v="6"/>
    <n v="57"/>
    <n v="0.60000000000000009"/>
    <n v="0"/>
    <n v="0"/>
  </r>
  <r>
    <x v="3203"/>
    <n v="6"/>
    <n v="57"/>
    <n v="63"/>
    <n v="17"/>
    <n v="23"/>
    <x v="9"/>
    <n v="21"/>
    <n v="8"/>
    <n v="51"/>
    <n v="0.8"/>
    <n v="0"/>
    <n v="0"/>
  </r>
  <r>
    <x v="3204"/>
    <n v="8"/>
    <n v="51"/>
    <n v="59"/>
    <n v="21"/>
    <n v="16"/>
    <x v="32"/>
    <n v="20"/>
    <n v="4"/>
    <n v="56"/>
    <n v="0.4"/>
    <n v="0"/>
    <n v="0"/>
  </r>
  <r>
    <x v="3205"/>
    <n v="4"/>
    <n v="56"/>
    <n v="60"/>
    <n v="20"/>
    <n v="18"/>
    <x v="28"/>
    <n v="17"/>
    <n v="5"/>
    <n v="58"/>
    <n v="0.5"/>
    <n v="0"/>
    <n v="0"/>
  </r>
  <r>
    <x v="3206"/>
    <n v="5"/>
    <n v="58"/>
    <n v="63"/>
    <n v="17"/>
    <n v="17"/>
    <x v="28"/>
    <n v="20"/>
    <n v="2"/>
    <n v="58"/>
    <n v="0.2"/>
    <n v="0"/>
    <n v="0"/>
  </r>
  <r>
    <x v="3207"/>
    <n v="2"/>
    <n v="58"/>
    <n v="60"/>
    <n v="20"/>
    <n v="21"/>
    <x v="24"/>
    <n v="21"/>
    <n v="2"/>
    <n v="57"/>
    <n v="0.2"/>
    <n v="0"/>
    <n v="0"/>
  </r>
  <r>
    <x v="3208"/>
    <n v="2"/>
    <n v="57"/>
    <n v="59"/>
    <n v="21"/>
    <n v="20"/>
    <x v="28"/>
    <n v="14"/>
    <n v="8"/>
    <n v="58"/>
    <n v="0.8"/>
    <n v="0"/>
    <n v="0"/>
  </r>
  <r>
    <x v="3209"/>
    <n v="8"/>
    <n v="58"/>
    <n v="66"/>
    <n v="14"/>
    <n v="17"/>
    <x v="27"/>
    <n v="18"/>
    <n v="7"/>
    <n v="55"/>
    <n v="0.70000000000000007"/>
    <n v="0"/>
    <n v="0"/>
  </r>
  <r>
    <x v="3210"/>
    <n v="7"/>
    <n v="55"/>
    <n v="62"/>
    <n v="18"/>
    <n v="20"/>
    <x v="12"/>
    <n v="16"/>
    <n v="11"/>
    <n v="53"/>
    <n v="1.1000000000000001"/>
    <n v="0"/>
    <n v="0"/>
  </r>
  <r>
    <x v="3211"/>
    <n v="11"/>
    <n v="53"/>
    <n v="64"/>
    <n v="16"/>
    <n v="21"/>
    <x v="15"/>
    <n v="19"/>
    <n v="13"/>
    <n v="48"/>
    <n v="1.3"/>
    <n v="0"/>
    <n v="0"/>
  </r>
  <r>
    <x v="3212"/>
    <n v="13"/>
    <n v="48"/>
    <n v="61"/>
    <n v="19"/>
    <n v="14"/>
    <x v="12"/>
    <n v="20"/>
    <n v="7"/>
    <n v="53"/>
    <n v="0.70000000000000007"/>
    <n v="0"/>
    <n v="0"/>
  </r>
  <r>
    <x v="3213"/>
    <n v="7"/>
    <n v="53"/>
    <n v="60"/>
    <n v="20"/>
    <n v="18"/>
    <x v="27"/>
    <n v="26"/>
    <n v="-1"/>
    <n v="55"/>
    <n v="0"/>
    <n v="1"/>
    <n v="1"/>
  </r>
  <r>
    <x v="3214"/>
    <n v="-1"/>
    <n v="55"/>
    <n v="54"/>
    <n v="26"/>
    <n v="16"/>
    <x v="26"/>
    <n v="19"/>
    <n v="-4"/>
    <n v="65"/>
    <n v="0"/>
    <n v="1"/>
    <n v="4"/>
  </r>
  <r>
    <x v="3215"/>
    <n v="-4"/>
    <n v="65"/>
    <n v="61"/>
    <n v="19"/>
    <n v="19"/>
    <x v="26"/>
    <n v="19"/>
    <n v="-4"/>
    <n v="65"/>
    <n v="0"/>
    <n v="1"/>
    <n v="4"/>
  </r>
  <r>
    <x v="3216"/>
    <n v="-4"/>
    <n v="65"/>
    <n v="61"/>
    <n v="19"/>
    <n v="20"/>
    <x v="8"/>
    <n v="20"/>
    <n v="-4"/>
    <n v="64"/>
    <n v="0"/>
    <n v="1"/>
    <n v="4"/>
  </r>
  <r>
    <x v="3217"/>
    <n v="-4"/>
    <n v="64"/>
    <n v="60"/>
    <n v="20"/>
    <n v="26"/>
    <x v="28"/>
    <n v="18"/>
    <n v="4"/>
    <n v="58"/>
    <n v="0.4"/>
    <n v="0"/>
    <n v="0"/>
  </r>
  <r>
    <x v="3218"/>
    <n v="4"/>
    <n v="58"/>
    <n v="62"/>
    <n v="18"/>
    <n v="19"/>
    <x v="24"/>
    <n v="26"/>
    <n v="-3"/>
    <n v="57"/>
    <n v="0"/>
    <n v="1"/>
    <n v="3"/>
  </r>
  <r>
    <x v="3219"/>
    <n v="-3"/>
    <n v="57"/>
    <n v="54"/>
    <n v="26"/>
    <n v="19"/>
    <x v="8"/>
    <n v="7"/>
    <n v="9"/>
    <n v="64"/>
    <n v="0.9"/>
    <n v="0"/>
    <n v="0"/>
  </r>
  <r>
    <x v="3220"/>
    <n v="9"/>
    <n v="64"/>
    <n v="73"/>
    <n v="7"/>
    <n v="20"/>
    <x v="9"/>
    <n v="22"/>
    <n v="7"/>
    <n v="51"/>
    <n v="0.70000000000000007"/>
    <n v="0"/>
    <n v="0"/>
  </r>
  <r>
    <x v="3221"/>
    <n v="7"/>
    <n v="51"/>
    <n v="58"/>
    <n v="22"/>
    <n v="18"/>
    <x v="27"/>
    <n v="16"/>
    <n v="9"/>
    <n v="55"/>
    <n v="0.9"/>
    <n v="0"/>
    <n v="0"/>
  </r>
  <r>
    <x v="3222"/>
    <n v="9"/>
    <n v="55"/>
    <n v="64"/>
    <n v="16"/>
    <n v="26"/>
    <x v="11"/>
    <n v="19"/>
    <n v="16"/>
    <n v="45"/>
    <n v="1.6"/>
    <n v="0"/>
    <n v="0"/>
  </r>
  <r>
    <x v="3223"/>
    <n v="16"/>
    <n v="45"/>
    <n v="61"/>
    <n v="19"/>
    <n v="7"/>
    <x v="24"/>
    <n v="21"/>
    <n v="2"/>
    <n v="57"/>
    <n v="0.2"/>
    <n v="0"/>
    <n v="0"/>
  </r>
  <r>
    <x v="3224"/>
    <n v="2"/>
    <n v="57"/>
    <n v="59"/>
    <n v="21"/>
    <n v="22"/>
    <x v="32"/>
    <n v="19"/>
    <n v="5"/>
    <n v="56"/>
    <n v="0.5"/>
    <n v="0"/>
    <n v="0"/>
  </r>
  <r>
    <x v="3225"/>
    <n v="5"/>
    <n v="56"/>
    <n v="61"/>
    <n v="19"/>
    <n v="16"/>
    <x v="5"/>
    <n v="25"/>
    <n v="-4"/>
    <n v="59"/>
    <n v="0"/>
    <n v="1"/>
    <n v="4"/>
  </r>
  <r>
    <x v="3226"/>
    <n v="-4"/>
    <n v="59"/>
    <n v="55"/>
    <n v="25"/>
    <n v="19"/>
    <x v="26"/>
    <n v="26"/>
    <n v="-11"/>
    <n v="65"/>
    <n v="0"/>
    <n v="1"/>
    <n v="11"/>
  </r>
  <r>
    <x v="3227"/>
    <n v="-11"/>
    <n v="65"/>
    <n v="54"/>
    <n v="26"/>
    <n v="21"/>
    <x v="6"/>
    <n v="20"/>
    <n v="-10"/>
    <n v="70"/>
    <n v="0"/>
    <n v="1"/>
    <n v="10"/>
  </r>
  <r>
    <x v="3228"/>
    <n v="-10"/>
    <n v="70"/>
    <n v="60"/>
    <n v="20"/>
    <n v="19"/>
    <x v="20"/>
    <n v="25"/>
    <n v="-16"/>
    <n v="71"/>
    <n v="0"/>
    <n v="1"/>
    <n v="16"/>
  </r>
  <r>
    <x v="3229"/>
    <n v="-16"/>
    <n v="71"/>
    <n v="55"/>
    <n v="25"/>
    <n v="25"/>
    <x v="20"/>
    <n v="31"/>
    <n v="-22"/>
    <n v="71"/>
    <n v="0"/>
    <n v="1"/>
    <n v="22"/>
  </r>
  <r>
    <x v="3230"/>
    <n v="-22"/>
    <n v="71"/>
    <n v="49"/>
    <n v="31"/>
    <n v="26"/>
    <x v="37"/>
    <n v="20"/>
    <n v="-16"/>
    <n v="76"/>
    <n v="0"/>
    <n v="1"/>
    <n v="16"/>
  </r>
  <r>
    <x v="3231"/>
    <n v="-16"/>
    <n v="76"/>
    <n v="60"/>
    <n v="20"/>
    <n v="20"/>
    <x v="37"/>
    <n v="22"/>
    <n v="-18"/>
    <n v="76"/>
    <n v="0"/>
    <n v="1"/>
    <n v="18"/>
  </r>
  <r>
    <x v="3232"/>
    <n v="-18"/>
    <n v="76"/>
    <n v="58"/>
    <n v="22"/>
    <n v="25"/>
    <x v="31"/>
    <n v="21"/>
    <n v="-14"/>
    <n v="73"/>
    <n v="0"/>
    <n v="1"/>
    <n v="14"/>
  </r>
  <r>
    <x v="3233"/>
    <n v="-14"/>
    <n v="73"/>
    <n v="59"/>
    <n v="21"/>
    <n v="31"/>
    <x v="22"/>
    <n v="14"/>
    <n v="3"/>
    <n v="63"/>
    <n v="0.30000000000000004"/>
    <n v="0"/>
    <n v="0"/>
  </r>
  <r>
    <x v="3234"/>
    <n v="3"/>
    <n v="63"/>
    <n v="66"/>
    <n v="14"/>
    <n v="20"/>
    <x v="24"/>
    <n v="16"/>
    <n v="7"/>
    <n v="57"/>
    <n v="0.70000000000000007"/>
    <n v="0"/>
    <n v="0"/>
  </r>
  <r>
    <x v="3235"/>
    <n v="7"/>
    <n v="57"/>
    <n v="64"/>
    <n v="16"/>
    <n v="22"/>
    <x v="9"/>
    <n v="21"/>
    <n v="8"/>
    <n v="51"/>
    <n v="0.8"/>
    <n v="0"/>
    <n v="0"/>
  </r>
  <r>
    <x v="3236"/>
    <n v="8"/>
    <n v="51"/>
    <n v="59"/>
    <n v="21"/>
    <n v="21"/>
    <x v="9"/>
    <n v="15"/>
    <n v="14"/>
    <n v="51"/>
    <n v="1.4000000000000001"/>
    <n v="0"/>
    <n v="0"/>
  </r>
  <r>
    <x v="3237"/>
    <n v="14"/>
    <n v="51"/>
    <n v="65"/>
    <n v="15"/>
    <n v="14"/>
    <x v="25"/>
    <n v="13"/>
    <n v="15"/>
    <n v="52"/>
    <n v="1.5"/>
    <n v="0"/>
    <n v="0"/>
  </r>
  <r>
    <x v="3238"/>
    <n v="15"/>
    <n v="52"/>
    <n v="67"/>
    <n v="13"/>
    <n v="16"/>
    <x v="10"/>
    <n v="24"/>
    <n v="7"/>
    <n v="49"/>
    <n v="0.70000000000000007"/>
    <n v="0"/>
    <n v="0"/>
  </r>
  <r>
    <x v="3239"/>
    <n v="7"/>
    <n v="49"/>
    <n v="56"/>
    <n v="24"/>
    <n v="21"/>
    <x v="25"/>
    <n v="21"/>
    <n v="7"/>
    <n v="52"/>
    <n v="0.70000000000000007"/>
    <n v="0"/>
    <n v="0"/>
  </r>
  <r>
    <x v="3240"/>
    <n v="7"/>
    <n v="52"/>
    <n v="59"/>
    <n v="21"/>
    <n v="15"/>
    <x v="28"/>
    <n v="15"/>
    <n v="7"/>
    <n v="58"/>
    <n v="0.70000000000000007"/>
    <n v="0"/>
    <n v="0"/>
  </r>
  <r>
    <x v="3241"/>
    <n v="7"/>
    <n v="58"/>
    <n v="65"/>
    <n v="15"/>
    <n v="13"/>
    <x v="4"/>
    <n v="13"/>
    <n v="7"/>
    <n v="60"/>
    <n v="0.70000000000000007"/>
    <n v="0"/>
    <n v="0"/>
  </r>
  <r>
    <x v="3242"/>
    <n v="7"/>
    <n v="60"/>
    <n v="67"/>
    <n v="13"/>
    <n v="24"/>
    <x v="10"/>
    <n v="17"/>
    <n v="14"/>
    <n v="49"/>
    <n v="1.4000000000000001"/>
    <n v="0"/>
    <n v="0"/>
  </r>
  <r>
    <x v="3243"/>
    <n v="14"/>
    <n v="49"/>
    <n v="63"/>
    <n v="17"/>
    <n v="21"/>
    <x v="11"/>
    <n v="20"/>
    <n v="15"/>
    <n v="45"/>
    <n v="1.5"/>
    <n v="0"/>
    <n v="0"/>
  </r>
  <r>
    <x v="3244"/>
    <n v="15"/>
    <n v="45"/>
    <n v="60"/>
    <n v="20"/>
    <n v="15"/>
    <x v="13"/>
    <n v="18"/>
    <n v="12"/>
    <n v="50"/>
    <n v="1.2000000000000002"/>
    <n v="0"/>
    <n v="0"/>
  </r>
  <r>
    <x v="3245"/>
    <n v="12"/>
    <n v="50"/>
    <n v="62"/>
    <n v="18"/>
    <n v="13"/>
    <x v="27"/>
    <n v="23"/>
    <n v="2"/>
    <n v="55"/>
    <n v="0.2"/>
    <n v="0"/>
    <n v="0"/>
  </r>
  <r>
    <x v="3246"/>
    <n v="2"/>
    <n v="55"/>
    <n v="57"/>
    <n v="23"/>
    <n v="17"/>
    <x v="23"/>
    <n v="22"/>
    <n v="-3"/>
    <n v="61"/>
    <n v="0"/>
    <n v="1"/>
    <n v="3"/>
  </r>
  <r>
    <x v="3247"/>
    <n v="-3"/>
    <n v="61"/>
    <n v="58"/>
    <n v="22"/>
    <n v="20"/>
    <x v="22"/>
    <n v="23"/>
    <n v="-6"/>
    <n v="63"/>
    <n v="0"/>
    <n v="1"/>
    <n v="6"/>
  </r>
  <r>
    <x v="3248"/>
    <n v="-6"/>
    <n v="63"/>
    <n v="57"/>
    <n v="23"/>
    <n v="18"/>
    <x v="17"/>
    <n v="16"/>
    <n v="-4"/>
    <n v="68"/>
    <n v="0"/>
    <n v="1"/>
    <n v="4"/>
  </r>
  <r>
    <x v="3249"/>
    <n v="-4"/>
    <n v="68"/>
    <n v="64"/>
    <n v="16"/>
    <n v="23"/>
    <x v="23"/>
    <n v="17"/>
    <n v="2"/>
    <n v="61"/>
    <n v="0.2"/>
    <n v="0"/>
    <n v="0"/>
  </r>
  <r>
    <x v="3250"/>
    <n v="2"/>
    <n v="61"/>
    <n v="63"/>
    <n v="17"/>
    <n v="22"/>
    <x v="32"/>
    <n v="18"/>
    <n v="6"/>
    <n v="56"/>
    <n v="0.60000000000000009"/>
    <n v="0"/>
    <n v="0"/>
  </r>
  <r>
    <x v="3251"/>
    <n v="6"/>
    <n v="56"/>
    <n v="62"/>
    <n v="18"/>
    <n v="23"/>
    <x v="9"/>
    <n v="29"/>
    <n v="0"/>
    <n v="51"/>
    <n v="0"/>
    <n v="0"/>
    <n v="0"/>
  </r>
  <r>
    <x v="3252"/>
    <n v="0"/>
    <n v="51"/>
    <n v="51"/>
    <n v="29"/>
    <n v="16"/>
    <x v="8"/>
    <n v="18"/>
    <n v="-2"/>
    <n v="64"/>
    <n v="0"/>
    <n v="1"/>
    <n v="2"/>
  </r>
  <r>
    <x v="3253"/>
    <n v="-2"/>
    <n v="64"/>
    <n v="62"/>
    <n v="18"/>
    <n v="17"/>
    <x v="26"/>
    <n v="17"/>
    <n v="-2"/>
    <n v="65"/>
    <n v="0"/>
    <n v="1"/>
    <n v="2"/>
  </r>
  <r>
    <x v="3254"/>
    <n v="-2"/>
    <n v="65"/>
    <n v="63"/>
    <n v="17"/>
    <n v="18"/>
    <x v="8"/>
    <n v="21"/>
    <n v="-5"/>
    <n v="64"/>
    <n v="0"/>
    <n v="1"/>
    <n v="5"/>
  </r>
  <r>
    <x v="3255"/>
    <n v="-5"/>
    <n v="64"/>
    <n v="59"/>
    <n v="21"/>
    <n v="29"/>
    <x v="32"/>
    <n v="19"/>
    <n v="5"/>
    <n v="56"/>
    <n v="0.5"/>
    <n v="0"/>
    <n v="0"/>
  </r>
  <r>
    <x v="3256"/>
    <n v="5"/>
    <n v="56"/>
    <n v="61"/>
    <n v="19"/>
    <n v="18"/>
    <x v="24"/>
    <n v="14"/>
    <n v="9"/>
    <n v="57"/>
    <n v="0.9"/>
    <n v="0"/>
    <n v="0"/>
  </r>
  <r>
    <x v="3257"/>
    <n v="9"/>
    <n v="57"/>
    <n v="66"/>
    <n v="14"/>
    <n v="17"/>
    <x v="16"/>
    <n v="13"/>
    <n v="13"/>
    <n v="54"/>
    <n v="1.3"/>
    <n v="0"/>
    <n v="0"/>
  </r>
  <r>
    <x v="3258"/>
    <n v="13"/>
    <n v="54"/>
    <n v="67"/>
    <n v="13"/>
    <n v="21"/>
    <x v="38"/>
    <n v="17"/>
    <n v="17"/>
    <n v="46"/>
    <n v="1.7000000000000002"/>
    <n v="0"/>
    <n v="0"/>
  </r>
  <r>
    <x v="3259"/>
    <n v="17"/>
    <n v="46"/>
    <n v="63"/>
    <n v="17"/>
    <n v="19"/>
    <x v="45"/>
    <n v="22"/>
    <n v="14"/>
    <n v="44"/>
    <n v="1.4000000000000001"/>
    <n v="0"/>
    <n v="0"/>
  </r>
  <r>
    <x v="3260"/>
    <n v="14"/>
    <n v="44"/>
    <n v="58"/>
    <n v="22"/>
    <n v="14"/>
    <x v="25"/>
    <n v="25"/>
    <n v="3"/>
    <n v="52"/>
    <n v="0.30000000000000004"/>
    <n v="0"/>
    <n v="0"/>
  </r>
  <r>
    <x v="3261"/>
    <n v="3"/>
    <n v="52"/>
    <n v="55"/>
    <n v="25"/>
    <n v="13"/>
    <x v="8"/>
    <n v="18"/>
    <n v="-2"/>
    <n v="64"/>
    <n v="0"/>
    <n v="1"/>
    <n v="2"/>
  </r>
  <r>
    <x v="3262"/>
    <n v="-2"/>
    <n v="64"/>
    <n v="62"/>
    <n v="18"/>
    <n v="17"/>
    <x v="26"/>
    <n v="23"/>
    <n v="-8"/>
    <n v="65"/>
    <n v="0"/>
    <n v="1"/>
    <n v="8"/>
  </r>
  <r>
    <x v="3263"/>
    <n v="-8"/>
    <n v="65"/>
    <n v="57"/>
    <n v="23"/>
    <n v="22"/>
    <x v="7"/>
    <n v="16"/>
    <n v="-2"/>
    <n v="66"/>
    <n v="0"/>
    <n v="1"/>
    <n v="2"/>
  </r>
  <r>
    <x v="3264"/>
    <n v="-2"/>
    <n v="66"/>
    <n v="64"/>
    <n v="16"/>
    <n v="25"/>
    <x v="24"/>
    <n v="23"/>
    <n v="0"/>
    <n v="57"/>
    <n v="0"/>
    <n v="0"/>
    <n v="0"/>
  </r>
  <r>
    <x v="3265"/>
    <n v="0"/>
    <n v="57"/>
    <n v="57"/>
    <n v="23"/>
    <n v="18"/>
    <x v="33"/>
    <n v="24"/>
    <n v="-6"/>
    <n v="62"/>
    <n v="0"/>
    <n v="1"/>
    <n v="6"/>
  </r>
  <r>
    <x v="3266"/>
    <n v="-6"/>
    <n v="62"/>
    <n v="56"/>
    <n v="24"/>
    <n v="23"/>
    <x v="22"/>
    <n v="17"/>
    <n v="0"/>
    <n v="63"/>
    <n v="0"/>
    <n v="0"/>
    <n v="0"/>
  </r>
  <r>
    <x v="3267"/>
    <n v="0"/>
    <n v="63"/>
    <n v="63"/>
    <n v="17"/>
    <n v="16"/>
    <x v="8"/>
    <n v="28"/>
    <n v="-12"/>
    <n v="64"/>
    <n v="0"/>
    <n v="1"/>
    <n v="12"/>
  </r>
  <r>
    <x v="3268"/>
    <n v="-12"/>
    <n v="64"/>
    <n v="52"/>
    <n v="28"/>
    <n v="23"/>
    <x v="30"/>
    <n v="30"/>
    <n v="-19"/>
    <n v="69"/>
    <n v="0"/>
    <n v="1"/>
    <n v="19"/>
  </r>
  <r>
    <x v="3269"/>
    <n v="-19"/>
    <n v="69"/>
    <n v="50"/>
    <n v="30"/>
    <n v="24"/>
    <x v="44"/>
    <n v="13"/>
    <n v="-8"/>
    <n v="75"/>
    <n v="0"/>
    <n v="1"/>
    <n v="8"/>
  </r>
  <r>
    <x v="3270"/>
    <n v="-8"/>
    <n v="75"/>
    <n v="67"/>
    <n v="13"/>
    <n v="17"/>
    <x v="20"/>
    <n v="15"/>
    <n v="-6"/>
    <n v="71"/>
    <n v="0"/>
    <n v="1"/>
    <n v="6"/>
  </r>
  <r>
    <x v="3271"/>
    <n v="-6"/>
    <n v="71"/>
    <n v="65"/>
    <n v="15"/>
    <n v="28"/>
    <x v="28"/>
    <n v="23"/>
    <n v="-1"/>
    <n v="58"/>
    <n v="0"/>
    <n v="1"/>
    <n v="1"/>
  </r>
  <r>
    <x v="3272"/>
    <n v="-1"/>
    <n v="58"/>
    <n v="57"/>
    <n v="23"/>
    <n v="30"/>
    <x v="9"/>
    <n v="26"/>
    <n v="3"/>
    <n v="51"/>
    <n v="0.30000000000000004"/>
    <n v="0"/>
    <n v="0"/>
  </r>
  <r>
    <x v="3273"/>
    <n v="3"/>
    <n v="51"/>
    <n v="54"/>
    <n v="26"/>
    <n v="13"/>
    <x v="8"/>
    <n v="10"/>
    <n v="6"/>
    <n v="64"/>
    <n v="0.60000000000000009"/>
    <n v="0"/>
    <n v="0"/>
  </r>
  <r>
    <x v="3274"/>
    <n v="6"/>
    <n v="64"/>
    <n v="70"/>
    <n v="10"/>
    <n v="15"/>
    <x v="5"/>
    <n v="17"/>
    <n v="4"/>
    <n v="59"/>
    <n v="0.4"/>
    <n v="0"/>
    <n v="0"/>
  </r>
  <r>
    <x v="3275"/>
    <n v="4"/>
    <n v="59"/>
    <n v="63"/>
    <n v="17"/>
    <n v="23"/>
    <x v="12"/>
    <n v="20"/>
    <n v="7"/>
    <n v="53"/>
    <n v="0.70000000000000007"/>
    <n v="0"/>
    <n v="0"/>
  </r>
  <r>
    <x v="3276"/>
    <n v="7"/>
    <n v="53"/>
    <n v="60"/>
    <n v="20"/>
    <n v="26"/>
    <x v="14"/>
    <n v="16"/>
    <n v="17"/>
    <n v="47"/>
    <n v="1.7000000000000002"/>
    <n v="0"/>
    <n v="0"/>
  </r>
  <r>
    <x v="3277"/>
    <n v="17"/>
    <n v="47"/>
    <n v="64"/>
    <n v="16"/>
    <n v="10"/>
    <x v="12"/>
    <n v="20"/>
    <n v="7"/>
    <n v="53"/>
    <n v="0.70000000000000007"/>
    <n v="0"/>
    <n v="0"/>
  </r>
  <r>
    <x v="3278"/>
    <n v="7"/>
    <n v="53"/>
    <n v="60"/>
    <n v="20"/>
    <n v="17"/>
    <x v="32"/>
    <n v="20"/>
    <n v="4"/>
    <n v="56"/>
    <n v="0.4"/>
    <n v="0"/>
    <n v="0"/>
  </r>
  <r>
    <x v="3279"/>
    <n v="4"/>
    <n v="56"/>
    <n v="60"/>
    <n v="20"/>
    <n v="20"/>
    <x v="32"/>
    <n v="14"/>
    <n v="10"/>
    <n v="56"/>
    <n v="1"/>
    <n v="0"/>
    <n v="0"/>
  </r>
  <r>
    <x v="3280"/>
    <n v="10"/>
    <n v="56"/>
    <n v="66"/>
    <n v="14"/>
    <n v="16"/>
    <x v="16"/>
    <n v="18"/>
    <n v="8"/>
    <n v="54"/>
    <n v="0.8"/>
    <n v="0"/>
    <n v="0"/>
  </r>
  <r>
    <x v="3281"/>
    <n v="8"/>
    <n v="54"/>
    <n v="62"/>
    <n v="18"/>
    <n v="20"/>
    <x v="25"/>
    <n v="22"/>
    <n v="6"/>
    <n v="52"/>
    <n v="0.60000000000000009"/>
    <n v="0"/>
    <n v="0"/>
  </r>
  <r>
    <x v="3282"/>
    <n v="6"/>
    <n v="52"/>
    <n v="58"/>
    <n v="22"/>
    <n v="20"/>
    <x v="16"/>
    <n v="20"/>
    <n v="6"/>
    <n v="54"/>
    <n v="0.60000000000000009"/>
    <n v="0"/>
    <n v="0"/>
  </r>
  <r>
    <x v="3283"/>
    <n v="6"/>
    <n v="54"/>
    <n v="60"/>
    <n v="20"/>
    <n v="14"/>
    <x v="4"/>
    <n v="20"/>
    <n v="0"/>
    <n v="60"/>
    <n v="0"/>
    <n v="0"/>
    <n v="0"/>
  </r>
  <r>
    <x v="3284"/>
    <n v="0"/>
    <n v="60"/>
    <n v="60"/>
    <n v="20"/>
    <n v="18"/>
    <x v="33"/>
    <n v="19"/>
    <n v="-1"/>
    <n v="62"/>
    <n v="0"/>
    <n v="1"/>
    <n v="1"/>
  </r>
  <r>
    <x v="3285"/>
    <n v="-1"/>
    <n v="62"/>
    <n v="61"/>
    <n v="19"/>
    <n v="22"/>
    <x v="5"/>
    <n v="16"/>
    <n v="5"/>
    <n v="59"/>
    <n v="0.5"/>
    <n v="0"/>
    <n v="0"/>
  </r>
  <r>
    <x v="3286"/>
    <n v="5"/>
    <n v="59"/>
    <n v="64"/>
    <n v="16"/>
    <n v="20"/>
    <x v="27"/>
    <n v="19"/>
    <n v="6"/>
    <n v="55"/>
    <n v="0.60000000000000009"/>
    <n v="0"/>
    <n v="0"/>
  </r>
  <r>
    <x v="3287"/>
    <n v="6"/>
    <n v="55"/>
    <n v="61"/>
    <n v="19"/>
    <n v="20"/>
    <x v="16"/>
    <n v="18"/>
    <n v="8"/>
    <n v="54"/>
    <n v="0.8"/>
    <n v="0"/>
    <n v="0"/>
  </r>
  <r>
    <x v="3288"/>
    <n v="8"/>
    <n v="54"/>
    <n v="62"/>
    <n v="18"/>
    <n v="19"/>
    <x v="12"/>
    <n v="19"/>
    <n v="8"/>
    <n v="53"/>
    <n v="0.8"/>
    <n v="0"/>
    <n v="0"/>
  </r>
  <r>
    <x v="3289"/>
    <n v="8"/>
    <n v="53"/>
    <n v="61"/>
    <n v="19"/>
    <n v="16"/>
    <x v="32"/>
    <n v="18"/>
    <n v="6"/>
    <n v="56"/>
    <n v="0.60000000000000009"/>
    <n v="0"/>
    <n v="0"/>
  </r>
  <r>
    <x v="3290"/>
    <n v="6"/>
    <n v="56"/>
    <n v="62"/>
    <n v="18"/>
    <n v="19"/>
    <x v="27"/>
    <n v="27"/>
    <n v="-2"/>
    <n v="55"/>
    <n v="0"/>
    <n v="1"/>
    <n v="2"/>
  </r>
  <r>
    <x v="3291"/>
    <n v="-2"/>
    <n v="55"/>
    <n v="53"/>
    <n v="27"/>
    <n v="18"/>
    <x v="8"/>
    <n v="21"/>
    <n v="-5"/>
    <n v="64"/>
    <n v="0"/>
    <n v="1"/>
    <n v="5"/>
  </r>
  <r>
    <x v="3292"/>
    <n v="-5"/>
    <n v="64"/>
    <n v="59"/>
    <n v="21"/>
    <n v="19"/>
    <x v="7"/>
    <n v="22"/>
    <n v="-8"/>
    <n v="66"/>
    <n v="0"/>
    <n v="1"/>
    <n v="8"/>
  </r>
  <r>
    <x v="3293"/>
    <n v="-8"/>
    <n v="66"/>
    <n v="58"/>
    <n v="22"/>
    <n v="18"/>
    <x v="6"/>
    <n v="18"/>
    <n v="-8"/>
    <n v="70"/>
    <n v="0"/>
    <n v="1"/>
    <n v="8"/>
  </r>
  <r>
    <x v="3294"/>
    <n v="-8"/>
    <n v="70"/>
    <n v="62"/>
    <n v="18"/>
    <n v="27"/>
    <x v="23"/>
    <n v="17"/>
    <n v="2"/>
    <n v="61"/>
    <n v="0.2"/>
    <n v="0"/>
    <n v="0"/>
  </r>
  <r>
    <x v="3295"/>
    <n v="2"/>
    <n v="61"/>
    <n v="63"/>
    <n v="17"/>
    <n v="21"/>
    <x v="24"/>
    <n v="16"/>
    <n v="7"/>
    <n v="57"/>
    <n v="0.70000000000000007"/>
    <n v="0"/>
    <n v="0"/>
  </r>
  <r>
    <x v="3296"/>
    <n v="7"/>
    <n v="57"/>
    <n v="64"/>
    <n v="16"/>
    <n v="22"/>
    <x v="9"/>
    <n v="22"/>
    <n v="7"/>
    <n v="51"/>
    <n v="0.70000000000000007"/>
    <n v="0"/>
    <n v="0"/>
  </r>
  <r>
    <x v="3297"/>
    <n v="7"/>
    <n v="51"/>
    <n v="58"/>
    <n v="22"/>
    <n v="18"/>
    <x v="27"/>
    <n v="18"/>
    <n v="7"/>
    <n v="55"/>
    <n v="0.70000000000000007"/>
    <n v="0"/>
    <n v="0"/>
  </r>
  <r>
    <x v="3298"/>
    <n v="7"/>
    <n v="55"/>
    <n v="62"/>
    <n v="18"/>
    <n v="17"/>
    <x v="32"/>
    <n v="21"/>
    <n v="3"/>
    <n v="56"/>
    <n v="0.30000000000000004"/>
    <n v="0"/>
    <n v="0"/>
  </r>
  <r>
    <x v="3299"/>
    <n v="3"/>
    <n v="56"/>
    <n v="59"/>
    <n v="21"/>
    <n v="16"/>
    <x v="23"/>
    <n v="24"/>
    <n v="-5"/>
    <n v="61"/>
    <n v="0"/>
    <n v="1"/>
    <n v="5"/>
  </r>
  <r>
    <x v="3300"/>
    <n v="-5"/>
    <n v="61"/>
    <n v="56"/>
    <n v="24"/>
    <n v="22"/>
    <x v="22"/>
    <n v="13"/>
    <n v="4"/>
    <n v="63"/>
    <n v="0.4"/>
    <n v="0"/>
    <n v="0"/>
  </r>
  <r>
    <x v="3301"/>
    <n v="4"/>
    <n v="63"/>
    <n v="67"/>
    <n v="13"/>
    <n v="18"/>
    <x v="28"/>
    <n v="25"/>
    <n v="-3"/>
    <n v="58"/>
    <n v="0"/>
    <n v="1"/>
    <n v="3"/>
  </r>
  <r>
    <x v="3302"/>
    <n v="-3"/>
    <n v="58"/>
    <n v="55"/>
    <n v="25"/>
    <n v="21"/>
    <x v="33"/>
    <n v="17"/>
    <n v="1"/>
    <n v="62"/>
    <n v="0.1"/>
    <n v="0"/>
    <n v="0"/>
  </r>
  <r>
    <x v="3303"/>
    <n v="1"/>
    <n v="62"/>
    <n v="63"/>
    <n v="17"/>
    <n v="24"/>
    <x v="27"/>
    <n v="16"/>
    <n v="9"/>
    <n v="55"/>
    <n v="0.9"/>
    <n v="0"/>
    <n v="0"/>
  </r>
  <r>
    <x v="3304"/>
    <n v="9"/>
    <n v="55"/>
    <n v="64"/>
    <n v="16"/>
    <n v="13"/>
    <x v="28"/>
    <n v="21"/>
    <n v="1"/>
    <n v="58"/>
    <n v="0.1"/>
    <n v="0"/>
    <n v="0"/>
  </r>
  <r>
    <x v="3305"/>
    <n v="1"/>
    <n v="58"/>
    <n v="59"/>
    <n v="21"/>
    <n v="25"/>
    <x v="16"/>
    <n v="17"/>
    <n v="9"/>
    <n v="54"/>
    <n v="0.9"/>
    <n v="0"/>
    <n v="0"/>
  </r>
  <r>
    <x v="3306"/>
    <n v="9"/>
    <n v="54"/>
    <n v="63"/>
    <n v="17"/>
    <n v="17"/>
    <x v="16"/>
    <n v="15"/>
    <n v="11"/>
    <n v="54"/>
    <n v="1.1000000000000001"/>
    <n v="0"/>
    <n v="0"/>
  </r>
  <r>
    <x v="3307"/>
    <n v="11"/>
    <n v="54"/>
    <n v="65"/>
    <n v="15"/>
    <n v="16"/>
    <x v="12"/>
    <n v="17"/>
    <n v="10"/>
    <n v="53"/>
    <n v="1"/>
    <n v="0"/>
    <n v="0"/>
  </r>
  <r>
    <x v="3308"/>
    <n v="10"/>
    <n v="53"/>
    <n v="63"/>
    <n v="17"/>
    <n v="21"/>
    <x v="10"/>
    <n v="12"/>
    <n v="19"/>
    <n v="49"/>
    <n v="1.9000000000000001"/>
    <n v="0"/>
    <n v="0"/>
  </r>
  <r>
    <x v="3309"/>
    <n v="19"/>
    <n v="49"/>
    <n v="68"/>
    <n v="12"/>
    <n v="17"/>
    <x v="45"/>
    <n v="24"/>
    <n v="12"/>
    <n v="44"/>
    <n v="1.2000000000000002"/>
    <n v="0"/>
    <n v="0"/>
  </r>
  <r>
    <x v="3310"/>
    <n v="12"/>
    <n v="44"/>
    <n v="56"/>
    <n v="24"/>
    <n v="15"/>
    <x v="12"/>
    <n v="19"/>
    <n v="8"/>
    <n v="53"/>
    <n v="0.8"/>
    <n v="0"/>
    <n v="0"/>
  </r>
  <r>
    <x v="3311"/>
    <n v="8"/>
    <n v="53"/>
    <n v="61"/>
    <n v="19"/>
    <n v="17"/>
    <x v="27"/>
    <n v="14"/>
    <n v="11"/>
    <n v="55"/>
    <n v="1.1000000000000001"/>
    <n v="0"/>
    <n v="0"/>
  </r>
  <r>
    <x v="3312"/>
    <n v="11"/>
    <n v="55"/>
    <n v="66"/>
    <n v="14"/>
    <n v="12"/>
    <x v="24"/>
    <n v="27"/>
    <n v="-4"/>
    <n v="57"/>
    <n v="0"/>
    <n v="1"/>
    <n v="4"/>
  </r>
  <r>
    <x v="3313"/>
    <n v="-4"/>
    <n v="57"/>
    <n v="53"/>
    <n v="27"/>
    <n v="24"/>
    <x v="4"/>
    <n v="22"/>
    <n v="-2"/>
    <n v="60"/>
    <n v="0"/>
    <n v="1"/>
    <n v="2"/>
  </r>
  <r>
    <x v="3314"/>
    <n v="-2"/>
    <n v="60"/>
    <n v="58"/>
    <n v="22"/>
    <n v="19"/>
    <x v="22"/>
    <n v="19"/>
    <n v="-2"/>
    <n v="63"/>
    <n v="0"/>
    <n v="1"/>
    <n v="2"/>
  </r>
  <r>
    <x v="3315"/>
    <n v="-2"/>
    <n v="63"/>
    <n v="61"/>
    <n v="19"/>
    <n v="14"/>
    <x v="17"/>
    <n v="16"/>
    <n v="-4"/>
    <n v="68"/>
    <n v="0"/>
    <n v="1"/>
    <n v="4"/>
  </r>
  <r>
    <x v="3316"/>
    <n v="-4"/>
    <n v="68"/>
    <n v="64"/>
    <n v="16"/>
    <n v="27"/>
    <x v="24"/>
    <n v="14"/>
    <n v="9"/>
    <n v="57"/>
    <n v="0.9"/>
    <n v="0"/>
    <n v="0"/>
  </r>
  <r>
    <x v="3317"/>
    <n v="9"/>
    <n v="57"/>
    <n v="66"/>
    <n v="14"/>
    <n v="22"/>
    <x v="10"/>
    <n v="17"/>
    <n v="14"/>
    <n v="49"/>
    <n v="1.4000000000000001"/>
    <n v="0"/>
    <n v="0"/>
  </r>
  <r>
    <x v="3318"/>
    <n v="14"/>
    <n v="49"/>
    <n v="63"/>
    <n v="17"/>
    <n v="19"/>
    <x v="14"/>
    <n v="14"/>
    <n v="19"/>
    <n v="47"/>
    <n v="1.9000000000000001"/>
    <n v="0"/>
    <n v="0"/>
  </r>
  <r>
    <x v="3319"/>
    <n v="19"/>
    <n v="47"/>
    <n v="66"/>
    <n v="14"/>
    <n v="16"/>
    <x v="11"/>
    <n v="16"/>
    <n v="19"/>
    <n v="45"/>
    <n v="1.9000000000000001"/>
    <n v="0"/>
    <n v="0"/>
  </r>
  <r>
    <x v="3320"/>
    <n v="19"/>
    <n v="45"/>
    <n v="64"/>
    <n v="16"/>
    <n v="14"/>
    <x v="14"/>
    <n v="19"/>
    <n v="14"/>
    <n v="47"/>
    <n v="1.4000000000000001"/>
    <n v="0"/>
    <n v="0"/>
  </r>
  <r>
    <x v="3321"/>
    <n v="14"/>
    <n v="47"/>
    <n v="61"/>
    <n v="19"/>
    <n v="17"/>
    <x v="10"/>
    <n v="13"/>
    <n v="18"/>
    <n v="49"/>
    <n v="1.8"/>
    <n v="0"/>
    <n v="0"/>
  </r>
  <r>
    <x v="3322"/>
    <n v="18"/>
    <n v="49"/>
    <n v="67"/>
    <n v="13"/>
    <n v="14"/>
    <x v="15"/>
    <n v="11"/>
    <n v="21"/>
    <n v="48"/>
    <n v="2.1"/>
    <n v="0"/>
    <n v="0"/>
  </r>
  <r>
    <x v="3323"/>
    <n v="21"/>
    <n v="48"/>
    <n v="69"/>
    <n v="11"/>
    <n v="16"/>
    <x v="51"/>
    <n v="23"/>
    <n v="14"/>
    <n v="43"/>
    <n v="1.4000000000000001"/>
    <n v="0"/>
    <n v="0"/>
  </r>
  <r>
    <x v="3324"/>
    <n v="14"/>
    <n v="43"/>
    <n v="57"/>
    <n v="23"/>
    <n v="19"/>
    <x v="14"/>
    <n v="18"/>
    <n v="15"/>
    <n v="47"/>
    <n v="1.5"/>
    <n v="0"/>
    <n v="0"/>
  </r>
  <r>
    <x v="3325"/>
    <n v="15"/>
    <n v="47"/>
    <n v="62"/>
    <n v="18"/>
    <n v="13"/>
    <x v="25"/>
    <n v="17"/>
    <n v="11"/>
    <n v="52"/>
    <n v="1.1000000000000001"/>
    <n v="0"/>
    <n v="0"/>
  </r>
  <r>
    <x v="3326"/>
    <n v="11"/>
    <n v="52"/>
    <n v="63"/>
    <n v="17"/>
    <n v="11"/>
    <x v="28"/>
    <n v="21"/>
    <n v="1"/>
    <n v="58"/>
    <n v="0.1"/>
    <n v="0"/>
    <n v="0"/>
  </r>
  <r>
    <x v="3327"/>
    <n v="1"/>
    <n v="58"/>
    <n v="59"/>
    <n v="21"/>
    <n v="23"/>
    <x v="32"/>
    <n v="33"/>
    <n v="-9"/>
    <n v="56"/>
    <n v="0"/>
    <n v="1"/>
    <n v="9"/>
  </r>
  <r>
    <x v="3328"/>
    <n v="-9"/>
    <n v="56"/>
    <n v="47"/>
    <n v="33"/>
    <n v="18"/>
    <x v="20"/>
    <n v="30"/>
    <n v="-21"/>
    <n v="71"/>
    <n v="0"/>
    <n v="1"/>
    <n v="21"/>
  </r>
  <r>
    <x v="3329"/>
    <n v="-21"/>
    <n v="71"/>
    <n v="50"/>
    <n v="30"/>
    <n v="17"/>
    <x v="53"/>
    <n v="19"/>
    <n v="-23"/>
    <n v="84"/>
    <n v="0"/>
    <n v="1"/>
    <n v="19"/>
  </r>
  <r>
    <x v="3330"/>
    <n v="-23"/>
    <n v="84"/>
    <n v="61"/>
    <n v="19"/>
    <n v="21"/>
    <x v="19"/>
    <n v="28"/>
    <n v="-30"/>
    <n v="82"/>
    <n v="0"/>
    <n v="1"/>
    <n v="28"/>
  </r>
  <r>
    <x v="3331"/>
    <n v="-30"/>
    <n v="82"/>
    <n v="52"/>
    <n v="28"/>
    <n v="33"/>
    <x v="18"/>
    <n v="13"/>
    <n v="-10"/>
    <n v="77"/>
    <n v="0"/>
    <n v="1"/>
    <n v="10"/>
  </r>
  <r>
    <x v="3332"/>
    <n v="-10"/>
    <n v="77"/>
    <n v="67"/>
    <n v="13"/>
    <n v="30"/>
    <x v="4"/>
    <n v="19"/>
    <n v="1"/>
    <n v="60"/>
    <n v="0.1"/>
    <n v="0"/>
    <n v="0"/>
  </r>
  <r>
    <x v="3333"/>
    <n v="1"/>
    <n v="60"/>
    <n v="61"/>
    <n v="19"/>
    <n v="19"/>
    <x v="4"/>
    <n v="20"/>
    <n v="0"/>
    <n v="60"/>
    <n v="0"/>
    <n v="0"/>
    <n v="0"/>
  </r>
  <r>
    <x v="3334"/>
    <n v="0"/>
    <n v="60"/>
    <n v="60"/>
    <n v="20"/>
    <n v="28"/>
    <x v="25"/>
    <n v="29"/>
    <n v="-1"/>
    <n v="52"/>
    <n v="0"/>
    <n v="1"/>
    <n v="1"/>
  </r>
  <r>
    <x v="3335"/>
    <n v="-1"/>
    <n v="52"/>
    <n v="51"/>
    <n v="29"/>
    <n v="13"/>
    <x v="17"/>
    <n v="16"/>
    <n v="-4"/>
    <n v="68"/>
    <n v="0"/>
    <n v="1"/>
    <n v="4"/>
  </r>
  <r>
    <x v="3336"/>
    <n v="-4"/>
    <n v="68"/>
    <n v="64"/>
    <n v="16"/>
    <n v="19"/>
    <x v="26"/>
    <n v="18"/>
    <n v="-3"/>
    <n v="65"/>
    <n v="0"/>
    <n v="1"/>
    <n v="3"/>
  </r>
  <r>
    <x v="3337"/>
    <n v="-3"/>
    <n v="65"/>
    <n v="62"/>
    <n v="18"/>
    <n v="20"/>
    <x v="22"/>
    <n v="23"/>
    <n v="-6"/>
    <n v="63"/>
    <n v="0"/>
    <n v="1"/>
    <n v="6"/>
  </r>
  <r>
    <x v="3338"/>
    <n v="-6"/>
    <n v="63"/>
    <n v="57"/>
    <n v="23"/>
    <n v="29"/>
    <x v="24"/>
    <n v="17"/>
    <n v="6"/>
    <n v="57"/>
    <n v="0.60000000000000009"/>
    <n v="0"/>
    <n v="0"/>
  </r>
  <r>
    <x v="3339"/>
    <n v="6"/>
    <n v="57"/>
    <n v="63"/>
    <n v="17"/>
    <n v="16"/>
    <x v="28"/>
    <n v="16"/>
    <n v="6"/>
    <n v="58"/>
    <n v="0.60000000000000009"/>
    <n v="0"/>
    <n v="0"/>
  </r>
  <r>
    <x v="3340"/>
    <n v="6"/>
    <n v="58"/>
    <n v="64"/>
    <n v="16"/>
    <n v="18"/>
    <x v="32"/>
    <n v="21"/>
    <n v="3"/>
    <n v="56"/>
    <n v="0.30000000000000004"/>
    <n v="0"/>
    <n v="0"/>
  </r>
  <r>
    <x v="3341"/>
    <n v="3"/>
    <n v="56"/>
    <n v="59"/>
    <n v="21"/>
    <n v="23"/>
    <x v="16"/>
    <n v="13"/>
    <n v="13"/>
    <n v="54"/>
    <n v="1.3"/>
    <n v="0"/>
    <n v="0"/>
  </r>
  <r>
    <x v="3342"/>
    <n v="13"/>
    <n v="54"/>
    <n v="67"/>
    <n v="13"/>
    <n v="17"/>
    <x v="13"/>
    <n v="24"/>
    <n v="6"/>
    <n v="50"/>
    <n v="0.60000000000000009"/>
    <n v="0"/>
    <n v="0"/>
  </r>
  <r>
    <x v="3343"/>
    <n v="6"/>
    <n v="50"/>
    <n v="56"/>
    <n v="24"/>
    <n v="16"/>
    <x v="28"/>
    <n v="24"/>
    <n v="-2"/>
    <n v="58"/>
    <n v="0"/>
    <n v="1"/>
    <n v="2"/>
  </r>
  <r>
    <x v="3344"/>
    <n v="-2"/>
    <n v="58"/>
    <n v="56"/>
    <n v="24"/>
    <n v="21"/>
    <x v="23"/>
    <n v="16"/>
    <n v="3"/>
    <n v="61"/>
    <n v="0.30000000000000004"/>
    <n v="0"/>
    <n v="0"/>
  </r>
  <r>
    <x v="3345"/>
    <n v="3"/>
    <n v="61"/>
    <n v="64"/>
    <n v="16"/>
    <n v="13"/>
    <x v="8"/>
    <n v="15"/>
    <n v="1"/>
    <n v="64"/>
    <n v="0.1"/>
    <n v="0"/>
    <n v="0"/>
  </r>
  <r>
    <x v="3346"/>
    <n v="1"/>
    <n v="64"/>
    <n v="65"/>
    <n v="15"/>
    <n v="24"/>
    <x v="27"/>
    <n v="23"/>
    <n v="2"/>
    <n v="55"/>
    <n v="0.2"/>
    <n v="0"/>
    <n v="0"/>
  </r>
  <r>
    <x v="3347"/>
    <n v="2"/>
    <n v="55"/>
    <n v="57"/>
    <n v="23"/>
    <n v="24"/>
    <x v="16"/>
    <n v="25"/>
    <n v="1"/>
    <n v="54"/>
    <n v="0.1"/>
    <n v="0"/>
    <n v="0"/>
  </r>
  <r>
    <x v="3348"/>
    <n v="1"/>
    <n v="54"/>
    <n v="55"/>
    <n v="25"/>
    <n v="16"/>
    <x v="22"/>
    <n v="18"/>
    <n v="-1"/>
    <n v="63"/>
    <n v="0"/>
    <n v="1"/>
    <n v="1"/>
  </r>
  <r>
    <x v="3349"/>
    <n v="-1"/>
    <n v="63"/>
    <n v="62"/>
    <n v="18"/>
    <n v="15"/>
    <x v="7"/>
    <n v="15"/>
    <n v="-1"/>
    <n v="66"/>
    <n v="0"/>
    <n v="1"/>
    <n v="1"/>
  </r>
  <r>
    <x v="3350"/>
    <n v="-1"/>
    <n v="66"/>
    <n v="65"/>
    <n v="15"/>
    <n v="23"/>
    <x v="28"/>
    <n v="22"/>
    <n v="0"/>
    <n v="58"/>
    <n v="0"/>
    <n v="0"/>
    <n v="0"/>
  </r>
  <r>
    <x v="3351"/>
    <n v="0"/>
    <n v="58"/>
    <n v="58"/>
    <n v="22"/>
    <n v="25"/>
    <x v="27"/>
    <n v="25"/>
    <n v="0"/>
    <n v="55"/>
    <n v="0"/>
    <n v="0"/>
    <n v="0"/>
  </r>
  <r>
    <x v="3352"/>
    <n v="0"/>
    <n v="55"/>
    <n v="55"/>
    <n v="25"/>
    <n v="18"/>
    <x v="33"/>
    <n v="20"/>
    <n v="-2"/>
    <n v="62"/>
    <n v="0"/>
    <n v="1"/>
    <n v="2"/>
  </r>
  <r>
    <x v="3353"/>
    <n v="-2"/>
    <n v="62"/>
    <n v="60"/>
    <n v="20"/>
    <n v="15"/>
    <x v="21"/>
    <n v="16"/>
    <n v="-3"/>
    <n v="67"/>
    <n v="0"/>
    <n v="1"/>
    <n v="3"/>
  </r>
  <r>
    <x v="3354"/>
    <n v="-3"/>
    <n v="67"/>
    <n v="64"/>
    <n v="16"/>
    <n v="22"/>
    <x v="23"/>
    <n v="26"/>
    <n v="-7"/>
    <n v="61"/>
    <n v="0"/>
    <n v="1"/>
    <n v="7"/>
  </r>
  <r>
    <x v="3355"/>
    <n v="-7"/>
    <n v="61"/>
    <n v="54"/>
    <n v="26"/>
    <n v="25"/>
    <x v="33"/>
    <n v="24"/>
    <n v="-6"/>
    <n v="62"/>
    <n v="0"/>
    <n v="1"/>
    <n v="6"/>
  </r>
  <r>
    <x v="3356"/>
    <n v="-6"/>
    <n v="62"/>
    <n v="56"/>
    <n v="24"/>
    <n v="20"/>
    <x v="7"/>
    <n v="20"/>
    <n v="-6"/>
    <n v="66"/>
    <n v="0"/>
    <n v="1"/>
    <n v="6"/>
  </r>
  <r>
    <x v="3357"/>
    <n v="-6"/>
    <n v="66"/>
    <n v="60"/>
    <n v="20"/>
    <n v="16"/>
    <x v="6"/>
    <n v="26"/>
    <n v="-16"/>
    <n v="70"/>
    <n v="0"/>
    <n v="1"/>
    <n v="16"/>
  </r>
  <r>
    <x v="3358"/>
    <n v="-16"/>
    <n v="70"/>
    <n v="54"/>
    <n v="26"/>
    <n v="26"/>
    <x v="6"/>
    <n v="27"/>
    <n v="-17"/>
    <n v="70"/>
    <n v="0"/>
    <n v="1"/>
    <n v="17"/>
  </r>
  <r>
    <x v="3359"/>
    <n v="-17"/>
    <n v="70"/>
    <n v="53"/>
    <n v="27"/>
    <n v="24"/>
    <x v="31"/>
    <n v="13"/>
    <n v="-6"/>
    <n v="73"/>
    <n v="0"/>
    <n v="1"/>
    <n v="6"/>
  </r>
  <r>
    <x v="3360"/>
    <n v="-6"/>
    <n v="73"/>
    <n v="67"/>
    <n v="13"/>
    <n v="20"/>
    <x v="7"/>
    <n v="16"/>
    <n v="-2"/>
    <n v="66"/>
    <n v="0"/>
    <n v="1"/>
    <n v="2"/>
  </r>
  <r>
    <x v="3361"/>
    <n v="-2"/>
    <n v="66"/>
    <n v="64"/>
    <n v="16"/>
    <n v="26"/>
    <x v="32"/>
    <n v="22"/>
    <n v="2"/>
    <n v="56"/>
    <n v="0.2"/>
    <n v="0"/>
    <n v="0"/>
  </r>
  <r>
    <x v="3362"/>
    <n v="2"/>
    <n v="56"/>
    <n v="58"/>
    <n v="22"/>
    <n v="27"/>
    <x v="9"/>
    <n v="17"/>
    <n v="12"/>
    <n v="51"/>
    <n v="1.2000000000000002"/>
    <n v="0"/>
    <n v="0"/>
  </r>
  <r>
    <x v="3363"/>
    <n v="12"/>
    <n v="51"/>
    <n v="63"/>
    <n v="17"/>
    <n v="13"/>
    <x v="27"/>
    <n v="17"/>
    <n v="8"/>
    <n v="55"/>
    <n v="0.8"/>
    <n v="0"/>
    <n v="0"/>
  </r>
  <r>
    <x v="3364"/>
    <n v="8"/>
    <n v="55"/>
    <n v="63"/>
    <n v="17"/>
    <n v="16"/>
    <x v="32"/>
    <n v="15"/>
    <n v="9"/>
    <n v="56"/>
    <n v="0.9"/>
    <n v="0"/>
    <n v="0"/>
  </r>
  <r>
    <x v="3365"/>
    <n v="9"/>
    <n v="56"/>
    <n v="65"/>
    <n v="15"/>
    <n v="22"/>
    <x v="10"/>
    <n v="23"/>
    <n v="8"/>
    <n v="49"/>
    <n v="0.8"/>
    <n v="0"/>
    <n v="0"/>
  </r>
  <r>
    <x v="3366"/>
    <n v="8"/>
    <n v="49"/>
    <n v="57"/>
    <n v="23"/>
    <n v="17"/>
    <x v="27"/>
    <n v="16"/>
    <n v="9"/>
    <n v="55"/>
    <n v="0.9"/>
    <n v="0"/>
    <n v="0"/>
  </r>
  <r>
    <x v="3367"/>
    <n v="9"/>
    <n v="55"/>
    <n v="64"/>
    <n v="16"/>
    <n v="17"/>
    <x v="16"/>
    <n v="23"/>
    <n v="3"/>
    <n v="54"/>
    <n v="0.30000000000000004"/>
    <n v="0"/>
    <n v="0"/>
  </r>
  <r>
    <x v="3368"/>
    <n v="3"/>
    <n v="54"/>
    <n v="57"/>
    <n v="23"/>
    <n v="15"/>
    <x v="33"/>
    <n v="14"/>
    <n v="4"/>
    <n v="62"/>
    <n v="0.4"/>
    <n v="0"/>
    <n v="0"/>
  </r>
  <r>
    <x v="3369"/>
    <n v="4"/>
    <n v="62"/>
    <n v="66"/>
    <n v="14"/>
    <n v="23"/>
    <x v="12"/>
    <n v="17"/>
    <n v="10"/>
    <n v="53"/>
    <n v="1"/>
    <n v="0"/>
    <n v="0"/>
  </r>
  <r>
    <x v="3370"/>
    <n v="10"/>
    <n v="53"/>
    <n v="63"/>
    <n v="17"/>
    <n v="16"/>
    <x v="16"/>
    <n v="26"/>
    <n v="0"/>
    <n v="54"/>
    <n v="0"/>
    <n v="0"/>
    <n v="0"/>
  </r>
  <r>
    <x v="3371"/>
    <n v="0"/>
    <n v="54"/>
    <n v="54"/>
    <n v="26"/>
    <n v="23"/>
    <x v="24"/>
    <n v="14"/>
    <n v="9"/>
    <n v="57"/>
    <n v="0.9"/>
    <n v="0"/>
    <n v="0"/>
  </r>
  <r>
    <x v="3372"/>
    <n v="9"/>
    <n v="57"/>
    <n v="66"/>
    <n v="14"/>
    <n v="14"/>
    <x v="24"/>
    <n v="17"/>
    <n v="6"/>
    <n v="57"/>
    <n v="0.60000000000000009"/>
    <n v="0"/>
    <n v="0"/>
  </r>
  <r>
    <x v="3373"/>
    <n v="6"/>
    <n v="57"/>
    <n v="63"/>
    <n v="17"/>
    <n v="17"/>
    <x v="24"/>
    <n v="16"/>
    <n v="7"/>
    <n v="57"/>
    <n v="0.70000000000000007"/>
    <n v="0"/>
    <n v="0"/>
  </r>
  <r>
    <x v="3374"/>
    <n v="7"/>
    <n v="57"/>
    <n v="64"/>
    <n v="16"/>
    <n v="26"/>
    <x v="14"/>
    <n v="24"/>
    <n v="9"/>
    <n v="47"/>
    <n v="0.9"/>
    <n v="0"/>
    <n v="0"/>
  </r>
  <r>
    <x v="3375"/>
    <n v="9"/>
    <n v="47"/>
    <n v="56"/>
    <n v="24"/>
    <n v="14"/>
    <x v="24"/>
    <n v="19"/>
    <n v="4"/>
    <n v="57"/>
    <n v="0.4"/>
    <n v="0"/>
    <n v="0"/>
  </r>
  <r>
    <x v="3376"/>
    <n v="4"/>
    <n v="57"/>
    <n v="61"/>
    <n v="19"/>
    <n v="17"/>
    <x v="5"/>
    <n v="15"/>
    <n v="6"/>
    <n v="59"/>
    <n v="0.60000000000000009"/>
    <n v="0"/>
    <n v="0"/>
  </r>
  <r>
    <x v="3377"/>
    <n v="6"/>
    <n v="59"/>
    <n v="65"/>
    <n v="15"/>
    <n v="16"/>
    <x v="28"/>
    <n v="15"/>
    <n v="7"/>
    <n v="58"/>
    <n v="0.70000000000000007"/>
    <n v="0"/>
    <n v="0"/>
  </r>
  <r>
    <x v="3378"/>
    <n v="7"/>
    <n v="58"/>
    <n v="65"/>
    <n v="15"/>
    <n v="24"/>
    <x v="10"/>
    <n v="24"/>
    <n v="7"/>
    <n v="49"/>
    <n v="0.70000000000000007"/>
    <n v="0"/>
    <n v="0"/>
  </r>
  <r>
    <x v="3379"/>
    <n v="7"/>
    <n v="49"/>
    <n v="56"/>
    <n v="24"/>
    <n v="19"/>
    <x v="16"/>
    <n v="24"/>
    <n v="2"/>
    <n v="54"/>
    <n v="0.2"/>
    <n v="0"/>
    <n v="0"/>
  </r>
  <r>
    <x v="3380"/>
    <n v="2"/>
    <n v="54"/>
    <n v="56"/>
    <n v="24"/>
    <n v="15"/>
    <x v="22"/>
    <n v="17"/>
    <n v="0"/>
    <n v="63"/>
    <n v="0"/>
    <n v="0"/>
    <n v="0"/>
  </r>
  <r>
    <x v="3381"/>
    <n v="0"/>
    <n v="63"/>
    <n v="63"/>
    <n v="17"/>
    <n v="15"/>
    <x v="26"/>
    <n v="25"/>
    <n v="-10"/>
    <n v="65"/>
    <n v="0"/>
    <n v="1"/>
    <n v="10"/>
  </r>
  <r>
    <x v="3382"/>
    <n v="-10"/>
    <n v="65"/>
    <n v="55"/>
    <n v="25"/>
    <n v="24"/>
    <x v="7"/>
    <n v="19"/>
    <n v="-5"/>
    <n v="66"/>
    <n v="0"/>
    <n v="1"/>
    <n v="5"/>
  </r>
  <r>
    <x v="3383"/>
    <n v="-5"/>
    <n v="66"/>
    <n v="61"/>
    <n v="19"/>
    <n v="24"/>
    <x v="23"/>
    <n v="21"/>
    <n v="-2"/>
    <n v="61"/>
    <n v="0"/>
    <n v="1"/>
    <n v="2"/>
  </r>
  <r>
    <x v="3384"/>
    <n v="-2"/>
    <n v="61"/>
    <n v="59"/>
    <n v="21"/>
    <n v="17"/>
    <x v="26"/>
    <n v="29"/>
    <n v="-14"/>
    <n v="65"/>
    <n v="0"/>
    <n v="1"/>
    <n v="14"/>
  </r>
  <r>
    <x v="3385"/>
    <n v="-14"/>
    <n v="65"/>
    <n v="51"/>
    <n v="29"/>
    <n v="25"/>
    <x v="30"/>
    <n v="24"/>
    <n v="-13"/>
    <n v="69"/>
    <n v="0"/>
    <n v="1"/>
    <n v="13"/>
  </r>
  <r>
    <x v="3386"/>
    <n v="-13"/>
    <n v="69"/>
    <n v="56"/>
    <n v="24"/>
    <n v="19"/>
    <x v="39"/>
    <n v="27"/>
    <n v="-21"/>
    <n v="74"/>
    <n v="0"/>
    <n v="1"/>
    <n v="21"/>
  </r>
  <r>
    <x v="3387"/>
    <n v="-21"/>
    <n v="74"/>
    <n v="53"/>
    <n v="27"/>
    <n v="21"/>
    <x v="0"/>
    <n v="18"/>
    <n v="-18"/>
    <n v="80"/>
    <n v="0"/>
    <n v="1"/>
    <n v="18"/>
  </r>
  <r>
    <x v="3388"/>
    <n v="-18"/>
    <n v="80"/>
    <n v="62"/>
    <n v="18"/>
    <n v="29"/>
    <x v="30"/>
    <n v="16"/>
    <n v="-5"/>
    <n v="69"/>
    <n v="0"/>
    <n v="1"/>
    <n v="5"/>
  </r>
  <r>
    <x v="3389"/>
    <n v="-5"/>
    <n v="69"/>
    <n v="64"/>
    <n v="16"/>
    <n v="24"/>
    <x v="23"/>
    <n v="23"/>
    <n v="-4"/>
    <n v="61"/>
    <n v="0"/>
    <n v="1"/>
    <n v="4"/>
  </r>
  <r>
    <x v="3390"/>
    <n v="-4"/>
    <n v="61"/>
    <n v="57"/>
    <n v="23"/>
    <n v="27"/>
    <x v="24"/>
    <n v="24"/>
    <n v="-1"/>
    <n v="57"/>
    <n v="0"/>
    <n v="1"/>
    <n v="1"/>
  </r>
  <r>
    <x v="3391"/>
    <n v="-1"/>
    <n v="57"/>
    <n v="56"/>
    <n v="24"/>
    <n v="18"/>
    <x v="22"/>
    <n v="29"/>
    <n v="-12"/>
    <n v="63"/>
    <n v="0"/>
    <n v="1"/>
    <n v="12"/>
  </r>
  <r>
    <x v="3392"/>
    <n v="-12"/>
    <n v="63"/>
    <n v="51"/>
    <n v="29"/>
    <n v="16"/>
    <x v="37"/>
    <n v="16"/>
    <n v="-12"/>
    <n v="76"/>
    <n v="0"/>
    <n v="1"/>
    <n v="12"/>
  </r>
  <r>
    <x v="3393"/>
    <n v="-12"/>
    <n v="76"/>
    <n v="64"/>
    <n v="16"/>
    <n v="23"/>
    <x v="30"/>
    <n v="22"/>
    <n v="-11"/>
    <n v="69"/>
    <n v="0"/>
    <n v="1"/>
    <n v="11"/>
  </r>
  <r>
    <x v="3394"/>
    <n v="-11"/>
    <n v="69"/>
    <n v="58"/>
    <n v="22"/>
    <n v="24"/>
    <x v="21"/>
    <n v="22"/>
    <n v="-9"/>
    <n v="67"/>
    <n v="0"/>
    <n v="1"/>
    <n v="9"/>
  </r>
  <r>
    <x v="3395"/>
    <n v="-9"/>
    <n v="67"/>
    <n v="58"/>
    <n v="22"/>
    <n v="29"/>
    <x v="4"/>
    <n v="19"/>
    <n v="1"/>
    <n v="60"/>
    <n v="0.1"/>
    <n v="0"/>
    <n v="0"/>
  </r>
  <r>
    <x v="3396"/>
    <n v="1"/>
    <n v="60"/>
    <n v="61"/>
    <n v="19"/>
    <n v="16"/>
    <x v="22"/>
    <n v="17"/>
    <n v="0"/>
    <n v="63"/>
    <n v="0"/>
    <n v="0"/>
    <n v="0"/>
  </r>
  <r>
    <x v="3397"/>
    <n v="0"/>
    <n v="63"/>
    <n v="63"/>
    <n v="17"/>
    <n v="22"/>
    <x v="28"/>
    <n v="28"/>
    <n v="-6"/>
    <n v="58"/>
    <n v="0"/>
    <n v="1"/>
    <n v="6"/>
  </r>
  <r>
    <x v="3398"/>
    <n v="-6"/>
    <n v="58"/>
    <n v="52"/>
    <n v="28"/>
    <n v="22"/>
    <x v="8"/>
    <n v="14"/>
    <n v="2"/>
    <n v="64"/>
    <n v="0.2"/>
    <n v="0"/>
    <n v="0"/>
  </r>
  <r>
    <x v="3399"/>
    <n v="2"/>
    <n v="64"/>
    <n v="66"/>
    <n v="14"/>
    <n v="19"/>
    <x v="5"/>
    <n v="18"/>
    <n v="3"/>
    <n v="59"/>
    <n v="0.30000000000000004"/>
    <n v="0"/>
    <n v="0"/>
  </r>
  <r>
    <x v="3400"/>
    <n v="3"/>
    <n v="59"/>
    <n v="62"/>
    <n v="18"/>
    <n v="17"/>
    <x v="4"/>
    <n v="18"/>
    <n v="2"/>
    <n v="60"/>
    <n v="0.2"/>
    <n v="0"/>
    <n v="0"/>
  </r>
  <r>
    <x v="3401"/>
    <n v="2"/>
    <n v="60"/>
    <n v="62"/>
    <n v="18"/>
    <n v="28"/>
    <x v="13"/>
    <n v="18"/>
    <n v="12"/>
    <n v="50"/>
    <n v="1.2000000000000002"/>
    <n v="0"/>
    <n v="0"/>
  </r>
  <r>
    <x v="3402"/>
    <n v="12"/>
    <n v="50"/>
    <n v="62"/>
    <n v="18"/>
    <n v="14"/>
    <x v="16"/>
    <n v="24"/>
    <n v="2"/>
    <n v="54"/>
    <n v="0.2"/>
    <n v="0"/>
    <n v="0"/>
  </r>
  <r>
    <x v="3403"/>
    <n v="2"/>
    <n v="54"/>
    <n v="56"/>
    <n v="24"/>
    <n v="18"/>
    <x v="4"/>
    <n v="18"/>
    <n v="2"/>
    <n v="60"/>
    <n v="0.2"/>
    <n v="0"/>
    <n v="0"/>
  </r>
  <r>
    <x v="3404"/>
    <n v="2"/>
    <n v="60"/>
    <n v="62"/>
    <n v="18"/>
    <n v="18"/>
    <x v="4"/>
    <n v="19"/>
    <n v="1"/>
    <n v="60"/>
    <n v="0.1"/>
    <n v="0"/>
    <n v="0"/>
  </r>
  <r>
    <x v="3405"/>
    <n v="1"/>
    <n v="60"/>
    <n v="61"/>
    <n v="19"/>
    <n v="18"/>
    <x v="23"/>
    <n v="25"/>
    <n v="-6"/>
    <n v="61"/>
    <n v="0"/>
    <n v="1"/>
    <n v="6"/>
  </r>
  <r>
    <x v="3406"/>
    <n v="-6"/>
    <n v="61"/>
    <n v="55"/>
    <n v="25"/>
    <n v="24"/>
    <x v="33"/>
    <n v="19"/>
    <n v="-1"/>
    <n v="62"/>
    <n v="0"/>
    <n v="1"/>
    <n v="1"/>
  </r>
  <r>
    <x v="3407"/>
    <n v="-1"/>
    <n v="62"/>
    <n v="61"/>
    <n v="19"/>
    <n v="18"/>
    <x v="22"/>
    <n v="14"/>
    <n v="3"/>
    <n v="63"/>
    <n v="0.30000000000000004"/>
    <n v="0"/>
    <n v="0"/>
  </r>
  <r>
    <x v="3408"/>
    <n v="3"/>
    <n v="63"/>
    <n v="66"/>
    <n v="14"/>
    <n v="19"/>
    <x v="28"/>
    <n v="16"/>
    <n v="6"/>
    <n v="58"/>
    <n v="0.60000000000000009"/>
    <n v="0"/>
    <n v="0"/>
  </r>
  <r>
    <x v="3409"/>
    <n v="6"/>
    <n v="58"/>
    <n v="64"/>
    <n v="16"/>
    <n v="25"/>
    <x v="10"/>
    <n v="11"/>
    <n v="20"/>
    <n v="49"/>
    <n v="2"/>
    <n v="0"/>
    <n v="0"/>
  </r>
  <r>
    <x v="3410"/>
    <n v="20"/>
    <n v="49"/>
    <n v="69"/>
    <n v="11"/>
    <n v="19"/>
    <x v="52"/>
    <n v="13"/>
    <n v="26"/>
    <n v="41"/>
    <n v="2.6"/>
    <n v="0"/>
    <n v="0"/>
  </r>
  <r>
    <x v="3411"/>
    <n v="26"/>
    <n v="41"/>
    <n v="67"/>
    <n v="13"/>
    <n v="14"/>
    <x v="46"/>
    <n v="19"/>
    <n v="21"/>
    <n v="40"/>
    <n v="2.1"/>
    <n v="0"/>
    <n v="0"/>
  </r>
  <r>
    <x v="3412"/>
    <n v="21"/>
    <n v="40"/>
    <n v="61"/>
    <n v="19"/>
    <n v="16"/>
    <x v="51"/>
    <n v="18"/>
    <n v="19"/>
    <n v="43"/>
    <n v="1.9000000000000001"/>
    <n v="0"/>
    <n v="0"/>
  </r>
  <r>
    <x v="3413"/>
    <n v="19"/>
    <n v="43"/>
    <n v="62"/>
    <n v="18"/>
    <n v="11"/>
    <x v="13"/>
    <n v="21"/>
    <n v="9"/>
    <n v="50"/>
    <n v="0.9"/>
    <n v="0"/>
    <n v="0"/>
  </r>
  <r>
    <x v="3414"/>
    <n v="9"/>
    <n v="50"/>
    <n v="59"/>
    <n v="21"/>
    <n v="13"/>
    <x v="28"/>
    <n v="29"/>
    <n v="-7"/>
    <n v="58"/>
    <n v="0"/>
    <n v="1"/>
    <n v="7"/>
  </r>
  <r>
    <x v="3415"/>
    <n v="-7"/>
    <n v="58"/>
    <n v="51"/>
    <n v="29"/>
    <n v="19"/>
    <x v="17"/>
    <n v="20"/>
    <n v="-8"/>
    <n v="68"/>
    <n v="0"/>
    <n v="1"/>
    <n v="8"/>
  </r>
  <r>
    <x v="3416"/>
    <n v="-8"/>
    <n v="68"/>
    <n v="60"/>
    <n v="20"/>
    <n v="18"/>
    <x v="6"/>
    <n v="28"/>
    <n v="-18"/>
    <n v="70"/>
    <n v="0"/>
    <n v="1"/>
    <n v="18"/>
  </r>
  <r>
    <x v="3417"/>
    <n v="-18"/>
    <n v="70"/>
    <n v="52"/>
    <n v="28"/>
    <n v="21"/>
    <x v="18"/>
    <n v="18"/>
    <n v="-15"/>
    <n v="77"/>
    <n v="0"/>
    <n v="1"/>
    <n v="15"/>
  </r>
  <r>
    <x v="3418"/>
    <n v="-15"/>
    <n v="77"/>
    <n v="62"/>
    <n v="18"/>
    <n v="29"/>
    <x v="7"/>
    <n v="30"/>
    <n v="-16"/>
    <n v="66"/>
    <n v="0"/>
    <n v="1"/>
    <n v="16"/>
  </r>
  <r>
    <x v="3419"/>
    <n v="-16"/>
    <n v="66"/>
    <n v="50"/>
    <n v="30"/>
    <n v="20"/>
    <x v="37"/>
    <n v="19"/>
    <n v="-15"/>
    <n v="76"/>
    <n v="0"/>
    <n v="1"/>
    <n v="15"/>
  </r>
  <r>
    <x v="3420"/>
    <n v="-15"/>
    <n v="76"/>
    <n v="61"/>
    <n v="19"/>
    <n v="28"/>
    <x v="21"/>
    <n v="17"/>
    <n v="-4"/>
    <n v="67"/>
    <n v="0"/>
    <n v="1"/>
    <n v="4"/>
  </r>
  <r>
    <x v="3421"/>
    <n v="-4"/>
    <n v="67"/>
    <n v="63"/>
    <n v="17"/>
    <n v="18"/>
    <x v="7"/>
    <n v="20"/>
    <n v="-6"/>
    <n v="66"/>
    <n v="0"/>
    <n v="1"/>
    <n v="6"/>
  </r>
  <r>
    <x v="3422"/>
    <n v="-6"/>
    <n v="66"/>
    <n v="60"/>
    <n v="20"/>
    <n v="30"/>
    <x v="32"/>
    <n v="21"/>
    <n v="3"/>
    <n v="56"/>
    <n v="0.30000000000000004"/>
    <n v="0"/>
    <n v="0"/>
  </r>
  <r>
    <x v="3423"/>
    <n v="3"/>
    <n v="56"/>
    <n v="59"/>
    <n v="21"/>
    <n v="19"/>
    <x v="28"/>
    <n v="24"/>
    <n v="-2"/>
    <n v="58"/>
    <n v="0"/>
    <n v="1"/>
    <n v="2"/>
  </r>
  <r>
    <x v="3424"/>
    <n v="-2"/>
    <n v="58"/>
    <n v="56"/>
    <n v="24"/>
    <n v="17"/>
    <x v="26"/>
    <n v="22"/>
    <n v="-7"/>
    <n v="65"/>
    <n v="0"/>
    <n v="1"/>
    <n v="7"/>
  </r>
  <r>
    <x v="3425"/>
    <n v="-7"/>
    <n v="65"/>
    <n v="58"/>
    <n v="22"/>
    <n v="20"/>
    <x v="21"/>
    <n v="16"/>
    <n v="-3"/>
    <n v="67"/>
    <n v="0"/>
    <n v="1"/>
    <n v="3"/>
  </r>
  <r>
    <x v="3426"/>
    <n v="-3"/>
    <n v="67"/>
    <n v="64"/>
    <n v="16"/>
    <n v="21"/>
    <x v="33"/>
    <n v="13"/>
    <n v="5"/>
    <n v="62"/>
    <n v="0.5"/>
    <n v="0"/>
    <n v="0"/>
  </r>
  <r>
    <x v="3427"/>
    <n v="5"/>
    <n v="62"/>
    <n v="67"/>
    <n v="13"/>
    <n v="24"/>
    <x v="9"/>
    <n v="18"/>
    <n v="11"/>
    <n v="51"/>
    <n v="1.1000000000000001"/>
    <n v="0"/>
    <n v="0"/>
  </r>
  <r>
    <x v="3428"/>
    <n v="11"/>
    <n v="51"/>
    <n v="62"/>
    <n v="18"/>
    <n v="22"/>
    <x v="14"/>
    <n v="25"/>
    <n v="8"/>
    <n v="47"/>
    <n v="0.8"/>
    <n v="0"/>
    <n v="0"/>
  </r>
  <r>
    <x v="3429"/>
    <n v="8"/>
    <n v="47"/>
    <n v="55"/>
    <n v="25"/>
    <n v="16"/>
    <x v="32"/>
    <n v="19"/>
    <n v="5"/>
    <n v="56"/>
    <n v="0.5"/>
    <n v="0"/>
    <n v="0"/>
  </r>
  <r>
    <x v="3430"/>
    <n v="5"/>
    <n v="56"/>
    <n v="61"/>
    <n v="19"/>
    <n v="13"/>
    <x v="33"/>
    <n v="22"/>
    <n v="-4"/>
    <n v="62"/>
    <n v="0"/>
    <n v="1"/>
    <n v="4"/>
  </r>
  <r>
    <x v="3431"/>
    <n v="-4"/>
    <n v="62"/>
    <n v="58"/>
    <n v="22"/>
    <n v="18"/>
    <x v="7"/>
    <n v="18"/>
    <n v="-4"/>
    <n v="66"/>
    <n v="0"/>
    <n v="1"/>
    <n v="4"/>
  </r>
  <r>
    <x v="3432"/>
    <n v="-4"/>
    <n v="66"/>
    <n v="62"/>
    <n v="18"/>
    <n v="25"/>
    <x v="5"/>
    <n v="18"/>
    <n v="3"/>
    <n v="59"/>
    <n v="0.30000000000000004"/>
    <n v="0"/>
    <n v="0"/>
  </r>
  <r>
    <x v="3433"/>
    <n v="3"/>
    <n v="59"/>
    <n v="62"/>
    <n v="18"/>
    <n v="19"/>
    <x v="28"/>
    <n v="19"/>
    <n v="3"/>
    <n v="58"/>
    <n v="0.30000000000000004"/>
    <n v="0"/>
    <n v="0"/>
  </r>
  <r>
    <x v="3434"/>
    <n v="3"/>
    <n v="58"/>
    <n v="61"/>
    <n v="19"/>
    <n v="22"/>
    <x v="27"/>
    <n v="15"/>
    <n v="10"/>
    <n v="55"/>
    <n v="1"/>
    <n v="0"/>
    <n v="0"/>
  </r>
  <r>
    <x v="3435"/>
    <n v="10"/>
    <n v="55"/>
    <n v="65"/>
    <n v="15"/>
    <n v="18"/>
    <x v="25"/>
    <n v="21"/>
    <n v="7"/>
    <n v="52"/>
    <n v="0.70000000000000007"/>
    <n v="0"/>
    <n v="0"/>
  </r>
  <r>
    <x v="3436"/>
    <n v="7"/>
    <n v="52"/>
    <n v="59"/>
    <n v="21"/>
    <n v="18"/>
    <x v="27"/>
    <n v="18"/>
    <n v="7"/>
    <n v="55"/>
    <n v="0.70000000000000007"/>
    <n v="0"/>
    <n v="0"/>
  </r>
  <r>
    <x v="3437"/>
    <n v="7"/>
    <n v="55"/>
    <n v="62"/>
    <n v="18"/>
    <n v="19"/>
    <x v="16"/>
    <n v="16"/>
    <n v="10"/>
    <n v="54"/>
    <n v="1"/>
    <n v="0"/>
    <n v="0"/>
  </r>
  <r>
    <x v="3438"/>
    <n v="10"/>
    <n v="54"/>
    <n v="64"/>
    <n v="16"/>
    <n v="15"/>
    <x v="27"/>
    <n v="21"/>
    <n v="4"/>
    <n v="55"/>
    <n v="0.4"/>
    <n v="0"/>
    <n v="0"/>
  </r>
  <r>
    <x v="3439"/>
    <n v="4"/>
    <n v="55"/>
    <n v="59"/>
    <n v="21"/>
    <n v="21"/>
    <x v="27"/>
    <n v="20"/>
    <n v="5"/>
    <n v="55"/>
    <n v="0.5"/>
    <n v="0"/>
    <n v="0"/>
  </r>
  <r>
    <x v="3440"/>
    <n v="5"/>
    <n v="55"/>
    <n v="60"/>
    <n v="20"/>
    <n v="18"/>
    <x v="24"/>
    <n v="18"/>
    <n v="5"/>
    <n v="57"/>
    <n v="0.5"/>
    <n v="0"/>
    <n v="0"/>
  </r>
  <r>
    <x v="3441"/>
    <n v="5"/>
    <n v="57"/>
    <n v="62"/>
    <n v="18"/>
    <n v="16"/>
    <x v="5"/>
    <n v="22"/>
    <n v="-1"/>
    <n v="59"/>
    <n v="0"/>
    <n v="1"/>
    <n v="1"/>
  </r>
  <r>
    <x v="3442"/>
    <n v="-1"/>
    <n v="59"/>
    <n v="58"/>
    <n v="22"/>
    <n v="21"/>
    <x v="4"/>
    <n v="13"/>
    <n v="7"/>
    <n v="60"/>
    <n v="0.70000000000000007"/>
    <n v="0"/>
    <n v="0"/>
  </r>
  <r>
    <x v="3443"/>
    <n v="7"/>
    <n v="60"/>
    <n v="67"/>
    <n v="13"/>
    <n v="20"/>
    <x v="12"/>
    <n v="17"/>
    <n v="10"/>
    <n v="53"/>
    <n v="1"/>
    <n v="0"/>
    <n v="0"/>
  </r>
  <r>
    <x v="3444"/>
    <n v="10"/>
    <n v="53"/>
    <n v="63"/>
    <n v="17"/>
    <n v="18"/>
    <x v="25"/>
    <n v="18"/>
    <n v="10"/>
    <n v="52"/>
    <n v="1"/>
    <n v="0"/>
    <n v="0"/>
  </r>
  <r>
    <x v="3445"/>
    <n v="10"/>
    <n v="52"/>
    <n v="62"/>
    <n v="18"/>
    <n v="22"/>
    <x v="15"/>
    <n v="21"/>
    <n v="11"/>
    <n v="48"/>
    <n v="1.1000000000000001"/>
    <n v="0"/>
    <n v="0"/>
  </r>
  <r>
    <x v="3446"/>
    <n v="11"/>
    <n v="48"/>
    <n v="59"/>
    <n v="21"/>
    <n v="13"/>
    <x v="32"/>
    <n v="21"/>
    <n v="3"/>
    <n v="56"/>
    <n v="0.30000000000000004"/>
    <n v="0"/>
    <n v="0"/>
  </r>
  <r>
    <x v="3447"/>
    <n v="3"/>
    <n v="56"/>
    <n v="59"/>
    <n v="21"/>
    <n v="17"/>
    <x v="4"/>
    <n v="14"/>
    <n v="6"/>
    <n v="60"/>
    <n v="0.60000000000000009"/>
    <n v="0"/>
    <n v="0"/>
  </r>
  <r>
    <x v="3448"/>
    <n v="6"/>
    <n v="60"/>
    <n v="66"/>
    <n v="14"/>
    <n v="18"/>
    <x v="32"/>
    <n v="12"/>
    <n v="12"/>
    <n v="56"/>
    <n v="1.2000000000000002"/>
    <n v="0"/>
    <n v="0"/>
  </r>
  <r>
    <x v="3449"/>
    <n v="12"/>
    <n v="56"/>
    <n v="68"/>
    <n v="12"/>
    <n v="21"/>
    <x v="14"/>
    <n v="20"/>
    <n v="13"/>
    <n v="47"/>
    <n v="1.3"/>
    <n v="0"/>
    <n v="0"/>
  </r>
  <r>
    <x v="3450"/>
    <n v="13"/>
    <n v="47"/>
    <n v="60"/>
    <n v="20"/>
    <n v="21"/>
    <x v="38"/>
    <n v="16"/>
    <n v="18"/>
    <n v="46"/>
    <n v="1.8"/>
    <n v="0"/>
    <n v="0"/>
  </r>
  <r>
    <x v="3451"/>
    <n v="18"/>
    <n v="46"/>
    <n v="64"/>
    <n v="16"/>
    <n v="14"/>
    <x v="15"/>
    <n v="19"/>
    <n v="13"/>
    <n v="48"/>
    <n v="1.3"/>
    <n v="0"/>
    <n v="0"/>
  </r>
  <r>
    <x v="3452"/>
    <n v="13"/>
    <n v="48"/>
    <n v="61"/>
    <n v="19"/>
    <n v="12"/>
    <x v="27"/>
    <n v="23"/>
    <n v="2"/>
    <n v="55"/>
    <n v="0.2"/>
    <n v="0"/>
    <n v="0"/>
  </r>
  <r>
    <x v="3453"/>
    <n v="2"/>
    <n v="55"/>
    <n v="57"/>
    <n v="23"/>
    <n v="20"/>
    <x v="28"/>
    <n v="23"/>
    <n v="-1"/>
    <n v="58"/>
    <n v="0"/>
    <n v="1"/>
    <n v="1"/>
  </r>
  <r>
    <x v="3454"/>
    <n v="-1"/>
    <n v="58"/>
    <n v="57"/>
    <n v="23"/>
    <n v="16"/>
    <x v="26"/>
    <n v="22"/>
    <n v="-7"/>
    <n v="65"/>
    <n v="0"/>
    <n v="1"/>
    <n v="7"/>
  </r>
  <r>
    <x v="3455"/>
    <n v="-7"/>
    <n v="65"/>
    <n v="58"/>
    <n v="22"/>
    <n v="19"/>
    <x v="17"/>
    <n v="19"/>
    <n v="-7"/>
    <n v="68"/>
    <n v="0"/>
    <n v="1"/>
    <n v="7"/>
  </r>
  <r>
    <x v="3456"/>
    <n v="-7"/>
    <n v="68"/>
    <n v="61"/>
    <n v="19"/>
    <n v="23"/>
    <x v="8"/>
    <n v="22"/>
    <n v="-6"/>
    <n v="64"/>
    <n v="0"/>
    <n v="1"/>
    <n v="6"/>
  </r>
  <r>
    <x v="3457"/>
    <n v="-6"/>
    <n v="64"/>
    <n v="58"/>
    <n v="22"/>
    <n v="23"/>
    <x v="22"/>
    <n v="11"/>
    <n v="6"/>
    <n v="63"/>
    <n v="0.60000000000000009"/>
    <n v="0"/>
    <n v="0"/>
  </r>
  <r>
    <x v="3458"/>
    <n v="6"/>
    <n v="63"/>
    <n v="69"/>
    <n v="11"/>
    <n v="22"/>
    <x v="25"/>
    <n v="21"/>
    <n v="7"/>
    <n v="52"/>
    <n v="0.70000000000000007"/>
    <n v="0"/>
    <n v="0"/>
  </r>
  <r>
    <x v="3459"/>
    <n v="7"/>
    <n v="52"/>
    <n v="59"/>
    <n v="21"/>
    <n v="19"/>
    <x v="16"/>
    <n v="19"/>
    <n v="7"/>
    <n v="54"/>
    <n v="0.70000000000000007"/>
    <n v="0"/>
    <n v="0"/>
  </r>
  <r>
    <x v="3460"/>
    <n v="7"/>
    <n v="54"/>
    <n v="61"/>
    <n v="19"/>
    <n v="22"/>
    <x v="9"/>
    <n v="18"/>
    <n v="11"/>
    <n v="51"/>
    <n v="1.1000000000000001"/>
    <n v="0"/>
    <n v="0"/>
  </r>
  <r>
    <x v="3461"/>
    <n v="11"/>
    <n v="51"/>
    <n v="62"/>
    <n v="18"/>
    <n v="11"/>
    <x v="28"/>
    <n v="24"/>
    <n v="-2"/>
    <n v="58"/>
    <n v="0"/>
    <n v="1"/>
    <n v="2"/>
  </r>
  <r>
    <x v="3462"/>
    <n v="-2"/>
    <n v="58"/>
    <n v="56"/>
    <n v="24"/>
    <n v="21"/>
    <x v="23"/>
    <n v="19"/>
    <n v="0"/>
    <n v="61"/>
    <n v="0"/>
    <n v="0"/>
    <n v="0"/>
  </r>
  <r>
    <x v="3463"/>
    <n v="0"/>
    <n v="61"/>
    <n v="61"/>
    <n v="19"/>
    <n v="19"/>
    <x v="23"/>
    <n v="25"/>
    <n v="-6"/>
    <n v="61"/>
    <n v="0"/>
    <n v="1"/>
    <n v="6"/>
  </r>
  <r>
    <x v="3464"/>
    <n v="-6"/>
    <n v="61"/>
    <n v="55"/>
    <n v="25"/>
    <n v="18"/>
    <x v="17"/>
    <n v="24"/>
    <n v="-12"/>
    <n v="68"/>
    <n v="0"/>
    <n v="1"/>
    <n v="12"/>
  </r>
  <r>
    <x v="3465"/>
    <n v="-12"/>
    <n v="68"/>
    <n v="56"/>
    <n v="24"/>
    <n v="24"/>
    <x v="17"/>
    <n v="19"/>
    <n v="-7"/>
    <n v="68"/>
    <n v="0"/>
    <n v="1"/>
    <n v="7"/>
  </r>
  <r>
    <x v="3466"/>
    <n v="-7"/>
    <n v="68"/>
    <n v="61"/>
    <n v="19"/>
    <n v="19"/>
    <x v="17"/>
    <n v="20"/>
    <n v="-8"/>
    <n v="68"/>
    <n v="0"/>
    <n v="1"/>
    <n v="8"/>
  </r>
  <r>
    <x v="3467"/>
    <n v="-8"/>
    <n v="68"/>
    <n v="60"/>
    <n v="20"/>
    <n v="25"/>
    <x v="22"/>
    <n v="19"/>
    <n v="-2"/>
    <n v="63"/>
    <n v="0"/>
    <n v="1"/>
    <n v="2"/>
  </r>
  <r>
    <x v="3468"/>
    <n v="-2"/>
    <n v="63"/>
    <n v="61"/>
    <n v="19"/>
    <n v="24"/>
    <x v="28"/>
    <n v="17"/>
    <n v="5"/>
    <n v="58"/>
    <n v="0.5"/>
    <n v="0"/>
    <n v="0"/>
  </r>
  <r>
    <x v="3469"/>
    <n v="5"/>
    <n v="58"/>
    <n v="63"/>
    <n v="17"/>
    <n v="19"/>
    <x v="32"/>
    <n v="26"/>
    <n v="-2"/>
    <n v="56"/>
    <n v="0"/>
    <n v="1"/>
    <n v="2"/>
  </r>
  <r>
    <x v="3470"/>
    <n v="-2"/>
    <n v="56"/>
    <n v="54"/>
    <n v="26"/>
    <n v="20"/>
    <x v="33"/>
    <n v="32"/>
    <n v="-14"/>
    <n v="62"/>
    <n v="0"/>
    <n v="1"/>
    <n v="14"/>
  </r>
  <r>
    <x v="3471"/>
    <n v="-14"/>
    <n v="62"/>
    <n v="48"/>
    <n v="32"/>
    <n v="19"/>
    <x v="44"/>
    <n v="18"/>
    <n v="-13"/>
    <n v="75"/>
    <n v="0"/>
    <n v="1"/>
    <n v="13"/>
  </r>
  <r>
    <x v="3472"/>
    <n v="-13"/>
    <n v="75"/>
    <n v="62"/>
    <n v="18"/>
    <n v="17"/>
    <x v="37"/>
    <n v="26"/>
    <n v="-22"/>
    <n v="76"/>
    <n v="0"/>
    <n v="1"/>
    <n v="22"/>
  </r>
  <r>
    <x v="3473"/>
    <n v="-22"/>
    <n v="76"/>
    <n v="54"/>
    <n v="26"/>
    <n v="26"/>
    <x v="37"/>
    <n v="31"/>
    <n v="-27"/>
    <n v="76"/>
    <n v="0"/>
    <n v="1"/>
    <n v="27"/>
  </r>
  <r>
    <x v="3474"/>
    <n v="-27"/>
    <n v="76"/>
    <n v="49"/>
    <n v="31"/>
    <n v="32"/>
    <x v="44"/>
    <n v="20"/>
    <n v="-15"/>
    <n v="75"/>
    <n v="0"/>
    <n v="1"/>
    <n v="15"/>
  </r>
  <r>
    <x v="3475"/>
    <n v="-15"/>
    <n v="75"/>
    <n v="60"/>
    <n v="20"/>
    <n v="18"/>
    <x v="18"/>
    <n v="16"/>
    <n v="-13"/>
    <n v="77"/>
    <n v="0"/>
    <n v="1"/>
    <n v="13"/>
  </r>
  <r>
    <x v="3476"/>
    <n v="-13"/>
    <n v="77"/>
    <n v="64"/>
    <n v="16"/>
    <n v="26"/>
    <x v="21"/>
    <n v="17"/>
    <n v="-4"/>
    <n v="67"/>
    <n v="0"/>
    <n v="1"/>
    <n v="4"/>
  </r>
  <r>
    <x v="3477"/>
    <n v="-4"/>
    <n v="67"/>
    <n v="63"/>
    <n v="17"/>
    <n v="31"/>
    <x v="12"/>
    <n v="25"/>
    <n v="2"/>
    <n v="53"/>
    <n v="0.2"/>
    <n v="0"/>
    <n v="0"/>
  </r>
  <r>
    <x v="3478"/>
    <n v="2"/>
    <n v="53"/>
    <n v="55"/>
    <n v="25"/>
    <n v="20"/>
    <x v="28"/>
    <n v="18"/>
    <n v="4"/>
    <n v="58"/>
    <n v="0.4"/>
    <n v="0"/>
    <n v="0"/>
  </r>
  <r>
    <x v="3479"/>
    <n v="4"/>
    <n v="58"/>
    <n v="62"/>
    <n v="18"/>
    <n v="16"/>
    <x v="4"/>
    <n v="16"/>
    <n v="4"/>
    <n v="60"/>
    <n v="0.4"/>
    <n v="0"/>
    <n v="0"/>
  </r>
  <r>
    <x v="3480"/>
    <n v="4"/>
    <n v="60"/>
    <n v="64"/>
    <n v="16"/>
    <n v="17"/>
    <x v="5"/>
    <n v="17"/>
    <n v="4"/>
    <n v="59"/>
    <n v="0.4"/>
    <n v="0"/>
    <n v="0"/>
  </r>
  <r>
    <x v="3481"/>
    <n v="4"/>
    <n v="59"/>
    <n v="63"/>
    <n v="17"/>
    <n v="25"/>
    <x v="9"/>
    <n v="28"/>
    <n v="1"/>
    <n v="51"/>
    <n v="0.1"/>
    <n v="0"/>
    <n v="0"/>
  </r>
  <r>
    <x v="3482"/>
    <n v="1"/>
    <n v="51"/>
    <n v="52"/>
    <n v="28"/>
    <n v="18"/>
    <x v="23"/>
    <n v="22"/>
    <n v="-3"/>
    <n v="61"/>
    <n v="0"/>
    <n v="1"/>
    <n v="3"/>
  </r>
  <r>
    <x v="3483"/>
    <n v="-3"/>
    <n v="61"/>
    <n v="58"/>
    <n v="22"/>
    <n v="16"/>
    <x v="21"/>
    <n v="20"/>
    <n v="-7"/>
    <n v="67"/>
    <n v="0"/>
    <n v="1"/>
    <n v="7"/>
  </r>
  <r>
    <x v="3484"/>
    <n v="-7"/>
    <n v="67"/>
    <n v="60"/>
    <n v="20"/>
    <n v="17"/>
    <x v="6"/>
    <n v="22"/>
    <n v="-12"/>
    <n v="70"/>
    <n v="0"/>
    <n v="1"/>
    <n v="12"/>
  </r>
  <r>
    <x v="3485"/>
    <n v="-12"/>
    <n v="70"/>
    <n v="58"/>
    <n v="22"/>
    <n v="28"/>
    <x v="8"/>
    <n v="17"/>
    <n v="-1"/>
    <n v="64"/>
    <n v="0"/>
    <n v="1"/>
    <n v="1"/>
  </r>
  <r>
    <x v="3486"/>
    <n v="-1"/>
    <n v="64"/>
    <n v="63"/>
    <n v="17"/>
    <n v="22"/>
    <x v="5"/>
    <n v="10"/>
    <n v="11"/>
    <n v="59"/>
    <n v="1.1000000000000001"/>
    <n v="0"/>
    <n v="0"/>
  </r>
  <r>
    <x v="3487"/>
    <n v="11"/>
    <n v="59"/>
    <n v="70"/>
    <n v="10"/>
    <n v="20"/>
    <x v="10"/>
    <n v="19"/>
    <n v="12"/>
    <n v="49"/>
    <n v="1.2000000000000002"/>
    <n v="0"/>
    <n v="0"/>
  </r>
  <r>
    <x v="3488"/>
    <n v="12"/>
    <n v="49"/>
    <n v="61"/>
    <n v="19"/>
    <n v="22"/>
    <x v="38"/>
    <n v="17"/>
    <n v="17"/>
    <n v="46"/>
    <n v="1.7000000000000002"/>
    <n v="0"/>
    <n v="0"/>
  </r>
  <r>
    <x v="3489"/>
    <n v="17"/>
    <n v="46"/>
    <n v="63"/>
    <n v="17"/>
    <n v="17"/>
    <x v="38"/>
    <n v="23"/>
    <n v="11"/>
    <n v="46"/>
    <n v="1.1000000000000001"/>
    <n v="0"/>
    <n v="0"/>
  </r>
  <r>
    <x v="3490"/>
    <n v="11"/>
    <n v="46"/>
    <n v="57"/>
    <n v="23"/>
    <n v="10"/>
    <x v="5"/>
    <n v="27"/>
    <n v="-6"/>
    <n v="59"/>
    <n v="0"/>
    <n v="1"/>
    <n v="6"/>
  </r>
  <r>
    <x v="3491"/>
    <n v="-6"/>
    <n v="59"/>
    <n v="53"/>
    <n v="27"/>
    <n v="19"/>
    <x v="21"/>
    <n v="17"/>
    <n v="-4"/>
    <n v="67"/>
    <n v="0"/>
    <n v="1"/>
    <n v="4"/>
  </r>
  <r>
    <x v="3492"/>
    <n v="-4"/>
    <n v="67"/>
    <n v="63"/>
    <n v="17"/>
    <n v="17"/>
    <x v="21"/>
    <n v="24"/>
    <n v="-11"/>
    <n v="67"/>
    <n v="0"/>
    <n v="1"/>
    <n v="11"/>
  </r>
  <r>
    <x v="3493"/>
    <n v="-11"/>
    <n v="67"/>
    <n v="56"/>
    <n v="24"/>
    <n v="23"/>
    <x v="17"/>
    <n v="21"/>
    <n v="-9"/>
    <n v="68"/>
    <n v="0"/>
    <n v="1"/>
    <n v="9"/>
  </r>
  <r>
    <x v="3494"/>
    <n v="-9"/>
    <n v="68"/>
    <n v="59"/>
    <n v="21"/>
    <n v="27"/>
    <x v="33"/>
    <n v="14"/>
    <n v="4"/>
    <n v="62"/>
    <n v="0.4"/>
    <n v="0"/>
    <n v="0"/>
  </r>
  <r>
    <x v="3495"/>
    <n v="4"/>
    <n v="62"/>
    <n v="66"/>
    <n v="14"/>
    <n v="17"/>
    <x v="5"/>
    <n v="18"/>
    <n v="3"/>
    <n v="59"/>
    <n v="0.30000000000000004"/>
    <n v="0"/>
    <n v="0"/>
  </r>
  <r>
    <x v="3496"/>
    <n v="3"/>
    <n v="59"/>
    <n v="62"/>
    <n v="18"/>
    <n v="24"/>
    <x v="12"/>
    <n v="21"/>
    <n v="6"/>
    <n v="53"/>
    <n v="0.60000000000000009"/>
    <n v="0"/>
    <n v="0"/>
  </r>
  <r>
    <x v="3497"/>
    <n v="6"/>
    <n v="53"/>
    <n v="59"/>
    <n v="21"/>
    <n v="21"/>
    <x v="12"/>
    <n v="16"/>
    <n v="11"/>
    <n v="53"/>
    <n v="1.1000000000000001"/>
    <n v="0"/>
    <n v="0"/>
  </r>
  <r>
    <x v="3498"/>
    <n v="11"/>
    <n v="53"/>
    <n v="64"/>
    <n v="16"/>
    <n v="14"/>
    <x v="27"/>
    <n v="27"/>
    <n v="-2"/>
    <n v="55"/>
    <n v="0"/>
    <n v="1"/>
    <n v="2"/>
  </r>
  <r>
    <x v="3499"/>
    <n v="-2"/>
    <n v="55"/>
    <n v="53"/>
    <n v="27"/>
    <n v="18"/>
    <x v="8"/>
    <n v="17"/>
    <n v="-1"/>
    <n v="64"/>
    <n v="0"/>
    <n v="1"/>
    <n v="1"/>
  </r>
  <r>
    <x v="3500"/>
    <n v="-1"/>
    <n v="64"/>
    <n v="63"/>
    <n v="17"/>
    <n v="21"/>
    <x v="4"/>
    <n v="20"/>
    <n v="0"/>
    <n v="60"/>
    <n v="0"/>
    <n v="0"/>
    <n v="0"/>
  </r>
  <r>
    <x v="3501"/>
    <n v="0"/>
    <n v="60"/>
    <n v="60"/>
    <n v="20"/>
    <n v="16"/>
    <x v="8"/>
    <n v="20"/>
    <n v="-4"/>
    <n v="64"/>
    <n v="0"/>
    <n v="1"/>
    <n v="4"/>
  </r>
  <r>
    <x v="3502"/>
    <n v="-4"/>
    <n v="64"/>
    <n v="60"/>
    <n v="20"/>
    <n v="27"/>
    <x v="24"/>
    <n v="20"/>
    <n v="3"/>
    <n v="57"/>
    <n v="0.30000000000000004"/>
    <n v="0"/>
    <n v="0"/>
  </r>
  <r>
    <x v="3503"/>
    <n v="3"/>
    <n v="57"/>
    <n v="60"/>
    <n v="20"/>
    <n v="17"/>
    <x v="4"/>
    <n v="18"/>
    <n v="2"/>
    <n v="60"/>
    <n v="0.2"/>
    <n v="0"/>
    <n v="0"/>
  </r>
  <r>
    <x v="3504"/>
    <n v="2"/>
    <n v="60"/>
    <n v="62"/>
    <n v="18"/>
    <n v="20"/>
    <x v="28"/>
    <n v="10"/>
    <n v="12"/>
    <n v="58"/>
    <n v="1.2000000000000002"/>
    <n v="0"/>
    <n v="0"/>
  </r>
  <r>
    <x v="3505"/>
    <n v="12"/>
    <n v="58"/>
    <n v="70"/>
    <n v="10"/>
    <n v="20"/>
    <x v="15"/>
    <n v="19"/>
    <n v="13"/>
    <n v="48"/>
    <n v="1.3"/>
    <n v="0"/>
    <n v="0"/>
  </r>
  <r>
    <x v="3506"/>
    <n v="13"/>
    <n v="48"/>
    <n v="61"/>
    <n v="19"/>
    <n v="20"/>
    <x v="14"/>
    <n v="21"/>
    <n v="12"/>
    <n v="47"/>
    <n v="1.2000000000000002"/>
    <n v="0"/>
    <n v="0"/>
  </r>
  <r>
    <x v="3507"/>
    <n v="12"/>
    <n v="47"/>
    <n v="59"/>
    <n v="21"/>
    <n v="18"/>
    <x v="13"/>
    <n v="16"/>
    <n v="14"/>
    <n v="50"/>
    <n v="1.4000000000000001"/>
    <n v="0"/>
    <n v="0"/>
  </r>
  <r>
    <x v="3508"/>
    <n v="14"/>
    <n v="50"/>
    <n v="64"/>
    <n v="16"/>
    <n v="10"/>
    <x v="32"/>
    <n v="21"/>
    <n v="3"/>
    <n v="56"/>
    <n v="0.30000000000000004"/>
    <n v="0"/>
    <n v="0"/>
  </r>
  <r>
    <x v="3509"/>
    <n v="3"/>
    <n v="56"/>
    <n v="59"/>
    <n v="21"/>
    <n v="19"/>
    <x v="28"/>
    <n v="32"/>
    <n v="-10"/>
    <n v="58"/>
    <n v="0"/>
    <n v="1"/>
    <n v="10"/>
  </r>
  <r>
    <x v="3510"/>
    <n v="-10"/>
    <n v="58"/>
    <n v="48"/>
    <n v="32"/>
    <n v="21"/>
    <x v="30"/>
    <n v="24"/>
    <n v="-13"/>
    <n v="69"/>
    <n v="0"/>
    <n v="1"/>
    <n v="13"/>
  </r>
  <r>
    <x v="3511"/>
    <n v="-13"/>
    <n v="69"/>
    <n v="56"/>
    <n v="24"/>
    <n v="16"/>
    <x v="18"/>
    <n v="19"/>
    <n v="-16"/>
    <n v="77"/>
    <n v="0"/>
    <n v="1"/>
    <n v="16"/>
  </r>
  <r>
    <x v="3512"/>
    <n v="-16"/>
    <n v="77"/>
    <n v="61"/>
    <n v="19"/>
    <n v="21"/>
    <x v="44"/>
    <n v="13"/>
    <n v="-8"/>
    <n v="75"/>
    <n v="0"/>
    <n v="1"/>
    <n v="8"/>
  </r>
  <r>
    <x v="3513"/>
    <n v="-8"/>
    <n v="75"/>
    <n v="67"/>
    <n v="13"/>
    <n v="32"/>
    <x v="32"/>
    <n v="20"/>
    <n v="4"/>
    <n v="56"/>
    <n v="0.4"/>
    <n v="0"/>
    <n v="0"/>
  </r>
  <r>
    <x v="3514"/>
    <n v="4"/>
    <n v="56"/>
    <n v="60"/>
    <n v="20"/>
    <n v="24"/>
    <x v="25"/>
    <n v="22"/>
    <n v="6"/>
    <n v="52"/>
    <n v="0.60000000000000009"/>
    <n v="0"/>
    <n v="0"/>
  </r>
  <r>
    <x v="3515"/>
    <n v="6"/>
    <n v="52"/>
    <n v="58"/>
    <n v="22"/>
    <n v="19"/>
    <x v="27"/>
    <n v="24"/>
    <n v="1"/>
    <n v="55"/>
    <n v="0.1"/>
    <n v="0"/>
    <n v="0"/>
  </r>
  <r>
    <x v="3516"/>
    <n v="1"/>
    <n v="55"/>
    <n v="56"/>
    <n v="24"/>
    <n v="13"/>
    <x v="7"/>
    <n v="21"/>
    <n v="-7"/>
    <n v="66"/>
    <n v="0"/>
    <n v="1"/>
    <n v="7"/>
  </r>
  <r>
    <x v="3517"/>
    <n v="-7"/>
    <n v="66"/>
    <n v="59"/>
    <n v="21"/>
    <n v="20"/>
    <x v="21"/>
    <n v="21"/>
    <n v="-8"/>
    <n v="67"/>
    <n v="0"/>
    <n v="1"/>
    <n v="8"/>
  </r>
  <r>
    <x v="3518"/>
    <n v="-8"/>
    <n v="67"/>
    <n v="59"/>
    <n v="21"/>
    <n v="22"/>
    <x v="7"/>
    <n v="21"/>
    <n v="-7"/>
    <n v="66"/>
    <n v="0"/>
    <n v="1"/>
    <n v="7"/>
  </r>
  <r>
    <x v="3519"/>
    <n v="-7"/>
    <n v="66"/>
    <n v="59"/>
    <n v="21"/>
    <n v="24"/>
    <x v="22"/>
    <n v="23"/>
    <n v="-6"/>
    <n v="63"/>
    <n v="0"/>
    <n v="1"/>
    <n v="6"/>
  </r>
  <r>
    <x v="3520"/>
    <n v="-6"/>
    <n v="63"/>
    <n v="57"/>
    <n v="23"/>
    <n v="21"/>
    <x v="26"/>
    <n v="19"/>
    <n v="-4"/>
    <n v="65"/>
    <n v="0"/>
    <n v="1"/>
    <n v="4"/>
  </r>
  <r>
    <x v="3521"/>
    <n v="-4"/>
    <n v="65"/>
    <n v="61"/>
    <n v="19"/>
    <n v="21"/>
    <x v="22"/>
    <n v="26"/>
    <n v="-9"/>
    <n v="63"/>
    <n v="0"/>
    <n v="1"/>
    <n v="9"/>
  </r>
  <r>
    <x v="3522"/>
    <n v="-9"/>
    <n v="63"/>
    <n v="54"/>
    <n v="26"/>
    <n v="21"/>
    <x v="17"/>
    <n v="20"/>
    <n v="-8"/>
    <n v="68"/>
    <n v="0"/>
    <n v="1"/>
    <n v="8"/>
  </r>
  <r>
    <x v="3523"/>
    <n v="-8"/>
    <n v="68"/>
    <n v="60"/>
    <n v="20"/>
    <n v="23"/>
    <x v="26"/>
    <n v="18"/>
    <n v="-3"/>
    <n v="65"/>
    <n v="0"/>
    <n v="1"/>
    <n v="3"/>
  </r>
  <r>
    <x v="3524"/>
    <n v="-3"/>
    <n v="65"/>
    <n v="62"/>
    <n v="18"/>
    <n v="19"/>
    <x v="8"/>
    <n v="17"/>
    <n v="-1"/>
    <n v="64"/>
    <n v="0"/>
    <n v="1"/>
    <n v="1"/>
  </r>
  <r>
    <x v="3525"/>
    <n v="-1"/>
    <n v="64"/>
    <n v="63"/>
    <n v="17"/>
    <n v="26"/>
    <x v="27"/>
    <n v="20"/>
    <n v="5"/>
    <n v="55"/>
    <n v="0.5"/>
    <n v="0"/>
    <n v="0"/>
  </r>
  <r>
    <x v="3526"/>
    <n v="5"/>
    <n v="55"/>
    <n v="60"/>
    <n v="20"/>
    <n v="20"/>
    <x v="27"/>
    <n v="30"/>
    <n v="-5"/>
    <n v="55"/>
    <n v="0"/>
    <n v="1"/>
    <n v="5"/>
  </r>
  <r>
    <x v="3527"/>
    <n v="-5"/>
    <n v="55"/>
    <n v="50"/>
    <n v="30"/>
    <n v="18"/>
    <x v="21"/>
    <n v="17"/>
    <n v="-4"/>
    <n v="67"/>
    <n v="0"/>
    <n v="1"/>
    <n v="4"/>
  </r>
  <r>
    <x v="3528"/>
    <n v="-4"/>
    <n v="67"/>
    <n v="63"/>
    <n v="17"/>
    <n v="17"/>
    <x v="21"/>
    <n v="19"/>
    <n v="-6"/>
    <n v="67"/>
    <n v="0"/>
    <n v="1"/>
    <n v="6"/>
  </r>
  <r>
    <x v="3529"/>
    <n v="-6"/>
    <n v="67"/>
    <n v="61"/>
    <n v="19"/>
    <n v="20"/>
    <x v="7"/>
    <n v="21"/>
    <n v="-7"/>
    <n v="66"/>
    <n v="0"/>
    <n v="1"/>
    <n v="7"/>
  </r>
  <r>
    <x v="3530"/>
    <n v="-7"/>
    <n v="66"/>
    <n v="59"/>
    <n v="21"/>
    <n v="30"/>
    <x v="24"/>
    <n v="16"/>
    <n v="7"/>
    <n v="57"/>
    <n v="0.70000000000000007"/>
    <n v="0"/>
    <n v="0"/>
  </r>
  <r>
    <x v="3531"/>
    <n v="7"/>
    <n v="57"/>
    <n v="64"/>
    <n v="16"/>
    <n v="17"/>
    <x v="32"/>
    <n v="25"/>
    <n v="-1"/>
    <n v="56"/>
    <n v="0"/>
    <n v="1"/>
    <n v="1"/>
  </r>
  <r>
    <x v="3532"/>
    <n v="-1"/>
    <n v="56"/>
    <n v="55"/>
    <n v="25"/>
    <n v="19"/>
    <x v="33"/>
    <n v="18"/>
    <n v="0"/>
    <n v="62"/>
    <n v="0"/>
    <n v="0"/>
    <n v="0"/>
  </r>
  <r>
    <x v="3533"/>
    <n v="0"/>
    <n v="62"/>
    <n v="62"/>
    <n v="18"/>
    <n v="21"/>
    <x v="5"/>
    <n v="28"/>
    <n v="-7"/>
    <n v="59"/>
    <n v="0"/>
    <n v="1"/>
    <n v="7"/>
  </r>
  <r>
    <x v="3534"/>
    <n v="-7"/>
    <n v="59"/>
    <n v="52"/>
    <n v="28"/>
    <n v="16"/>
    <x v="20"/>
    <n v="19"/>
    <n v="-10"/>
    <n v="71"/>
    <n v="0"/>
    <n v="1"/>
    <n v="10"/>
  </r>
  <r>
    <x v="3535"/>
    <n v="-10"/>
    <n v="71"/>
    <n v="61"/>
    <n v="19"/>
    <n v="25"/>
    <x v="26"/>
    <n v="17"/>
    <n v="-2"/>
    <n v="65"/>
    <n v="0"/>
    <n v="1"/>
    <n v="2"/>
  </r>
  <r>
    <x v="3536"/>
    <n v="-2"/>
    <n v="65"/>
    <n v="63"/>
    <n v="17"/>
    <n v="18"/>
    <x v="8"/>
    <n v="22"/>
    <n v="-6"/>
    <n v="64"/>
    <n v="0"/>
    <n v="1"/>
    <n v="6"/>
  </r>
  <r>
    <x v="3537"/>
    <n v="-6"/>
    <n v="64"/>
    <n v="58"/>
    <n v="22"/>
    <n v="28"/>
    <x v="28"/>
    <n v="22"/>
    <n v="0"/>
    <n v="58"/>
    <n v="0"/>
    <n v="0"/>
    <n v="0"/>
  </r>
  <r>
    <x v="3538"/>
    <n v="0"/>
    <n v="58"/>
    <n v="58"/>
    <n v="22"/>
    <n v="19"/>
    <x v="23"/>
    <n v="14"/>
    <n v="5"/>
    <n v="61"/>
    <n v="0.5"/>
    <n v="0"/>
    <n v="0"/>
  </r>
  <r>
    <x v="3539"/>
    <n v="5"/>
    <n v="61"/>
    <n v="66"/>
    <n v="14"/>
    <n v="17"/>
    <x v="28"/>
    <n v="10"/>
    <n v="12"/>
    <n v="58"/>
    <n v="1.2000000000000002"/>
    <n v="0"/>
    <n v="0"/>
  </r>
  <r>
    <x v="3540"/>
    <n v="12"/>
    <n v="58"/>
    <n v="70"/>
    <n v="10"/>
    <n v="22"/>
    <x v="38"/>
    <n v="20"/>
    <n v="14"/>
    <n v="46"/>
    <n v="1.4000000000000001"/>
    <n v="0"/>
    <n v="0"/>
  </r>
  <r>
    <x v="3541"/>
    <n v="14"/>
    <n v="46"/>
    <n v="60"/>
    <n v="20"/>
    <n v="22"/>
    <x v="45"/>
    <n v="26"/>
    <n v="10"/>
    <n v="44"/>
    <n v="1"/>
    <n v="0"/>
    <n v="0"/>
  </r>
  <r>
    <x v="3542"/>
    <n v="10"/>
    <n v="44"/>
    <n v="54"/>
    <n v="26"/>
    <n v="14"/>
    <x v="32"/>
    <n v="16"/>
    <n v="8"/>
    <n v="56"/>
    <n v="0.8"/>
    <n v="0"/>
    <n v="0"/>
  </r>
  <r>
    <x v="3543"/>
    <n v="8"/>
    <n v="56"/>
    <n v="64"/>
    <n v="16"/>
    <n v="10"/>
    <x v="33"/>
    <n v="13"/>
    <n v="5"/>
    <n v="62"/>
    <n v="0.5"/>
    <n v="0"/>
    <n v="0"/>
  </r>
  <r>
    <x v="3544"/>
    <n v="5"/>
    <n v="62"/>
    <n v="67"/>
    <n v="13"/>
    <n v="20"/>
    <x v="27"/>
    <n v="24"/>
    <n v="1"/>
    <n v="55"/>
    <n v="0.1"/>
    <n v="0"/>
    <n v="0"/>
  </r>
  <r>
    <x v="3545"/>
    <n v="1"/>
    <n v="55"/>
    <n v="56"/>
    <n v="24"/>
    <n v="26"/>
    <x v="12"/>
    <n v="20"/>
    <n v="7"/>
    <n v="53"/>
    <n v="0.70000000000000007"/>
    <n v="0"/>
    <n v="0"/>
  </r>
  <r>
    <x v="3546"/>
    <n v="7"/>
    <n v="53"/>
    <n v="60"/>
    <n v="20"/>
    <n v="16"/>
    <x v="24"/>
    <n v="17"/>
    <n v="6"/>
    <n v="57"/>
    <n v="0.60000000000000009"/>
    <n v="0"/>
    <n v="0"/>
  </r>
  <r>
    <x v="3547"/>
    <n v="6"/>
    <n v="57"/>
    <n v="63"/>
    <n v="17"/>
    <n v="13"/>
    <x v="23"/>
    <n v="21"/>
    <n v="-2"/>
    <n v="61"/>
    <n v="0"/>
    <n v="1"/>
    <n v="2"/>
  </r>
  <r>
    <x v="3548"/>
    <n v="-2"/>
    <n v="61"/>
    <n v="59"/>
    <n v="21"/>
    <n v="24"/>
    <x v="28"/>
    <n v="31"/>
    <n v="-9"/>
    <n v="58"/>
    <n v="0"/>
    <n v="1"/>
    <n v="9"/>
  </r>
  <r>
    <x v="3549"/>
    <n v="-9"/>
    <n v="58"/>
    <n v="49"/>
    <n v="31"/>
    <n v="20"/>
    <x v="30"/>
    <n v="27"/>
    <n v="-16"/>
    <n v="69"/>
    <n v="0"/>
    <n v="1"/>
    <n v="16"/>
  </r>
  <r>
    <x v="3550"/>
    <n v="-16"/>
    <n v="69"/>
    <n v="53"/>
    <n v="27"/>
    <n v="17"/>
    <x v="43"/>
    <n v="31"/>
    <n v="-30"/>
    <n v="79"/>
    <n v="0"/>
    <n v="1"/>
    <n v="30"/>
  </r>
  <r>
    <x v="3551"/>
    <n v="-30"/>
    <n v="79"/>
    <n v="49"/>
    <n v="31"/>
    <n v="21"/>
    <x v="54"/>
    <n v="26"/>
    <n v="-35"/>
    <n v="89"/>
    <n v="0"/>
    <n v="1"/>
    <n v="26"/>
  </r>
  <r>
    <x v="3552"/>
    <n v="-35"/>
    <n v="89"/>
    <n v="54"/>
    <n v="26"/>
    <n v="31"/>
    <x v="53"/>
    <n v="22"/>
    <n v="-26"/>
    <n v="84"/>
    <n v="0"/>
    <n v="1"/>
    <n v="22"/>
  </r>
  <r>
    <x v="3553"/>
    <n v="-26"/>
    <n v="84"/>
    <n v="58"/>
    <n v="22"/>
    <n v="27"/>
    <x v="43"/>
    <n v="23"/>
    <n v="-22"/>
    <n v="79"/>
    <n v="0"/>
    <n v="1"/>
    <n v="22"/>
  </r>
  <r>
    <x v="3554"/>
    <n v="-22"/>
    <n v="79"/>
    <n v="57"/>
    <n v="23"/>
    <n v="31"/>
    <x v="20"/>
    <n v="24"/>
    <n v="-15"/>
    <n v="71"/>
    <n v="0"/>
    <n v="1"/>
    <n v="15"/>
  </r>
  <r>
    <x v="3555"/>
    <n v="-15"/>
    <n v="71"/>
    <n v="56"/>
    <n v="24"/>
    <n v="26"/>
    <x v="30"/>
    <n v="24"/>
    <n v="-13"/>
    <n v="69"/>
    <n v="0"/>
    <n v="1"/>
    <n v="13"/>
  </r>
  <r>
    <x v="3556"/>
    <n v="-13"/>
    <n v="69"/>
    <n v="56"/>
    <n v="24"/>
    <n v="22"/>
    <x v="20"/>
    <n v="19"/>
    <n v="-10"/>
    <n v="71"/>
    <n v="0"/>
    <n v="1"/>
    <n v="10"/>
  </r>
  <r>
    <x v="3557"/>
    <n v="-10"/>
    <n v="71"/>
    <n v="61"/>
    <n v="19"/>
    <n v="23"/>
    <x v="21"/>
    <n v="28"/>
    <n v="-15"/>
    <n v="67"/>
    <n v="0"/>
    <n v="1"/>
    <n v="15"/>
  </r>
  <r>
    <x v="3558"/>
    <n v="-15"/>
    <n v="67"/>
    <n v="52"/>
    <n v="28"/>
    <n v="24"/>
    <x v="20"/>
    <n v="21"/>
    <n v="-12"/>
    <n v="71"/>
    <n v="0"/>
    <n v="1"/>
    <n v="12"/>
  </r>
  <r>
    <x v="3559"/>
    <n v="-12"/>
    <n v="71"/>
    <n v="59"/>
    <n v="21"/>
    <n v="24"/>
    <x v="17"/>
    <n v="16"/>
    <n v="-4"/>
    <n v="68"/>
    <n v="0"/>
    <n v="1"/>
    <n v="4"/>
  </r>
  <r>
    <x v="3560"/>
    <n v="-4"/>
    <n v="68"/>
    <n v="64"/>
    <n v="16"/>
    <n v="19"/>
    <x v="26"/>
    <n v="15"/>
    <n v="0"/>
    <n v="65"/>
    <n v="0"/>
    <n v="0"/>
    <n v="0"/>
  </r>
  <r>
    <x v="3561"/>
    <n v="0"/>
    <n v="65"/>
    <n v="65"/>
    <n v="15"/>
    <n v="28"/>
    <x v="25"/>
    <n v="31"/>
    <n v="-3"/>
    <n v="52"/>
    <n v="0"/>
    <n v="1"/>
    <n v="3"/>
  </r>
  <r>
    <x v="3562"/>
    <n v="-3"/>
    <n v="52"/>
    <n v="49"/>
    <n v="31"/>
    <n v="21"/>
    <x v="33"/>
    <n v="27"/>
    <n v="-9"/>
    <n v="62"/>
    <n v="0"/>
    <n v="1"/>
    <n v="9"/>
  </r>
  <r>
    <x v="3563"/>
    <n v="-9"/>
    <n v="62"/>
    <n v="53"/>
    <n v="27"/>
    <n v="16"/>
    <x v="31"/>
    <n v="21"/>
    <n v="-14"/>
    <n v="73"/>
    <n v="0"/>
    <n v="1"/>
    <n v="14"/>
  </r>
  <r>
    <x v="3564"/>
    <n v="-14"/>
    <n v="73"/>
    <n v="59"/>
    <n v="21"/>
    <n v="15"/>
    <x v="43"/>
    <n v="25"/>
    <n v="-24"/>
    <n v="79"/>
    <n v="0"/>
    <n v="1"/>
    <n v="24"/>
  </r>
  <r>
    <x v="3565"/>
    <n v="-24"/>
    <n v="79"/>
    <n v="55"/>
    <n v="25"/>
    <n v="31"/>
    <x v="31"/>
    <n v="31"/>
    <n v="-24"/>
    <n v="73"/>
    <n v="0"/>
    <n v="1"/>
    <n v="24"/>
  </r>
  <r>
    <x v="3566"/>
    <n v="-24"/>
    <n v="73"/>
    <n v="49"/>
    <n v="31"/>
    <n v="27"/>
    <x v="18"/>
    <n v="23"/>
    <n v="-20"/>
    <n v="77"/>
    <n v="0"/>
    <n v="1"/>
    <n v="20"/>
  </r>
  <r>
    <x v="3567"/>
    <n v="-20"/>
    <n v="77"/>
    <n v="57"/>
    <n v="23"/>
    <n v="21"/>
    <x v="43"/>
    <n v="18"/>
    <n v="-17"/>
    <n v="79"/>
    <n v="0"/>
    <n v="1"/>
    <n v="17"/>
  </r>
  <r>
    <x v="3568"/>
    <n v="-17"/>
    <n v="79"/>
    <n v="62"/>
    <n v="18"/>
    <n v="25"/>
    <x v="29"/>
    <n v="28"/>
    <n v="-20"/>
    <n v="72"/>
    <n v="0"/>
    <n v="1"/>
    <n v="20"/>
  </r>
  <r>
    <x v="3569"/>
    <n v="-20"/>
    <n v="72"/>
    <n v="52"/>
    <n v="28"/>
    <n v="31"/>
    <x v="30"/>
    <n v="25"/>
    <n v="-14"/>
    <n v="69"/>
    <n v="0"/>
    <n v="1"/>
    <n v="14"/>
  </r>
  <r>
    <x v="3570"/>
    <n v="-14"/>
    <n v="69"/>
    <n v="55"/>
    <n v="25"/>
    <n v="23"/>
    <x v="20"/>
    <n v="25"/>
    <n v="-16"/>
    <n v="71"/>
    <n v="0"/>
    <n v="1"/>
    <n v="16"/>
  </r>
  <r>
    <x v="3571"/>
    <n v="-16"/>
    <n v="71"/>
    <n v="55"/>
    <n v="25"/>
    <n v="18"/>
    <x v="35"/>
    <n v="15"/>
    <n v="-13"/>
    <n v="78"/>
    <n v="0"/>
    <n v="1"/>
    <n v="13"/>
  </r>
  <r>
    <x v="3572"/>
    <n v="-13"/>
    <n v="78"/>
    <n v="65"/>
    <n v="15"/>
    <n v="28"/>
    <x v="26"/>
    <n v="20"/>
    <n v="-5"/>
    <n v="65"/>
    <n v="0"/>
    <n v="1"/>
    <n v="5"/>
  </r>
  <r>
    <x v="3573"/>
    <n v="-5"/>
    <n v="65"/>
    <n v="60"/>
    <n v="20"/>
    <n v="25"/>
    <x v="4"/>
    <n v="18"/>
    <n v="2"/>
    <n v="60"/>
    <n v="0.2"/>
    <n v="0"/>
    <n v="0"/>
  </r>
  <r>
    <x v="3574"/>
    <n v="2"/>
    <n v="60"/>
    <n v="62"/>
    <n v="18"/>
    <n v="25"/>
    <x v="12"/>
    <n v="20"/>
    <n v="7"/>
    <n v="53"/>
    <n v="0.70000000000000007"/>
    <n v="0"/>
    <n v="0"/>
  </r>
  <r>
    <x v="3575"/>
    <n v="7"/>
    <n v="53"/>
    <n v="60"/>
    <n v="20"/>
    <n v="15"/>
    <x v="28"/>
    <n v="27"/>
    <n v="-5"/>
    <n v="58"/>
    <n v="0"/>
    <n v="1"/>
    <n v="5"/>
  </r>
  <r>
    <x v="3576"/>
    <n v="-5"/>
    <n v="58"/>
    <n v="53"/>
    <n v="27"/>
    <n v="20"/>
    <x v="26"/>
    <n v="17"/>
    <n v="-2"/>
    <n v="65"/>
    <n v="0"/>
    <n v="1"/>
    <n v="2"/>
  </r>
  <r>
    <x v="3577"/>
    <n v="-2"/>
    <n v="65"/>
    <n v="63"/>
    <n v="17"/>
    <n v="18"/>
    <x v="8"/>
    <n v="27"/>
    <n v="-11"/>
    <n v="64"/>
    <n v="0"/>
    <n v="1"/>
    <n v="11"/>
  </r>
  <r>
    <x v="3578"/>
    <n v="-11"/>
    <n v="64"/>
    <n v="53"/>
    <n v="27"/>
    <n v="20"/>
    <x v="20"/>
    <n v="28"/>
    <n v="-19"/>
    <n v="71"/>
    <n v="0"/>
    <n v="1"/>
    <n v="19"/>
  </r>
  <r>
    <x v="3579"/>
    <n v="-19"/>
    <n v="71"/>
    <n v="52"/>
    <n v="28"/>
    <n v="27"/>
    <x v="29"/>
    <n v="19"/>
    <n v="-11"/>
    <n v="72"/>
    <n v="0"/>
    <n v="1"/>
    <n v="11"/>
  </r>
  <r>
    <x v="3580"/>
    <n v="-11"/>
    <n v="72"/>
    <n v="61"/>
    <n v="19"/>
    <n v="17"/>
    <x v="39"/>
    <n v="16"/>
    <n v="-10"/>
    <n v="74"/>
    <n v="0"/>
    <n v="1"/>
    <n v="10"/>
  </r>
  <r>
    <x v="3581"/>
    <n v="-10"/>
    <n v="74"/>
    <n v="64"/>
    <n v="16"/>
    <n v="27"/>
    <x v="22"/>
    <n v="20"/>
    <n v="-3"/>
    <n v="63"/>
    <n v="0"/>
    <n v="1"/>
    <n v="3"/>
  </r>
  <r>
    <x v="3582"/>
    <n v="-3"/>
    <n v="63"/>
    <n v="60"/>
    <n v="20"/>
    <n v="28"/>
    <x v="27"/>
    <n v="23"/>
    <n v="2"/>
    <n v="55"/>
    <n v="0.2"/>
    <n v="0"/>
    <n v="0"/>
  </r>
  <r>
    <x v="3583"/>
    <n v="2"/>
    <n v="55"/>
    <n v="57"/>
    <n v="23"/>
    <n v="19"/>
    <x v="5"/>
    <n v="19"/>
    <n v="2"/>
    <n v="59"/>
    <n v="0.2"/>
    <n v="0"/>
    <n v="0"/>
  </r>
  <r>
    <x v="3584"/>
    <n v="2"/>
    <n v="59"/>
    <n v="61"/>
    <n v="19"/>
    <n v="16"/>
    <x v="33"/>
    <n v="25"/>
    <n v="-7"/>
    <n v="62"/>
    <n v="0"/>
    <n v="1"/>
    <n v="7"/>
  </r>
  <r>
    <x v="3585"/>
    <n v="-7"/>
    <n v="62"/>
    <n v="55"/>
    <n v="25"/>
    <n v="20"/>
    <x v="21"/>
    <n v="15"/>
    <n v="-2"/>
    <n v="67"/>
    <n v="0"/>
    <n v="1"/>
    <n v="2"/>
  </r>
  <r>
    <x v="3586"/>
    <n v="-2"/>
    <n v="67"/>
    <n v="65"/>
    <n v="15"/>
    <n v="23"/>
    <x v="5"/>
    <n v="25"/>
    <n v="-4"/>
    <n v="59"/>
    <n v="0"/>
    <n v="1"/>
    <n v="4"/>
  </r>
  <r>
    <x v="3587"/>
    <n v="-4"/>
    <n v="59"/>
    <n v="55"/>
    <n v="25"/>
    <n v="19"/>
    <x v="26"/>
    <n v="17"/>
    <n v="-2"/>
    <n v="65"/>
    <n v="0"/>
    <n v="1"/>
    <n v="2"/>
  </r>
  <r>
    <x v="3588"/>
    <n v="-2"/>
    <n v="65"/>
    <n v="63"/>
    <n v="17"/>
    <n v="25"/>
    <x v="24"/>
    <n v="10"/>
    <n v="13"/>
    <n v="57"/>
    <n v="1.3"/>
    <n v="0"/>
    <n v="0"/>
  </r>
  <r>
    <x v="3589"/>
    <n v="13"/>
    <n v="57"/>
    <n v="70"/>
    <n v="10"/>
    <n v="15"/>
    <x v="25"/>
    <n v="22"/>
    <n v="6"/>
    <n v="52"/>
    <n v="0.60000000000000009"/>
    <n v="0"/>
    <n v="0"/>
  </r>
  <r>
    <x v="3590"/>
    <n v="6"/>
    <n v="52"/>
    <n v="58"/>
    <n v="22"/>
    <n v="25"/>
    <x v="10"/>
    <n v="17"/>
    <n v="14"/>
    <n v="49"/>
    <n v="1.4000000000000001"/>
    <n v="0"/>
    <n v="0"/>
  </r>
  <r>
    <x v="3591"/>
    <n v="14"/>
    <n v="49"/>
    <n v="63"/>
    <n v="17"/>
    <n v="17"/>
    <x v="10"/>
    <n v="21"/>
    <n v="10"/>
    <n v="49"/>
    <n v="1"/>
    <n v="0"/>
    <n v="0"/>
  </r>
  <r>
    <x v="3592"/>
    <n v="10"/>
    <n v="49"/>
    <n v="59"/>
    <n v="21"/>
    <n v="10"/>
    <x v="4"/>
    <n v="15"/>
    <n v="5"/>
    <n v="60"/>
    <n v="0.5"/>
    <n v="0"/>
    <n v="0"/>
  </r>
  <r>
    <x v="3593"/>
    <n v="5"/>
    <n v="60"/>
    <n v="65"/>
    <n v="15"/>
    <n v="22"/>
    <x v="12"/>
    <n v="22"/>
    <n v="5"/>
    <n v="53"/>
    <n v="0.5"/>
    <n v="0"/>
    <n v="0"/>
  </r>
  <r>
    <x v="3594"/>
    <n v="5"/>
    <n v="53"/>
    <n v="58"/>
    <n v="22"/>
    <n v="17"/>
    <x v="28"/>
    <n v="23"/>
    <n v="-1"/>
    <n v="58"/>
    <n v="0"/>
    <n v="1"/>
    <n v="1"/>
  </r>
  <r>
    <x v="3595"/>
    <n v="-1"/>
    <n v="58"/>
    <n v="57"/>
    <n v="23"/>
    <n v="21"/>
    <x v="4"/>
    <n v="18"/>
    <n v="2"/>
    <n v="60"/>
    <n v="0.2"/>
    <n v="0"/>
    <n v="0"/>
  </r>
  <r>
    <x v="3596"/>
    <n v="2"/>
    <n v="60"/>
    <n v="62"/>
    <n v="18"/>
    <n v="15"/>
    <x v="22"/>
    <n v="30"/>
    <n v="-13"/>
    <n v="63"/>
    <n v="0"/>
    <n v="1"/>
    <n v="13"/>
  </r>
  <r>
    <x v="3597"/>
    <n v="-13"/>
    <n v="63"/>
    <n v="50"/>
    <n v="30"/>
    <n v="22"/>
    <x v="20"/>
    <n v="17"/>
    <n v="-8"/>
    <n v="71"/>
    <n v="0"/>
    <n v="1"/>
    <n v="8"/>
  </r>
  <r>
    <x v="3598"/>
    <n v="-8"/>
    <n v="71"/>
    <n v="63"/>
    <n v="17"/>
    <n v="23"/>
    <x v="26"/>
    <n v="19"/>
    <n v="-4"/>
    <n v="65"/>
    <n v="0"/>
    <n v="1"/>
    <n v="4"/>
  </r>
  <r>
    <x v="3599"/>
    <n v="-4"/>
    <n v="65"/>
    <n v="61"/>
    <n v="19"/>
    <n v="18"/>
    <x v="7"/>
    <n v="12"/>
    <n v="2"/>
    <n v="66"/>
    <n v="0.2"/>
    <n v="0"/>
    <n v="0"/>
  </r>
  <r>
    <x v="3600"/>
    <n v="2"/>
    <n v="66"/>
    <n v="68"/>
    <n v="12"/>
    <n v="30"/>
    <x v="15"/>
    <n v="28"/>
    <n v="4"/>
    <n v="48"/>
    <n v="0.4"/>
    <n v="0"/>
    <n v="0"/>
  </r>
  <r>
    <x v="3601"/>
    <n v="4"/>
    <n v="48"/>
    <n v="52"/>
    <n v="28"/>
    <n v="17"/>
    <x v="5"/>
    <n v="18"/>
    <n v="3"/>
    <n v="59"/>
    <n v="0.30000000000000004"/>
    <n v="0"/>
    <n v="0"/>
  </r>
  <r>
    <x v="3602"/>
    <n v="3"/>
    <n v="59"/>
    <n v="62"/>
    <n v="18"/>
    <n v="19"/>
    <x v="28"/>
    <n v="19"/>
    <n v="3"/>
    <n v="58"/>
    <n v="0.30000000000000004"/>
    <n v="0"/>
    <n v="0"/>
  </r>
  <r>
    <x v="3603"/>
    <n v="3"/>
    <n v="58"/>
    <n v="61"/>
    <n v="19"/>
    <n v="12"/>
    <x v="26"/>
    <n v="11"/>
    <n v="4"/>
    <n v="65"/>
    <n v="0.4"/>
    <n v="0"/>
    <n v="0"/>
  </r>
  <r>
    <x v="3604"/>
    <n v="4"/>
    <n v="65"/>
    <n v="69"/>
    <n v="11"/>
    <n v="28"/>
    <x v="15"/>
    <n v="17"/>
    <n v="15"/>
    <n v="48"/>
    <n v="1.5"/>
    <n v="0"/>
    <n v="0"/>
  </r>
  <r>
    <x v="3605"/>
    <n v="15"/>
    <n v="48"/>
    <n v="63"/>
    <n v="17"/>
    <n v="18"/>
    <x v="14"/>
    <n v="21"/>
    <n v="12"/>
    <n v="47"/>
    <n v="1.2000000000000002"/>
    <n v="0"/>
    <n v="0"/>
  </r>
  <r>
    <x v="3606"/>
    <n v="12"/>
    <n v="47"/>
    <n v="59"/>
    <n v="21"/>
    <n v="19"/>
    <x v="10"/>
    <n v="19"/>
    <n v="12"/>
    <n v="49"/>
    <n v="1.2000000000000002"/>
    <n v="0"/>
    <n v="0"/>
  </r>
  <r>
    <x v="3607"/>
    <n v="12"/>
    <n v="49"/>
    <n v="61"/>
    <n v="19"/>
    <n v="11"/>
    <x v="24"/>
    <n v="18"/>
    <n v="5"/>
    <n v="57"/>
    <n v="0.5"/>
    <n v="0"/>
    <n v="0"/>
  </r>
  <r>
    <x v="3608"/>
    <n v="5"/>
    <n v="57"/>
    <n v="62"/>
    <n v="18"/>
    <n v="17"/>
    <x v="28"/>
    <n v="22"/>
    <n v="0"/>
    <n v="58"/>
    <n v="0"/>
    <n v="0"/>
    <n v="0"/>
  </r>
  <r>
    <x v="3609"/>
    <n v="0"/>
    <n v="58"/>
    <n v="58"/>
    <n v="22"/>
    <n v="21"/>
    <x v="5"/>
    <n v="19"/>
    <n v="2"/>
    <n v="59"/>
    <n v="0.2"/>
    <n v="0"/>
    <n v="0"/>
  </r>
  <r>
    <x v="3610"/>
    <n v="2"/>
    <n v="59"/>
    <n v="61"/>
    <n v="19"/>
    <n v="19"/>
    <x v="5"/>
    <n v="12"/>
    <n v="9"/>
    <n v="59"/>
    <n v="0.9"/>
    <n v="0"/>
    <n v="0"/>
  </r>
  <r>
    <x v="3611"/>
    <n v="9"/>
    <n v="59"/>
    <n v="68"/>
    <n v="12"/>
    <n v="18"/>
    <x v="12"/>
    <n v="25"/>
    <n v="2"/>
    <n v="53"/>
    <n v="0.2"/>
    <n v="0"/>
    <n v="0"/>
  </r>
  <r>
    <x v="3612"/>
    <n v="2"/>
    <n v="53"/>
    <n v="55"/>
    <n v="25"/>
    <n v="22"/>
    <x v="32"/>
    <n v="21"/>
    <n v="3"/>
    <n v="56"/>
    <n v="0.30000000000000004"/>
    <n v="0"/>
    <n v="0"/>
  </r>
  <r>
    <x v="3613"/>
    <n v="3"/>
    <n v="56"/>
    <n v="59"/>
    <n v="21"/>
    <n v="19"/>
    <x v="28"/>
    <n v="12"/>
    <n v="10"/>
    <n v="58"/>
    <n v="1"/>
    <n v="0"/>
    <n v="0"/>
  </r>
  <r>
    <x v="3614"/>
    <n v="10"/>
    <n v="58"/>
    <n v="68"/>
    <n v="12"/>
    <n v="12"/>
    <x v="28"/>
    <n v="28"/>
    <n v="-6"/>
    <n v="58"/>
    <n v="0"/>
    <n v="1"/>
    <n v="6"/>
  </r>
  <r>
    <x v="3615"/>
    <n v="-6"/>
    <n v="58"/>
    <n v="52"/>
    <n v="28"/>
    <n v="25"/>
    <x v="23"/>
    <n v="22"/>
    <n v="-3"/>
    <n v="61"/>
    <n v="0"/>
    <n v="1"/>
    <n v="3"/>
  </r>
  <r>
    <x v="3616"/>
    <n v="-3"/>
    <n v="61"/>
    <n v="58"/>
    <n v="22"/>
    <n v="21"/>
    <x v="33"/>
    <n v="20"/>
    <n v="-2"/>
    <n v="62"/>
    <n v="0"/>
    <n v="1"/>
    <n v="2"/>
  </r>
  <r>
    <x v="3617"/>
    <n v="-2"/>
    <n v="62"/>
    <n v="60"/>
    <n v="20"/>
    <n v="12"/>
    <x v="6"/>
    <n v="20"/>
    <n v="-10"/>
    <n v="70"/>
    <n v="0"/>
    <n v="1"/>
    <n v="10"/>
  </r>
  <r>
    <x v="3618"/>
    <n v="-10"/>
    <n v="70"/>
    <n v="60"/>
    <n v="20"/>
    <n v="28"/>
    <x v="33"/>
    <n v="19"/>
    <n v="-1"/>
    <n v="62"/>
    <n v="0"/>
    <n v="1"/>
    <n v="1"/>
  </r>
  <r>
    <x v="3619"/>
    <n v="-1"/>
    <n v="62"/>
    <n v="61"/>
    <n v="19"/>
    <n v="22"/>
    <x v="5"/>
    <n v="22"/>
    <n v="-1"/>
    <n v="59"/>
    <n v="0"/>
    <n v="1"/>
    <n v="1"/>
  </r>
  <r>
    <x v="3620"/>
    <n v="-1"/>
    <n v="59"/>
    <n v="58"/>
    <n v="22"/>
    <n v="20"/>
    <x v="23"/>
    <n v="16"/>
    <n v="3"/>
    <n v="61"/>
    <n v="0.30000000000000004"/>
    <n v="0"/>
    <n v="0"/>
  </r>
  <r>
    <x v="3621"/>
    <n v="3"/>
    <n v="61"/>
    <n v="64"/>
    <n v="16"/>
    <n v="20"/>
    <x v="24"/>
    <n v="15"/>
    <n v="8"/>
    <n v="57"/>
    <n v="0.8"/>
    <n v="0"/>
    <n v="0"/>
  </r>
  <r>
    <x v="3622"/>
    <n v="8"/>
    <n v="57"/>
    <n v="65"/>
    <n v="15"/>
    <n v="19"/>
    <x v="12"/>
    <n v="17"/>
    <n v="10"/>
    <n v="53"/>
    <n v="1"/>
    <n v="0"/>
    <n v="0"/>
  </r>
  <r>
    <x v="3623"/>
    <n v="10"/>
    <n v="53"/>
    <n v="63"/>
    <n v="17"/>
    <n v="22"/>
    <x v="15"/>
    <n v="21"/>
    <n v="11"/>
    <n v="48"/>
    <n v="1.1000000000000001"/>
    <n v="0"/>
    <n v="0"/>
  </r>
  <r>
    <x v="3624"/>
    <n v="11"/>
    <n v="48"/>
    <n v="59"/>
    <n v="21"/>
    <n v="16"/>
    <x v="12"/>
    <n v="23"/>
    <n v="4"/>
    <n v="53"/>
    <n v="0.4"/>
    <n v="0"/>
    <n v="0"/>
  </r>
  <r>
    <x v="3625"/>
    <n v="4"/>
    <n v="53"/>
    <n v="57"/>
    <n v="23"/>
    <n v="15"/>
    <x v="23"/>
    <n v="22"/>
    <n v="-3"/>
    <n v="61"/>
    <n v="0"/>
    <n v="1"/>
    <n v="3"/>
  </r>
  <r>
    <x v="3626"/>
    <n v="-3"/>
    <n v="61"/>
    <n v="58"/>
    <n v="22"/>
    <n v="17"/>
    <x v="7"/>
    <n v="23"/>
    <n v="-9"/>
    <n v="66"/>
    <n v="0"/>
    <n v="1"/>
    <n v="9"/>
  </r>
  <r>
    <x v="3627"/>
    <n v="-9"/>
    <n v="66"/>
    <n v="57"/>
    <n v="23"/>
    <n v="21"/>
    <x v="17"/>
    <n v="18"/>
    <n v="-6"/>
    <n v="68"/>
    <n v="0"/>
    <n v="1"/>
    <n v="6"/>
  </r>
  <r>
    <x v="3628"/>
    <n v="-6"/>
    <n v="68"/>
    <n v="62"/>
    <n v="18"/>
    <n v="23"/>
    <x v="22"/>
    <n v="15"/>
    <n v="2"/>
    <n v="63"/>
    <n v="0.2"/>
    <n v="0"/>
    <n v="0"/>
  </r>
  <r>
    <x v="3629"/>
    <n v="2"/>
    <n v="63"/>
    <n v="65"/>
    <n v="15"/>
    <n v="22"/>
    <x v="32"/>
    <n v="33"/>
    <n v="-9"/>
    <n v="56"/>
    <n v="0"/>
    <n v="1"/>
    <n v="9"/>
  </r>
  <r>
    <x v="3630"/>
    <n v="-9"/>
    <n v="56"/>
    <n v="47"/>
    <n v="33"/>
    <n v="23"/>
    <x v="7"/>
    <n v="26"/>
    <n v="-12"/>
    <n v="66"/>
    <n v="0"/>
    <n v="1"/>
    <n v="12"/>
  </r>
  <r>
    <x v="3631"/>
    <n v="-12"/>
    <n v="66"/>
    <n v="54"/>
    <n v="26"/>
    <n v="18"/>
    <x v="39"/>
    <n v="16"/>
    <n v="-10"/>
    <n v="74"/>
    <n v="0"/>
    <n v="1"/>
    <n v="10"/>
  </r>
  <r>
    <x v="3632"/>
    <n v="-10"/>
    <n v="74"/>
    <n v="64"/>
    <n v="16"/>
    <n v="15"/>
    <x v="44"/>
    <n v="17"/>
    <n v="-12"/>
    <n v="75"/>
    <n v="0"/>
    <n v="1"/>
    <n v="12"/>
  </r>
  <r>
    <x v="3633"/>
    <n v="-12"/>
    <n v="75"/>
    <n v="63"/>
    <n v="17"/>
    <n v="33"/>
    <x v="5"/>
    <n v="18"/>
    <n v="3"/>
    <n v="59"/>
    <n v="0.30000000000000004"/>
    <n v="0"/>
    <n v="0"/>
  </r>
  <r>
    <x v="3634"/>
    <n v="3"/>
    <n v="59"/>
    <n v="62"/>
    <n v="18"/>
    <n v="26"/>
    <x v="9"/>
    <n v="27"/>
    <n v="2"/>
    <n v="51"/>
    <n v="0.2"/>
    <n v="0"/>
    <n v="0"/>
  </r>
  <r>
    <x v="3635"/>
    <n v="2"/>
    <n v="51"/>
    <n v="53"/>
    <n v="27"/>
    <n v="16"/>
    <x v="33"/>
    <n v="23"/>
    <n v="-5"/>
    <n v="62"/>
    <n v="0"/>
    <n v="1"/>
    <n v="5"/>
  </r>
  <r>
    <x v="3636"/>
    <n v="-5"/>
    <n v="62"/>
    <n v="57"/>
    <n v="23"/>
    <n v="17"/>
    <x v="17"/>
    <n v="23"/>
    <n v="-11"/>
    <n v="68"/>
    <n v="0"/>
    <n v="1"/>
    <n v="11"/>
  </r>
  <r>
    <x v="3637"/>
    <n v="-11"/>
    <n v="68"/>
    <n v="57"/>
    <n v="23"/>
    <n v="18"/>
    <x v="31"/>
    <n v="14"/>
    <n v="-7"/>
    <n v="73"/>
    <n v="0"/>
    <n v="1"/>
    <n v="7"/>
  </r>
  <r>
    <x v="3638"/>
    <n v="-7"/>
    <n v="73"/>
    <n v="66"/>
    <n v="14"/>
    <n v="27"/>
    <x v="4"/>
    <n v="19"/>
    <n v="1"/>
    <n v="60"/>
    <n v="0.1"/>
    <n v="0"/>
    <n v="0"/>
  </r>
  <r>
    <x v="3639"/>
    <n v="1"/>
    <n v="60"/>
    <n v="61"/>
    <n v="19"/>
    <n v="23"/>
    <x v="32"/>
    <n v="22"/>
    <n v="2"/>
    <n v="56"/>
    <n v="0.2"/>
    <n v="0"/>
    <n v="0"/>
  </r>
  <r>
    <x v="3640"/>
    <n v="2"/>
    <n v="56"/>
    <n v="58"/>
    <n v="22"/>
    <n v="23"/>
    <x v="27"/>
    <n v="19"/>
    <n v="6"/>
    <n v="55"/>
    <n v="0.60000000000000009"/>
    <n v="0"/>
    <n v="0"/>
  </r>
  <r>
    <x v="3641"/>
    <n v="6"/>
    <n v="55"/>
    <n v="61"/>
    <n v="19"/>
    <n v="14"/>
    <x v="4"/>
    <n v="18"/>
    <n v="2"/>
    <n v="60"/>
    <n v="0.2"/>
    <n v="0"/>
    <n v="0"/>
  </r>
  <r>
    <x v="3642"/>
    <n v="2"/>
    <n v="60"/>
    <n v="62"/>
    <n v="18"/>
    <n v="19"/>
    <x v="5"/>
    <n v="16"/>
    <n v="5"/>
    <n v="59"/>
    <n v="0.5"/>
    <n v="0"/>
    <n v="0"/>
  </r>
  <r>
    <x v="3643"/>
    <n v="5"/>
    <n v="59"/>
    <n v="64"/>
    <n v="16"/>
    <n v="22"/>
    <x v="12"/>
    <n v="18"/>
    <n v="9"/>
    <n v="53"/>
    <n v="0.9"/>
    <n v="0"/>
    <n v="0"/>
  </r>
  <r>
    <x v="3644"/>
    <n v="9"/>
    <n v="53"/>
    <n v="62"/>
    <n v="18"/>
    <n v="19"/>
    <x v="25"/>
    <n v="17"/>
    <n v="11"/>
    <n v="52"/>
    <n v="1.1000000000000001"/>
    <n v="0"/>
    <n v="0"/>
  </r>
  <r>
    <x v="3645"/>
    <n v="11"/>
    <n v="52"/>
    <n v="63"/>
    <n v="17"/>
    <n v="18"/>
    <x v="9"/>
    <n v="19"/>
    <n v="10"/>
    <n v="51"/>
    <n v="1"/>
    <n v="0"/>
    <n v="0"/>
  </r>
  <r>
    <x v="3646"/>
    <n v="10"/>
    <n v="51"/>
    <n v="61"/>
    <n v="19"/>
    <n v="16"/>
    <x v="16"/>
    <n v="20"/>
    <n v="6"/>
    <n v="54"/>
    <n v="0.60000000000000009"/>
    <n v="0"/>
    <n v="0"/>
  </r>
  <r>
    <x v="3647"/>
    <n v="6"/>
    <n v="54"/>
    <n v="60"/>
    <n v="20"/>
    <n v="18"/>
    <x v="32"/>
    <n v="21"/>
    <n v="3"/>
    <n v="56"/>
    <n v="0.30000000000000004"/>
    <n v="0"/>
    <n v="0"/>
  </r>
  <r>
    <x v="3648"/>
    <n v="3"/>
    <n v="56"/>
    <n v="59"/>
    <n v="21"/>
    <n v="17"/>
    <x v="4"/>
    <n v="18"/>
    <n v="2"/>
    <n v="60"/>
    <n v="0.2"/>
    <n v="0"/>
    <n v="0"/>
  </r>
  <r>
    <x v="3649"/>
    <n v="2"/>
    <n v="60"/>
    <n v="62"/>
    <n v="18"/>
    <n v="19"/>
    <x v="5"/>
    <n v="18"/>
    <n v="3"/>
    <n v="59"/>
    <n v="0.30000000000000004"/>
    <n v="0"/>
    <n v="0"/>
  </r>
  <r>
    <x v="3650"/>
    <n v="3"/>
    <n v="59"/>
    <n v="62"/>
    <n v="18"/>
    <n v="20"/>
    <x v="24"/>
    <n v="18"/>
    <n v="5"/>
    <n v="57"/>
    <n v="0.5"/>
    <n v="0"/>
    <n v="0"/>
  </r>
  <r>
    <x v="3651"/>
    <n v="5"/>
    <n v="57"/>
    <n v="62"/>
    <n v="18"/>
    <n v="21"/>
    <x v="16"/>
    <n v="27"/>
    <n v="-1"/>
    <n v="54"/>
    <n v="0"/>
    <n v="1"/>
    <n v="1"/>
  </r>
  <r>
    <x v="3652"/>
    <n v="-1"/>
    <n v="54"/>
    <n v="53"/>
    <n v="27"/>
    <n v="18"/>
    <x v="22"/>
    <n v="19"/>
    <n v="-2"/>
    <n v="63"/>
    <n v="0"/>
    <n v="1"/>
    <n v="2"/>
  </r>
  <r>
    <x v="3653"/>
    <n v="-2"/>
    <n v="63"/>
    <n v="61"/>
    <n v="19"/>
    <n v="18"/>
    <x v="8"/>
    <n v="20"/>
    <n v="-4"/>
    <n v="64"/>
    <n v="0"/>
    <n v="1"/>
    <n v="4"/>
  </r>
  <r>
    <x v="3654"/>
    <n v="-4"/>
    <n v="64"/>
    <n v="60"/>
    <n v="20"/>
    <n v="18"/>
    <x v="7"/>
    <n v="18"/>
    <n v="-4"/>
    <n v="66"/>
    <n v="0"/>
    <n v="1"/>
    <n v="4"/>
  </r>
  <r>
    <x v="3655"/>
    <n v="-4"/>
    <n v="66"/>
    <n v="62"/>
    <n v="18"/>
    <n v="27"/>
    <x v="24"/>
    <n v="11"/>
    <n v="12"/>
    <n v="57"/>
    <n v="1.2000000000000002"/>
    <n v="0"/>
    <n v="0"/>
  </r>
  <r>
    <x v="3656"/>
    <n v="12"/>
    <n v="57"/>
    <n v="69"/>
    <n v="11"/>
    <n v="19"/>
    <x v="10"/>
    <n v="26"/>
    <n v="5"/>
    <n v="49"/>
    <n v="0.5"/>
    <n v="0"/>
    <n v="0"/>
  </r>
  <r>
    <x v="3657"/>
    <n v="5"/>
    <n v="49"/>
    <n v="54"/>
    <n v="26"/>
    <n v="20"/>
    <x v="27"/>
    <n v="21"/>
    <n v="4"/>
    <n v="55"/>
    <n v="0.4"/>
    <n v="0"/>
    <n v="0"/>
  </r>
  <r>
    <x v="3658"/>
    <n v="4"/>
    <n v="55"/>
    <n v="59"/>
    <n v="21"/>
    <n v="18"/>
    <x v="28"/>
    <n v="32"/>
    <n v="-10"/>
    <n v="58"/>
    <n v="0"/>
    <n v="1"/>
    <n v="10"/>
  </r>
  <r>
    <x v="3659"/>
    <n v="-10"/>
    <n v="58"/>
    <n v="48"/>
    <n v="32"/>
    <n v="11"/>
    <x v="43"/>
    <n v="18"/>
    <n v="-17"/>
    <n v="79"/>
    <n v="0"/>
    <n v="1"/>
    <n v="17"/>
  </r>
  <r>
    <x v="3660"/>
    <n v="-17"/>
    <n v="79"/>
    <n v="62"/>
    <n v="18"/>
    <n v="26"/>
    <x v="20"/>
    <n v="14"/>
    <n v="-5"/>
    <n v="71"/>
    <n v="0"/>
    <n v="1"/>
    <n v="5"/>
  </r>
  <r>
    <x v="3661"/>
    <n v="-5"/>
    <n v="71"/>
    <n v="66"/>
    <n v="14"/>
    <n v="21"/>
    <x v="8"/>
    <n v="14"/>
    <n v="2"/>
    <n v="64"/>
    <n v="0.2"/>
    <n v="0"/>
    <n v="0"/>
  </r>
  <r>
    <x v="3662"/>
    <n v="2"/>
    <n v="64"/>
    <n v="66"/>
    <n v="14"/>
    <n v="32"/>
    <x v="38"/>
    <n v="19"/>
    <n v="15"/>
    <n v="46"/>
    <n v="1.5"/>
    <n v="0"/>
    <n v="0"/>
  </r>
  <r>
    <x v="3663"/>
    <n v="15"/>
    <n v="46"/>
    <n v="61"/>
    <n v="19"/>
    <n v="18"/>
    <x v="14"/>
    <n v="25"/>
    <n v="8"/>
    <n v="47"/>
    <n v="0.8"/>
    <n v="0"/>
    <n v="0"/>
  </r>
  <r>
    <x v="3664"/>
    <n v="8"/>
    <n v="47"/>
    <n v="55"/>
    <n v="25"/>
    <n v="14"/>
    <x v="28"/>
    <n v="12"/>
    <n v="10"/>
    <n v="58"/>
    <n v="1"/>
    <n v="0"/>
    <n v="0"/>
  </r>
  <r>
    <x v="3665"/>
    <n v="10"/>
    <n v="58"/>
    <n v="68"/>
    <n v="12"/>
    <n v="14"/>
    <x v="32"/>
    <n v="18"/>
    <n v="6"/>
    <n v="56"/>
    <n v="0.60000000000000009"/>
    <n v="0"/>
    <n v="0"/>
  </r>
  <r>
    <x v="3666"/>
    <n v="6"/>
    <n v="56"/>
    <n v="62"/>
    <n v="18"/>
    <n v="19"/>
    <x v="27"/>
    <n v="19"/>
    <n v="6"/>
    <n v="55"/>
    <n v="0.60000000000000009"/>
    <n v="0"/>
    <n v="0"/>
  </r>
  <r>
    <x v="3667"/>
    <n v="6"/>
    <n v="55"/>
    <n v="61"/>
    <n v="19"/>
    <n v="25"/>
    <x v="10"/>
    <n v="18"/>
    <n v="13"/>
    <n v="49"/>
    <n v="1.3"/>
    <n v="0"/>
    <n v="0"/>
  </r>
  <r>
    <x v="3668"/>
    <n v="13"/>
    <n v="49"/>
    <n v="62"/>
    <n v="18"/>
    <n v="12"/>
    <x v="27"/>
    <n v="24"/>
    <n v="1"/>
    <n v="55"/>
    <n v="0.1"/>
    <n v="0"/>
    <n v="0"/>
  </r>
  <r>
    <x v="3669"/>
    <n v="1"/>
    <n v="55"/>
    <n v="56"/>
    <n v="24"/>
    <n v="18"/>
    <x v="23"/>
    <n v="19"/>
    <n v="0"/>
    <n v="61"/>
    <n v="0"/>
    <n v="0"/>
    <n v="0"/>
  </r>
  <r>
    <x v="3670"/>
    <n v="0"/>
    <n v="61"/>
    <n v="61"/>
    <n v="19"/>
    <n v="19"/>
    <x v="23"/>
    <n v="21"/>
    <n v="-2"/>
    <n v="61"/>
    <n v="0"/>
    <n v="1"/>
    <n v="2"/>
  </r>
  <r>
    <x v="3671"/>
    <n v="-2"/>
    <n v="61"/>
    <n v="59"/>
    <n v="21"/>
    <n v="18"/>
    <x v="8"/>
    <n v="18"/>
    <n v="-2"/>
    <n v="64"/>
    <n v="0"/>
    <n v="1"/>
    <n v="2"/>
  </r>
  <r>
    <x v="3672"/>
    <n v="-2"/>
    <n v="64"/>
    <n v="62"/>
    <n v="18"/>
    <n v="24"/>
    <x v="28"/>
    <n v="12"/>
    <n v="10"/>
    <n v="58"/>
    <n v="1"/>
    <n v="0"/>
    <n v="0"/>
  </r>
  <r>
    <x v="3673"/>
    <n v="10"/>
    <n v="58"/>
    <n v="68"/>
    <n v="12"/>
    <n v="19"/>
    <x v="9"/>
    <n v="12"/>
    <n v="17"/>
    <n v="51"/>
    <n v="1.7000000000000002"/>
    <n v="0"/>
    <n v="0"/>
  </r>
  <r>
    <x v="3674"/>
    <n v="17"/>
    <n v="51"/>
    <n v="68"/>
    <n v="12"/>
    <n v="21"/>
    <x v="40"/>
    <n v="19"/>
    <n v="19"/>
    <n v="42"/>
    <n v="1.9000000000000001"/>
    <n v="0"/>
    <n v="0"/>
  </r>
  <r>
    <x v="3675"/>
    <n v="19"/>
    <n v="42"/>
    <n v="61"/>
    <n v="19"/>
    <n v="18"/>
    <x v="51"/>
    <n v="18"/>
    <n v="19"/>
    <n v="43"/>
    <n v="1.9000000000000001"/>
    <n v="0"/>
    <n v="0"/>
  </r>
  <r>
    <x v="3676"/>
    <n v="19"/>
    <n v="43"/>
    <n v="62"/>
    <n v="18"/>
    <n v="12"/>
    <x v="10"/>
    <n v="23"/>
    <n v="8"/>
    <n v="49"/>
    <n v="0.8"/>
    <n v="0"/>
    <n v="0"/>
  </r>
  <r>
    <x v="3677"/>
    <n v="8"/>
    <n v="49"/>
    <n v="57"/>
    <n v="23"/>
    <n v="12"/>
    <x v="4"/>
    <n v="22"/>
    <n v="-2"/>
    <n v="60"/>
    <n v="0"/>
    <n v="1"/>
    <n v="2"/>
  </r>
  <r>
    <x v="3678"/>
    <n v="-2"/>
    <n v="60"/>
    <n v="58"/>
    <n v="22"/>
    <n v="19"/>
    <x v="22"/>
    <n v="30"/>
    <n v="-13"/>
    <n v="63"/>
    <n v="0"/>
    <n v="1"/>
    <n v="13"/>
  </r>
  <r>
    <x v="3679"/>
    <n v="-13"/>
    <n v="63"/>
    <n v="50"/>
    <n v="30"/>
    <n v="18"/>
    <x v="44"/>
    <n v="21"/>
    <n v="-16"/>
    <n v="75"/>
    <n v="0"/>
    <n v="1"/>
    <n v="16"/>
  </r>
  <r>
    <x v="3680"/>
    <n v="-16"/>
    <n v="75"/>
    <n v="59"/>
    <n v="21"/>
    <n v="23"/>
    <x v="31"/>
    <n v="17"/>
    <n v="-10"/>
    <n v="73"/>
    <n v="0"/>
    <n v="1"/>
    <n v="10"/>
  </r>
  <r>
    <x v="3681"/>
    <n v="-10"/>
    <n v="73"/>
    <n v="63"/>
    <n v="17"/>
    <n v="22"/>
    <x v="17"/>
    <n v="24"/>
    <n v="-12"/>
    <n v="68"/>
    <n v="0"/>
    <n v="1"/>
    <n v="12"/>
  </r>
  <r>
    <x v="3682"/>
    <n v="-12"/>
    <n v="68"/>
    <n v="56"/>
    <n v="24"/>
    <n v="30"/>
    <x v="33"/>
    <n v="17"/>
    <n v="1"/>
    <n v="62"/>
    <n v="0.1"/>
    <n v="0"/>
    <n v="0"/>
  </r>
  <r>
    <x v="3683"/>
    <n v="1"/>
    <n v="62"/>
    <n v="63"/>
    <n v="17"/>
    <n v="21"/>
    <x v="28"/>
    <n v="22"/>
    <n v="0"/>
    <n v="58"/>
    <n v="0"/>
    <n v="0"/>
    <n v="0"/>
  </r>
  <r>
    <x v="3684"/>
    <n v="0"/>
    <n v="58"/>
    <n v="58"/>
    <n v="22"/>
    <n v="17"/>
    <x v="22"/>
    <n v="25"/>
    <n v="-8"/>
    <n v="63"/>
    <n v="0"/>
    <n v="1"/>
    <n v="8"/>
  </r>
  <r>
    <x v="3685"/>
    <n v="-8"/>
    <n v="63"/>
    <n v="55"/>
    <n v="25"/>
    <n v="24"/>
    <x v="8"/>
    <n v="21"/>
    <n v="-5"/>
    <n v="64"/>
    <n v="0"/>
    <n v="1"/>
    <n v="5"/>
  </r>
  <r>
    <x v="3686"/>
    <n v="-5"/>
    <n v="64"/>
    <n v="59"/>
    <n v="21"/>
    <n v="17"/>
    <x v="17"/>
    <n v="31"/>
    <n v="-19"/>
    <n v="68"/>
    <n v="0"/>
    <n v="1"/>
    <n v="19"/>
  </r>
  <r>
    <x v="3687"/>
    <n v="-19"/>
    <n v="68"/>
    <n v="49"/>
    <n v="31"/>
    <n v="22"/>
    <x v="18"/>
    <n v="25"/>
    <n v="-22"/>
    <n v="77"/>
    <n v="0"/>
    <n v="1"/>
    <n v="22"/>
  </r>
  <r>
    <x v="3688"/>
    <n v="-22"/>
    <n v="77"/>
    <n v="55"/>
    <n v="25"/>
    <n v="25"/>
    <x v="18"/>
    <n v="23"/>
    <n v="-20"/>
    <n v="77"/>
    <n v="0"/>
    <n v="1"/>
    <n v="20"/>
  </r>
  <r>
    <x v="3689"/>
    <n v="-20"/>
    <n v="77"/>
    <n v="57"/>
    <n v="23"/>
    <n v="21"/>
    <x v="43"/>
    <n v="18"/>
    <n v="-17"/>
    <n v="79"/>
    <n v="0"/>
    <n v="1"/>
    <n v="17"/>
  </r>
  <r>
    <x v="3690"/>
    <n v="-17"/>
    <n v="79"/>
    <n v="62"/>
    <n v="18"/>
    <n v="31"/>
    <x v="7"/>
    <n v="25"/>
    <n v="-11"/>
    <n v="66"/>
    <n v="0"/>
    <n v="1"/>
    <n v="11"/>
  </r>
  <r>
    <x v="3691"/>
    <n v="-11"/>
    <n v="66"/>
    <n v="55"/>
    <n v="25"/>
    <n v="25"/>
    <x v="7"/>
    <n v="14"/>
    <n v="0"/>
    <n v="66"/>
    <n v="0"/>
    <n v="0"/>
    <n v="0"/>
  </r>
  <r>
    <x v="3692"/>
    <n v="0"/>
    <n v="66"/>
    <n v="66"/>
    <n v="14"/>
    <n v="23"/>
    <x v="24"/>
    <n v="22"/>
    <n v="1"/>
    <n v="57"/>
    <n v="0.1"/>
    <n v="0"/>
    <n v="0"/>
  </r>
  <r>
    <x v="3693"/>
    <n v="1"/>
    <n v="57"/>
    <n v="58"/>
    <n v="22"/>
    <n v="18"/>
    <x v="23"/>
    <n v="25"/>
    <n v="-6"/>
    <n v="61"/>
    <n v="0"/>
    <n v="1"/>
    <n v="6"/>
  </r>
  <r>
    <x v="3694"/>
    <n v="-6"/>
    <n v="61"/>
    <n v="55"/>
    <n v="25"/>
    <n v="25"/>
    <x v="23"/>
    <n v="13"/>
    <n v="6"/>
    <n v="61"/>
    <n v="0.60000000000000009"/>
    <n v="0"/>
    <n v="0"/>
  </r>
  <r>
    <x v="3695"/>
    <n v="6"/>
    <n v="61"/>
    <n v="67"/>
    <n v="13"/>
    <n v="14"/>
    <x v="4"/>
    <n v="26"/>
    <n v="-6"/>
    <n v="60"/>
    <n v="0"/>
    <n v="1"/>
    <n v="6"/>
  </r>
  <r>
    <x v="3696"/>
    <n v="-6"/>
    <n v="60"/>
    <n v="54"/>
    <n v="26"/>
    <n v="22"/>
    <x v="8"/>
    <n v="21"/>
    <n v="-5"/>
    <n v="64"/>
    <n v="0"/>
    <n v="1"/>
    <n v="5"/>
  </r>
  <r>
    <x v="3697"/>
    <n v="-5"/>
    <n v="64"/>
    <n v="59"/>
    <n v="21"/>
    <n v="25"/>
    <x v="4"/>
    <n v="20"/>
    <n v="0"/>
    <n v="60"/>
    <n v="0"/>
    <n v="0"/>
    <n v="0"/>
  </r>
  <r>
    <x v="3698"/>
    <n v="0"/>
    <n v="60"/>
    <n v="60"/>
    <n v="20"/>
    <n v="13"/>
    <x v="21"/>
    <n v="19"/>
    <n v="-6"/>
    <n v="67"/>
    <n v="0"/>
    <n v="1"/>
    <n v="6"/>
  </r>
  <r>
    <x v="3699"/>
    <n v="-6"/>
    <n v="67"/>
    <n v="61"/>
    <n v="19"/>
    <n v="26"/>
    <x v="4"/>
    <n v="16"/>
    <n v="4"/>
    <n v="60"/>
    <n v="0.4"/>
    <n v="0"/>
    <n v="0"/>
  </r>
  <r>
    <x v="3700"/>
    <n v="4"/>
    <n v="60"/>
    <n v="64"/>
    <n v="16"/>
    <n v="21"/>
    <x v="27"/>
    <n v="17"/>
    <n v="8"/>
    <n v="55"/>
    <n v="0.8"/>
    <n v="0"/>
    <n v="0"/>
  </r>
  <r>
    <x v="3701"/>
    <n v="8"/>
    <n v="55"/>
    <n v="63"/>
    <n v="17"/>
    <n v="20"/>
    <x v="25"/>
    <n v="21"/>
    <n v="7"/>
    <n v="52"/>
    <n v="0.70000000000000007"/>
    <n v="0"/>
    <n v="0"/>
  </r>
  <r>
    <x v="3702"/>
    <n v="7"/>
    <n v="52"/>
    <n v="59"/>
    <n v="21"/>
    <n v="19"/>
    <x v="16"/>
    <n v="19"/>
    <n v="7"/>
    <n v="54"/>
    <n v="0.70000000000000007"/>
    <n v="0"/>
    <n v="0"/>
  </r>
  <r>
    <x v="3703"/>
    <n v="7"/>
    <n v="54"/>
    <n v="61"/>
    <n v="19"/>
    <n v="16"/>
    <x v="24"/>
    <n v="21"/>
    <n v="2"/>
    <n v="57"/>
    <n v="0.2"/>
    <n v="0"/>
    <n v="0"/>
  </r>
  <r>
    <x v="3704"/>
    <n v="2"/>
    <n v="57"/>
    <n v="59"/>
    <n v="21"/>
    <n v="17"/>
    <x v="23"/>
    <n v="12"/>
    <n v="7"/>
    <n v="61"/>
    <n v="0.70000000000000007"/>
    <n v="0"/>
    <n v="0"/>
  </r>
  <r>
    <x v="3705"/>
    <n v="7"/>
    <n v="61"/>
    <n v="68"/>
    <n v="12"/>
    <n v="21"/>
    <x v="25"/>
    <n v="22"/>
    <n v="6"/>
    <n v="52"/>
    <n v="0.60000000000000009"/>
    <n v="0"/>
    <n v="0"/>
  </r>
  <r>
    <x v="3706"/>
    <n v="6"/>
    <n v="52"/>
    <n v="58"/>
    <n v="22"/>
    <n v="19"/>
    <x v="27"/>
    <n v="18"/>
    <n v="7"/>
    <n v="55"/>
    <n v="0.70000000000000007"/>
    <n v="0"/>
    <n v="0"/>
  </r>
  <r>
    <x v="3707"/>
    <n v="7"/>
    <n v="55"/>
    <n v="62"/>
    <n v="18"/>
    <n v="21"/>
    <x v="25"/>
    <n v="17"/>
    <n v="11"/>
    <n v="52"/>
    <n v="1.1000000000000001"/>
    <n v="0"/>
    <n v="0"/>
  </r>
  <r>
    <x v="3708"/>
    <n v="11"/>
    <n v="52"/>
    <n v="63"/>
    <n v="17"/>
    <n v="12"/>
    <x v="24"/>
    <n v="26"/>
    <n v="-3"/>
    <n v="57"/>
    <n v="0"/>
    <n v="1"/>
    <n v="3"/>
  </r>
  <r>
    <x v="3709"/>
    <n v="-3"/>
    <n v="57"/>
    <n v="54"/>
    <n v="26"/>
    <n v="22"/>
    <x v="23"/>
    <n v="22"/>
    <n v="-3"/>
    <n v="61"/>
    <n v="0"/>
    <n v="1"/>
    <n v="3"/>
  </r>
  <r>
    <x v="3710"/>
    <n v="-3"/>
    <n v="61"/>
    <n v="58"/>
    <n v="22"/>
    <n v="18"/>
    <x v="26"/>
    <n v="24"/>
    <n v="-9"/>
    <n v="65"/>
    <n v="0"/>
    <n v="1"/>
    <n v="9"/>
  </r>
  <r>
    <x v="3711"/>
    <n v="-9"/>
    <n v="65"/>
    <n v="56"/>
    <n v="24"/>
    <n v="17"/>
    <x v="29"/>
    <n v="17"/>
    <n v="-9"/>
    <n v="72"/>
    <n v="0"/>
    <n v="1"/>
    <n v="9"/>
  </r>
  <r>
    <x v="3712"/>
    <n v="-9"/>
    <n v="72"/>
    <n v="63"/>
    <n v="17"/>
    <n v="26"/>
    <x v="22"/>
    <n v="24"/>
    <n v="-7"/>
    <n v="63"/>
    <n v="0"/>
    <n v="1"/>
    <n v="7"/>
  </r>
  <r>
    <x v="3713"/>
    <n v="-7"/>
    <n v="63"/>
    <n v="56"/>
    <n v="24"/>
    <n v="22"/>
    <x v="26"/>
    <n v="20"/>
    <n v="-5"/>
    <n v="65"/>
    <n v="0"/>
    <n v="1"/>
    <n v="5"/>
  </r>
  <r>
    <x v="3714"/>
    <n v="-5"/>
    <n v="65"/>
    <n v="60"/>
    <n v="20"/>
    <n v="24"/>
    <x v="23"/>
    <n v="18"/>
    <n v="1"/>
    <n v="61"/>
    <n v="0.1"/>
    <n v="0"/>
    <n v="0"/>
  </r>
  <r>
    <x v="3715"/>
    <n v="1"/>
    <n v="61"/>
    <n v="62"/>
    <n v="18"/>
    <n v="17"/>
    <x v="33"/>
    <n v="20"/>
    <n v="-2"/>
    <n v="62"/>
    <n v="0"/>
    <n v="1"/>
    <n v="2"/>
  </r>
  <r>
    <x v="3716"/>
    <n v="-2"/>
    <n v="62"/>
    <n v="60"/>
    <n v="20"/>
    <n v="24"/>
    <x v="28"/>
    <n v="17"/>
    <n v="5"/>
    <n v="58"/>
    <n v="0.5"/>
    <n v="0"/>
    <n v="0"/>
  </r>
  <r>
    <x v="3717"/>
    <n v="5"/>
    <n v="58"/>
    <n v="63"/>
    <n v="17"/>
    <n v="20"/>
    <x v="27"/>
    <n v="12"/>
    <n v="13"/>
    <n v="55"/>
    <n v="1.3"/>
    <n v="0"/>
    <n v="0"/>
  </r>
  <r>
    <x v="3718"/>
    <n v="13"/>
    <n v="55"/>
    <n v="68"/>
    <n v="12"/>
    <n v="18"/>
    <x v="10"/>
    <n v="20"/>
    <n v="11"/>
    <n v="49"/>
    <n v="1.1000000000000001"/>
    <n v="0"/>
    <n v="0"/>
  </r>
  <r>
    <x v="3719"/>
    <n v="11"/>
    <n v="49"/>
    <n v="60"/>
    <n v="20"/>
    <n v="20"/>
    <x v="10"/>
    <n v="16"/>
    <n v="15"/>
    <n v="49"/>
    <n v="1.5"/>
    <n v="0"/>
    <n v="0"/>
  </r>
  <r>
    <x v="3720"/>
    <n v="15"/>
    <n v="49"/>
    <n v="64"/>
    <n v="16"/>
    <n v="17"/>
    <x v="15"/>
    <n v="15"/>
    <n v="17"/>
    <n v="48"/>
    <n v="1.7000000000000002"/>
    <n v="0"/>
    <n v="0"/>
  </r>
  <r>
    <x v="3721"/>
    <n v="17"/>
    <n v="48"/>
    <n v="65"/>
    <n v="15"/>
    <n v="12"/>
    <x v="9"/>
    <n v="17"/>
    <n v="12"/>
    <n v="51"/>
    <n v="1.2000000000000002"/>
    <n v="0"/>
    <n v="0"/>
  </r>
  <r>
    <x v="3722"/>
    <n v="12"/>
    <n v="51"/>
    <n v="63"/>
    <n v="17"/>
    <n v="20"/>
    <x v="15"/>
    <n v="23"/>
    <n v="9"/>
    <n v="48"/>
    <n v="0.9"/>
    <n v="0"/>
    <n v="0"/>
  </r>
  <r>
    <x v="3723"/>
    <n v="9"/>
    <n v="48"/>
    <n v="57"/>
    <n v="23"/>
    <n v="16"/>
    <x v="27"/>
    <n v="22"/>
    <n v="3"/>
    <n v="55"/>
    <n v="0.30000000000000004"/>
    <n v="0"/>
    <n v="0"/>
  </r>
  <r>
    <x v="3724"/>
    <n v="3"/>
    <n v="55"/>
    <n v="58"/>
    <n v="22"/>
    <n v="15"/>
    <x v="33"/>
    <n v="22"/>
    <n v="-4"/>
    <n v="62"/>
    <n v="0"/>
    <n v="1"/>
    <n v="4"/>
  </r>
  <r>
    <x v="3725"/>
    <n v="-4"/>
    <n v="62"/>
    <n v="58"/>
    <n v="22"/>
    <n v="17"/>
    <x v="21"/>
    <n v="32"/>
    <n v="-19"/>
    <n v="67"/>
    <n v="0"/>
    <n v="1"/>
    <n v="19"/>
  </r>
  <r>
    <x v="3726"/>
    <n v="-19"/>
    <n v="67"/>
    <n v="48"/>
    <n v="32"/>
    <n v="23"/>
    <x v="37"/>
    <n v="20"/>
    <n v="-16"/>
    <n v="76"/>
    <n v="0"/>
    <n v="1"/>
    <n v="16"/>
  </r>
  <r>
    <x v="3727"/>
    <n v="-16"/>
    <n v="76"/>
    <n v="60"/>
    <n v="20"/>
    <n v="22"/>
    <x v="39"/>
    <n v="27"/>
    <n v="-21"/>
    <n v="74"/>
    <n v="0"/>
    <n v="1"/>
    <n v="21"/>
  </r>
  <r>
    <x v="3728"/>
    <n v="-21"/>
    <n v="74"/>
    <n v="53"/>
    <n v="27"/>
    <n v="22"/>
    <x v="43"/>
    <n v="17"/>
    <n v="-16"/>
    <n v="79"/>
    <n v="0"/>
    <n v="1"/>
    <n v="16"/>
  </r>
  <r>
    <x v="3729"/>
    <n v="-16"/>
    <n v="79"/>
    <n v="63"/>
    <n v="17"/>
    <n v="32"/>
    <x v="8"/>
    <n v="17"/>
    <n v="-1"/>
    <n v="64"/>
    <n v="0"/>
    <n v="1"/>
    <n v="1"/>
  </r>
  <r>
    <x v="3730"/>
    <n v="-1"/>
    <n v="64"/>
    <n v="63"/>
    <n v="17"/>
    <n v="20"/>
    <x v="23"/>
    <n v="14"/>
    <n v="5"/>
    <n v="61"/>
    <n v="0.5"/>
    <n v="0"/>
    <n v="0"/>
  </r>
  <r>
    <x v="3731"/>
    <n v="5"/>
    <n v="61"/>
    <n v="66"/>
    <n v="14"/>
    <n v="27"/>
    <x v="15"/>
    <n v="21"/>
    <n v="11"/>
    <n v="48"/>
    <n v="1.1000000000000001"/>
    <n v="0"/>
    <n v="0"/>
  </r>
  <r>
    <x v="3732"/>
    <n v="11"/>
    <n v="48"/>
    <n v="59"/>
    <n v="21"/>
    <n v="17"/>
    <x v="25"/>
    <n v="21"/>
    <n v="7"/>
    <n v="52"/>
    <n v="0.70000000000000007"/>
    <n v="0"/>
    <n v="0"/>
  </r>
  <r>
    <x v="3733"/>
    <n v="7"/>
    <n v="52"/>
    <n v="59"/>
    <n v="21"/>
    <n v="17"/>
    <x v="32"/>
    <n v="25"/>
    <n v="-1"/>
    <n v="56"/>
    <n v="0"/>
    <n v="1"/>
    <n v="1"/>
  </r>
  <r>
    <x v="3734"/>
    <n v="-1"/>
    <n v="56"/>
    <n v="55"/>
    <n v="25"/>
    <n v="14"/>
    <x v="21"/>
    <n v="26"/>
    <n v="-13"/>
    <n v="67"/>
    <n v="0"/>
    <n v="1"/>
    <n v="13"/>
  </r>
  <r>
    <x v="3735"/>
    <n v="-13"/>
    <n v="67"/>
    <n v="54"/>
    <n v="26"/>
    <n v="21"/>
    <x v="29"/>
    <n v="24"/>
    <n v="-16"/>
    <n v="72"/>
    <n v="0"/>
    <n v="1"/>
    <n v="16"/>
  </r>
  <r>
    <x v="3736"/>
    <n v="-16"/>
    <n v="72"/>
    <n v="56"/>
    <n v="24"/>
    <n v="21"/>
    <x v="44"/>
    <n v="20"/>
    <n v="-15"/>
    <n v="75"/>
    <n v="0"/>
    <n v="1"/>
    <n v="15"/>
  </r>
  <r>
    <x v="3737"/>
    <n v="-15"/>
    <n v="75"/>
    <n v="60"/>
    <n v="20"/>
    <n v="25"/>
    <x v="6"/>
    <n v="19"/>
    <n v="-9"/>
    <n v="70"/>
    <n v="0"/>
    <n v="1"/>
    <n v="9"/>
  </r>
  <r>
    <x v="3738"/>
    <n v="-9"/>
    <n v="70"/>
    <n v="61"/>
    <n v="19"/>
    <n v="26"/>
    <x v="22"/>
    <n v="19"/>
    <n v="-2"/>
    <n v="63"/>
    <n v="0"/>
    <n v="1"/>
    <n v="2"/>
  </r>
  <r>
    <x v="3739"/>
    <n v="-2"/>
    <n v="63"/>
    <n v="61"/>
    <n v="19"/>
    <n v="24"/>
    <x v="28"/>
    <n v="23"/>
    <n v="-1"/>
    <n v="58"/>
    <n v="0"/>
    <n v="1"/>
    <n v="1"/>
  </r>
  <r>
    <x v="3740"/>
    <n v="-1"/>
    <n v="58"/>
    <n v="57"/>
    <n v="23"/>
    <n v="20"/>
    <x v="23"/>
    <n v="17"/>
    <n v="2"/>
    <n v="61"/>
    <n v="0.2"/>
    <n v="0"/>
    <n v="0"/>
  </r>
  <r>
    <x v="3741"/>
    <n v="2"/>
    <n v="61"/>
    <n v="63"/>
    <n v="17"/>
    <n v="19"/>
    <x v="5"/>
    <n v="18"/>
    <n v="3"/>
    <n v="59"/>
    <n v="0.30000000000000004"/>
    <n v="0"/>
    <n v="0"/>
  </r>
  <r>
    <x v="3742"/>
    <n v="3"/>
    <n v="59"/>
    <n v="62"/>
    <n v="18"/>
    <n v="19"/>
    <x v="28"/>
    <n v="17"/>
    <n v="5"/>
    <n v="58"/>
    <n v="0.5"/>
    <n v="0"/>
    <n v="0"/>
  </r>
  <r>
    <x v="3743"/>
    <n v="5"/>
    <n v="58"/>
    <n v="63"/>
    <n v="17"/>
    <n v="23"/>
    <x v="25"/>
    <n v="18"/>
    <n v="10"/>
    <n v="52"/>
    <n v="1"/>
    <n v="0"/>
    <n v="0"/>
  </r>
  <r>
    <x v="3744"/>
    <n v="10"/>
    <n v="52"/>
    <n v="62"/>
    <n v="18"/>
    <n v="17"/>
    <x v="12"/>
    <n v="20"/>
    <n v="7"/>
    <n v="53"/>
    <n v="0.70000000000000007"/>
    <n v="0"/>
    <n v="0"/>
  </r>
  <r>
    <x v="3745"/>
    <n v="7"/>
    <n v="53"/>
    <n v="60"/>
    <n v="20"/>
    <n v="18"/>
    <x v="27"/>
    <n v="26"/>
    <n v="-1"/>
    <n v="55"/>
    <n v="0"/>
    <n v="1"/>
    <n v="1"/>
  </r>
  <r>
    <x v="3746"/>
    <n v="-1"/>
    <n v="55"/>
    <n v="54"/>
    <n v="26"/>
    <n v="17"/>
    <x v="8"/>
    <n v="16"/>
    <n v="0"/>
    <n v="64"/>
    <n v="0"/>
    <n v="0"/>
    <n v="0"/>
  </r>
  <r>
    <x v="3747"/>
    <n v="0"/>
    <n v="64"/>
    <n v="64"/>
    <n v="16"/>
    <n v="18"/>
    <x v="33"/>
    <n v="31"/>
    <n v="-13"/>
    <n v="62"/>
    <n v="0"/>
    <n v="1"/>
    <n v="13"/>
  </r>
  <r>
    <x v="3748"/>
    <n v="-13"/>
    <n v="62"/>
    <n v="49"/>
    <n v="31"/>
    <n v="20"/>
    <x v="31"/>
    <n v="18"/>
    <n v="-11"/>
    <n v="73"/>
    <n v="0"/>
    <n v="1"/>
    <n v="11"/>
  </r>
  <r>
    <x v="3749"/>
    <n v="-11"/>
    <n v="73"/>
    <n v="62"/>
    <n v="18"/>
    <n v="26"/>
    <x v="26"/>
    <n v="18"/>
    <n v="-3"/>
    <n v="65"/>
    <n v="0"/>
    <n v="1"/>
    <n v="3"/>
  </r>
  <r>
    <x v="3750"/>
    <n v="-3"/>
    <n v="65"/>
    <n v="62"/>
    <n v="18"/>
    <n v="16"/>
    <x v="21"/>
    <n v="21"/>
    <n v="-8"/>
    <n v="67"/>
    <n v="0"/>
    <n v="1"/>
    <n v="8"/>
  </r>
  <r>
    <x v="3751"/>
    <n v="-8"/>
    <n v="67"/>
    <n v="59"/>
    <n v="21"/>
    <n v="31"/>
    <x v="24"/>
    <n v="18"/>
    <n v="5"/>
    <n v="57"/>
    <n v="0.5"/>
    <n v="0"/>
    <n v="0"/>
  </r>
  <r>
    <x v="3752"/>
    <n v="5"/>
    <n v="57"/>
    <n v="62"/>
    <n v="18"/>
    <n v="18"/>
    <x v="24"/>
    <n v="30"/>
    <n v="-7"/>
    <n v="57"/>
    <n v="0"/>
    <n v="1"/>
    <n v="7"/>
  </r>
  <r>
    <x v="3753"/>
    <n v="-7"/>
    <n v="57"/>
    <n v="50"/>
    <n v="30"/>
    <n v="18"/>
    <x v="30"/>
    <n v="22"/>
    <n v="-11"/>
    <n v="69"/>
    <n v="0"/>
    <n v="1"/>
    <n v="11"/>
  </r>
  <r>
    <x v="3754"/>
    <n v="-11"/>
    <n v="69"/>
    <n v="58"/>
    <n v="22"/>
    <n v="21"/>
    <x v="6"/>
    <n v="22"/>
    <n v="-12"/>
    <n v="70"/>
    <n v="0"/>
    <n v="1"/>
    <n v="12"/>
  </r>
  <r>
    <x v="3755"/>
    <n v="-12"/>
    <n v="70"/>
    <n v="58"/>
    <n v="22"/>
    <n v="18"/>
    <x v="39"/>
    <n v="12"/>
    <n v="-6"/>
    <n v="74"/>
    <n v="0"/>
    <n v="1"/>
    <n v="6"/>
  </r>
  <r>
    <x v="3756"/>
    <n v="-6"/>
    <n v="74"/>
    <n v="68"/>
    <n v="12"/>
    <n v="30"/>
    <x v="32"/>
    <n v="24"/>
    <n v="0"/>
    <n v="56"/>
    <n v="0"/>
    <n v="0"/>
    <n v="0"/>
  </r>
  <r>
    <x v="3757"/>
    <n v="0"/>
    <n v="56"/>
    <n v="56"/>
    <n v="24"/>
    <n v="22"/>
    <x v="28"/>
    <n v="24"/>
    <n v="-2"/>
    <n v="58"/>
    <n v="0"/>
    <n v="1"/>
    <n v="2"/>
  </r>
  <r>
    <x v="3758"/>
    <n v="-2"/>
    <n v="58"/>
    <n v="56"/>
    <n v="24"/>
    <n v="22"/>
    <x v="4"/>
    <n v="16"/>
    <n v="4"/>
    <n v="60"/>
    <n v="0.4"/>
    <n v="0"/>
    <n v="0"/>
  </r>
  <r>
    <x v="3759"/>
    <n v="4"/>
    <n v="60"/>
    <n v="64"/>
    <n v="16"/>
    <n v="12"/>
    <x v="8"/>
    <n v="26"/>
    <n v="-10"/>
    <n v="64"/>
    <n v="0"/>
    <n v="1"/>
    <n v="10"/>
  </r>
  <r>
    <x v="3760"/>
    <n v="-10"/>
    <n v="64"/>
    <n v="54"/>
    <n v="26"/>
    <n v="24"/>
    <x v="7"/>
    <n v="26"/>
    <n v="-12"/>
    <n v="66"/>
    <n v="0"/>
    <n v="1"/>
    <n v="12"/>
  </r>
  <r>
    <x v="3761"/>
    <n v="-12"/>
    <n v="66"/>
    <n v="54"/>
    <n v="26"/>
    <n v="24"/>
    <x v="17"/>
    <n v="18"/>
    <n v="-6"/>
    <n v="68"/>
    <n v="0"/>
    <n v="1"/>
    <n v="6"/>
  </r>
  <r>
    <x v="3762"/>
    <n v="-6"/>
    <n v="68"/>
    <n v="62"/>
    <n v="18"/>
    <n v="16"/>
    <x v="6"/>
    <n v="13"/>
    <n v="-3"/>
    <n v="70"/>
    <n v="0"/>
    <n v="1"/>
    <n v="3"/>
  </r>
  <r>
    <x v="3763"/>
    <n v="-3"/>
    <n v="70"/>
    <n v="67"/>
    <n v="13"/>
    <n v="26"/>
    <x v="24"/>
    <n v="22"/>
    <n v="1"/>
    <n v="57"/>
    <n v="0.1"/>
    <n v="0"/>
    <n v="0"/>
  </r>
  <r>
    <x v="3764"/>
    <n v="1"/>
    <n v="57"/>
    <n v="58"/>
    <n v="22"/>
    <n v="26"/>
    <x v="12"/>
    <n v="20"/>
    <n v="7"/>
    <n v="53"/>
    <n v="0.70000000000000007"/>
    <n v="0"/>
    <n v="0"/>
  </r>
  <r>
    <x v="3765"/>
    <n v="7"/>
    <n v="53"/>
    <n v="60"/>
    <n v="20"/>
    <n v="18"/>
    <x v="27"/>
    <n v="21"/>
    <n v="4"/>
    <n v="55"/>
    <n v="0.4"/>
    <n v="0"/>
    <n v="0"/>
  </r>
  <r>
    <x v="3766"/>
    <n v="4"/>
    <n v="55"/>
    <n v="59"/>
    <n v="21"/>
    <n v="13"/>
    <x v="22"/>
    <n v="18"/>
    <n v="-1"/>
    <n v="63"/>
    <n v="0"/>
    <n v="1"/>
    <n v="1"/>
  </r>
  <r>
    <x v="3767"/>
    <n v="-1"/>
    <n v="63"/>
    <n v="62"/>
    <n v="18"/>
    <n v="22"/>
    <x v="5"/>
    <n v="20"/>
    <n v="1"/>
    <n v="59"/>
    <n v="0.1"/>
    <n v="0"/>
    <n v="0"/>
  </r>
  <r>
    <x v="3768"/>
    <n v="1"/>
    <n v="59"/>
    <n v="60"/>
    <n v="20"/>
    <n v="20"/>
    <x v="5"/>
    <n v="16"/>
    <n v="5"/>
    <n v="59"/>
    <n v="0.5"/>
    <n v="0"/>
    <n v="0"/>
  </r>
  <r>
    <x v="3769"/>
    <n v="5"/>
    <n v="59"/>
    <n v="64"/>
    <n v="16"/>
    <n v="21"/>
    <x v="16"/>
    <n v="20"/>
    <n v="6"/>
    <n v="54"/>
    <n v="0.60000000000000009"/>
    <n v="0"/>
    <n v="0"/>
  </r>
  <r>
    <x v="3770"/>
    <n v="6"/>
    <n v="54"/>
    <n v="60"/>
    <n v="20"/>
    <n v="18"/>
    <x v="32"/>
    <n v="21"/>
    <n v="3"/>
    <n v="56"/>
    <n v="0.30000000000000004"/>
    <n v="0"/>
    <n v="0"/>
  </r>
  <r>
    <x v="3771"/>
    <n v="3"/>
    <n v="56"/>
    <n v="59"/>
    <n v="21"/>
    <n v="20"/>
    <x v="24"/>
    <n v="17"/>
    <n v="6"/>
    <n v="57"/>
    <n v="0.60000000000000009"/>
    <n v="0"/>
    <n v="0"/>
  </r>
  <r>
    <x v="3772"/>
    <n v="6"/>
    <n v="57"/>
    <n v="63"/>
    <n v="17"/>
    <n v="16"/>
    <x v="28"/>
    <n v="21"/>
    <n v="1"/>
    <n v="58"/>
    <n v="0.1"/>
    <n v="0"/>
    <n v="0"/>
  </r>
  <r>
    <x v="3773"/>
    <n v="1"/>
    <n v="58"/>
    <n v="59"/>
    <n v="21"/>
    <n v="20"/>
    <x v="5"/>
    <n v="22"/>
    <n v="-1"/>
    <n v="59"/>
    <n v="0"/>
    <n v="1"/>
    <n v="1"/>
  </r>
  <r>
    <x v="3774"/>
    <n v="-1"/>
    <n v="59"/>
    <n v="58"/>
    <n v="22"/>
    <n v="21"/>
    <x v="4"/>
    <n v="21"/>
    <n v="-1"/>
    <n v="60"/>
    <n v="0"/>
    <n v="1"/>
    <n v="1"/>
  </r>
  <r>
    <x v="3775"/>
    <n v="-1"/>
    <n v="60"/>
    <n v="59"/>
    <n v="21"/>
    <n v="17"/>
    <x v="8"/>
    <n v="19"/>
    <n v="-3"/>
    <n v="64"/>
    <n v="0"/>
    <n v="1"/>
    <n v="3"/>
  </r>
  <r>
    <x v="3776"/>
    <n v="-3"/>
    <n v="64"/>
    <n v="61"/>
    <n v="19"/>
    <n v="21"/>
    <x v="33"/>
    <n v="25"/>
    <n v="-7"/>
    <n v="62"/>
    <n v="0"/>
    <n v="1"/>
    <n v="7"/>
  </r>
  <r>
    <x v="3777"/>
    <n v="-7"/>
    <n v="62"/>
    <n v="55"/>
    <n v="25"/>
    <n v="22"/>
    <x v="26"/>
    <n v="22"/>
    <n v="-7"/>
    <n v="65"/>
    <n v="0"/>
    <n v="1"/>
    <n v="7"/>
  </r>
  <r>
    <x v="3778"/>
    <n v="-7"/>
    <n v="65"/>
    <n v="58"/>
    <n v="22"/>
    <n v="21"/>
    <x v="7"/>
    <n v="18"/>
    <n v="-4"/>
    <n v="66"/>
    <n v="0"/>
    <n v="1"/>
    <n v="4"/>
  </r>
  <r>
    <x v="3779"/>
    <n v="-4"/>
    <n v="66"/>
    <n v="62"/>
    <n v="18"/>
    <n v="19"/>
    <x v="26"/>
    <n v="25"/>
    <n v="-10"/>
    <n v="65"/>
    <n v="0"/>
    <n v="1"/>
    <n v="10"/>
  </r>
  <r>
    <x v="3780"/>
    <n v="-10"/>
    <n v="65"/>
    <n v="55"/>
    <n v="25"/>
    <n v="25"/>
    <x v="26"/>
    <n v="17"/>
    <n v="-2"/>
    <n v="65"/>
    <n v="0"/>
    <n v="1"/>
    <n v="2"/>
  </r>
  <r>
    <x v="3781"/>
    <n v="-2"/>
    <n v="65"/>
    <n v="63"/>
    <n v="17"/>
    <n v="22"/>
    <x v="4"/>
    <n v="16"/>
    <n v="4"/>
    <n v="60"/>
    <n v="0.4"/>
    <n v="0"/>
    <n v="0"/>
  </r>
  <r>
    <x v="3782"/>
    <n v="4"/>
    <n v="60"/>
    <n v="64"/>
    <n v="16"/>
    <n v="18"/>
    <x v="28"/>
    <n v="19"/>
    <n v="3"/>
    <n v="58"/>
    <n v="0.30000000000000004"/>
    <n v="0"/>
    <n v="0"/>
  </r>
  <r>
    <x v="3783"/>
    <n v="3"/>
    <n v="58"/>
    <n v="61"/>
    <n v="19"/>
    <n v="25"/>
    <x v="25"/>
    <n v="25"/>
    <n v="3"/>
    <n v="52"/>
    <n v="0.30000000000000004"/>
    <n v="0"/>
    <n v="0"/>
  </r>
  <r>
    <x v="3784"/>
    <n v="3"/>
    <n v="52"/>
    <n v="55"/>
    <n v="25"/>
    <n v="17"/>
    <x v="4"/>
    <n v="17"/>
    <n v="3"/>
    <n v="60"/>
    <n v="0.30000000000000004"/>
    <n v="0"/>
    <n v="0"/>
  </r>
  <r>
    <x v="3785"/>
    <n v="3"/>
    <n v="60"/>
    <n v="63"/>
    <n v="17"/>
    <n v="16"/>
    <x v="23"/>
    <n v="23"/>
    <n v="-4"/>
    <n v="61"/>
    <n v="0"/>
    <n v="1"/>
    <n v="4"/>
  </r>
  <r>
    <x v="3786"/>
    <n v="-4"/>
    <n v="61"/>
    <n v="57"/>
    <n v="23"/>
    <n v="19"/>
    <x v="26"/>
    <n v="23"/>
    <n v="-8"/>
    <n v="65"/>
    <n v="0"/>
    <n v="1"/>
    <n v="8"/>
  </r>
  <r>
    <x v="3787"/>
    <n v="-8"/>
    <n v="65"/>
    <n v="57"/>
    <n v="23"/>
    <n v="25"/>
    <x v="22"/>
    <n v="19"/>
    <n v="-2"/>
    <n v="63"/>
    <n v="0"/>
    <n v="1"/>
    <n v="2"/>
  </r>
  <r>
    <x v="3788"/>
    <n v="-2"/>
    <n v="63"/>
    <n v="61"/>
    <n v="19"/>
    <n v="17"/>
    <x v="26"/>
    <n v="23"/>
    <n v="-8"/>
    <n v="65"/>
    <n v="0"/>
    <n v="1"/>
    <n v="8"/>
  </r>
  <r>
    <x v="3789"/>
    <n v="-8"/>
    <n v="65"/>
    <n v="57"/>
    <n v="23"/>
    <n v="23"/>
    <x v="26"/>
    <n v="14"/>
    <n v="1"/>
    <n v="65"/>
    <n v="0.1"/>
    <n v="0"/>
    <n v="0"/>
  </r>
  <r>
    <x v="3790"/>
    <n v="1"/>
    <n v="65"/>
    <n v="66"/>
    <n v="14"/>
    <n v="23"/>
    <x v="32"/>
    <n v="25"/>
    <n v="-1"/>
    <n v="56"/>
    <n v="0"/>
    <n v="1"/>
    <n v="1"/>
  </r>
  <r>
    <x v="3791"/>
    <n v="-1"/>
    <n v="56"/>
    <n v="55"/>
    <n v="25"/>
    <n v="19"/>
    <x v="33"/>
    <n v="20"/>
    <n v="-2"/>
    <n v="62"/>
    <n v="0"/>
    <n v="1"/>
    <n v="2"/>
  </r>
  <r>
    <x v="3792"/>
    <n v="-2"/>
    <n v="62"/>
    <n v="60"/>
    <n v="20"/>
    <n v="23"/>
    <x v="5"/>
    <n v="18"/>
    <n v="3"/>
    <n v="59"/>
    <n v="0.30000000000000004"/>
    <n v="0"/>
    <n v="0"/>
  </r>
  <r>
    <x v="3793"/>
    <n v="3"/>
    <n v="59"/>
    <n v="62"/>
    <n v="18"/>
    <n v="14"/>
    <x v="22"/>
    <n v="15"/>
    <n v="2"/>
    <n v="63"/>
    <n v="0.2"/>
    <n v="0"/>
    <n v="0"/>
  </r>
  <r>
    <x v="3794"/>
    <n v="2"/>
    <n v="63"/>
    <n v="65"/>
    <n v="15"/>
    <n v="25"/>
    <x v="12"/>
    <n v="18"/>
    <n v="9"/>
    <n v="53"/>
    <n v="0.9"/>
    <n v="0"/>
    <n v="0"/>
  </r>
  <r>
    <x v="3795"/>
    <n v="9"/>
    <n v="53"/>
    <n v="62"/>
    <n v="18"/>
    <n v="20"/>
    <x v="9"/>
    <n v="16"/>
    <n v="13"/>
    <n v="51"/>
    <n v="1.3"/>
    <n v="0"/>
    <n v="0"/>
  </r>
  <r>
    <x v="3796"/>
    <n v="13"/>
    <n v="51"/>
    <n v="64"/>
    <n v="16"/>
    <n v="18"/>
    <x v="10"/>
    <n v="19"/>
    <n v="12"/>
    <n v="49"/>
    <n v="1.2000000000000002"/>
    <n v="0"/>
    <n v="0"/>
  </r>
  <r>
    <x v="3797"/>
    <n v="12"/>
    <n v="49"/>
    <n v="61"/>
    <n v="19"/>
    <n v="15"/>
    <x v="12"/>
    <n v="21"/>
    <n v="6"/>
    <n v="53"/>
    <n v="0.60000000000000009"/>
    <n v="0"/>
    <n v="0"/>
  </r>
  <r>
    <x v="3798"/>
    <n v="6"/>
    <n v="53"/>
    <n v="59"/>
    <n v="21"/>
    <n v="18"/>
    <x v="32"/>
    <n v="20"/>
    <n v="4"/>
    <n v="56"/>
    <n v="0.4"/>
    <n v="0"/>
    <n v="0"/>
  </r>
  <r>
    <x v="3799"/>
    <n v="4"/>
    <n v="56"/>
    <n v="60"/>
    <n v="20"/>
    <n v="16"/>
    <x v="4"/>
    <n v="20"/>
    <n v="0"/>
    <n v="60"/>
    <n v="0"/>
    <n v="0"/>
    <n v="0"/>
  </r>
  <r>
    <x v="3800"/>
    <n v="0"/>
    <n v="60"/>
    <n v="60"/>
    <n v="20"/>
    <n v="19"/>
    <x v="23"/>
    <n v="20"/>
    <n v="-1"/>
    <n v="61"/>
    <n v="0"/>
    <n v="1"/>
    <n v="1"/>
  </r>
  <r>
    <x v="3801"/>
    <n v="-1"/>
    <n v="61"/>
    <n v="60"/>
    <n v="20"/>
    <n v="21"/>
    <x v="4"/>
    <n v="16"/>
    <n v="4"/>
    <n v="60"/>
    <n v="0.4"/>
    <n v="0"/>
    <n v="0"/>
  </r>
  <r>
    <x v="3802"/>
    <n v="4"/>
    <n v="60"/>
    <n v="64"/>
    <n v="16"/>
    <n v="20"/>
    <x v="32"/>
    <n v="23"/>
    <n v="1"/>
    <n v="56"/>
    <n v="0.1"/>
    <n v="0"/>
    <n v="0"/>
  </r>
  <r>
    <x v="3803"/>
    <n v="1"/>
    <n v="56"/>
    <n v="57"/>
    <n v="23"/>
    <n v="20"/>
    <x v="5"/>
    <n v="21"/>
    <n v="0"/>
    <n v="59"/>
    <n v="0"/>
    <n v="0"/>
    <n v="0"/>
  </r>
  <r>
    <x v="3804"/>
    <n v="0"/>
    <n v="59"/>
    <n v="59"/>
    <n v="21"/>
    <n v="20"/>
    <x v="4"/>
    <n v="16"/>
    <n v="4"/>
    <n v="60"/>
    <n v="0.4"/>
    <n v="0"/>
    <n v="0"/>
  </r>
  <r>
    <x v="3805"/>
    <n v="4"/>
    <n v="60"/>
    <n v="64"/>
    <n v="16"/>
    <n v="16"/>
    <x v="4"/>
    <n v="26"/>
    <n v="-6"/>
    <n v="60"/>
    <n v="0"/>
    <n v="1"/>
    <n v="6"/>
  </r>
  <r>
    <x v="3806"/>
    <n v="-6"/>
    <n v="60"/>
    <n v="54"/>
    <n v="26"/>
    <n v="23"/>
    <x v="22"/>
    <n v="23"/>
    <n v="-6"/>
    <n v="63"/>
    <n v="0"/>
    <n v="1"/>
    <n v="6"/>
  </r>
  <r>
    <x v="3807"/>
    <n v="-6"/>
    <n v="63"/>
    <n v="57"/>
    <n v="23"/>
    <n v="21"/>
    <x v="26"/>
    <n v="20"/>
    <n v="-5"/>
    <n v="65"/>
    <n v="0"/>
    <n v="1"/>
    <n v="5"/>
  </r>
  <r>
    <x v="3808"/>
    <n v="-5"/>
    <n v="65"/>
    <n v="60"/>
    <n v="20"/>
    <n v="16"/>
    <x v="30"/>
    <n v="10"/>
    <n v="1"/>
    <n v="69"/>
    <n v="0.1"/>
    <n v="0"/>
    <n v="0"/>
  </r>
  <r>
    <x v="3809"/>
    <n v="1"/>
    <n v="69"/>
    <n v="70"/>
    <n v="10"/>
    <n v="26"/>
    <x v="12"/>
    <n v="27"/>
    <n v="0"/>
    <n v="53"/>
    <n v="0"/>
    <n v="0"/>
    <n v="0"/>
  </r>
  <r>
    <x v="3810"/>
    <n v="0"/>
    <n v="53"/>
    <n v="53"/>
    <n v="27"/>
    <n v="23"/>
    <x v="24"/>
    <n v="18"/>
    <n v="5"/>
    <n v="57"/>
    <n v="0.5"/>
    <n v="0"/>
    <n v="0"/>
  </r>
  <r>
    <x v="3811"/>
    <n v="5"/>
    <n v="57"/>
    <n v="62"/>
    <n v="18"/>
    <n v="20"/>
    <x v="27"/>
    <n v="11"/>
    <n v="14"/>
    <n v="55"/>
    <n v="1.4000000000000001"/>
    <n v="0"/>
    <n v="0"/>
  </r>
  <r>
    <x v="3812"/>
    <n v="14"/>
    <n v="55"/>
    <n v="69"/>
    <n v="11"/>
    <n v="10"/>
    <x v="32"/>
    <n v="13"/>
    <n v="11"/>
    <n v="56"/>
    <n v="1.1000000000000001"/>
    <n v="0"/>
    <n v="0"/>
  </r>
  <r>
    <x v="3813"/>
    <n v="11"/>
    <n v="56"/>
    <n v="67"/>
    <n v="13"/>
    <n v="27"/>
    <x v="40"/>
    <n v="14"/>
    <n v="24"/>
    <n v="42"/>
    <n v="2.4000000000000004"/>
    <n v="0"/>
    <n v="0"/>
  </r>
  <r>
    <x v="3814"/>
    <n v="24"/>
    <n v="42"/>
    <n v="66"/>
    <n v="14"/>
    <n v="18"/>
    <x v="56"/>
    <n v="21"/>
    <n v="21"/>
    <n v="38"/>
    <n v="2.1"/>
    <n v="0"/>
    <n v="0"/>
  </r>
  <r>
    <x v="3815"/>
    <n v="21"/>
    <n v="38"/>
    <n v="59"/>
    <n v="21"/>
    <n v="11"/>
    <x v="15"/>
    <n v="16"/>
    <n v="16"/>
    <n v="48"/>
    <n v="1.6"/>
    <n v="0"/>
    <n v="0"/>
  </r>
  <r>
    <x v="3816"/>
    <n v="16"/>
    <n v="48"/>
    <n v="64"/>
    <n v="16"/>
    <n v="13"/>
    <x v="9"/>
    <n v="20"/>
    <n v="9"/>
    <n v="51"/>
    <n v="0.9"/>
    <n v="0"/>
    <n v="0"/>
  </r>
  <r>
    <x v="3817"/>
    <n v="9"/>
    <n v="51"/>
    <n v="60"/>
    <n v="20"/>
    <n v="14"/>
    <x v="24"/>
    <n v="21"/>
    <n v="2"/>
    <n v="57"/>
    <n v="0.2"/>
    <n v="0"/>
    <n v="0"/>
  </r>
  <r>
    <x v="3818"/>
    <n v="2"/>
    <n v="57"/>
    <n v="59"/>
    <n v="21"/>
    <n v="21"/>
    <x v="24"/>
    <n v="25"/>
    <n v="-2"/>
    <n v="57"/>
    <n v="0"/>
    <n v="1"/>
    <n v="2"/>
  </r>
  <r>
    <x v="3819"/>
    <n v="-2"/>
    <n v="57"/>
    <n v="55"/>
    <n v="25"/>
    <n v="16"/>
    <x v="7"/>
    <n v="18"/>
    <n v="-4"/>
    <n v="66"/>
    <n v="0"/>
    <n v="1"/>
    <n v="4"/>
  </r>
  <r>
    <x v="3820"/>
    <n v="-4"/>
    <n v="66"/>
    <n v="62"/>
    <n v="18"/>
    <n v="20"/>
    <x v="8"/>
    <n v="21"/>
    <n v="-5"/>
    <n v="64"/>
    <n v="0"/>
    <n v="1"/>
    <n v="5"/>
  </r>
  <r>
    <x v="3821"/>
    <n v="-5"/>
    <n v="64"/>
    <n v="59"/>
    <n v="21"/>
    <n v="21"/>
    <x v="8"/>
    <n v="21"/>
    <n v="-5"/>
    <n v="64"/>
    <n v="0"/>
    <n v="1"/>
    <n v="5"/>
  </r>
  <r>
    <x v="3822"/>
    <n v="-5"/>
    <n v="64"/>
    <n v="59"/>
    <n v="21"/>
    <n v="25"/>
    <x v="4"/>
    <n v="20"/>
    <n v="0"/>
    <n v="60"/>
    <n v="0"/>
    <n v="0"/>
    <n v="0"/>
  </r>
  <r>
    <x v="3823"/>
    <n v="0"/>
    <n v="60"/>
    <n v="60"/>
    <n v="20"/>
    <n v="18"/>
    <x v="33"/>
    <n v="24"/>
    <n v="-6"/>
    <n v="62"/>
    <n v="0"/>
    <n v="1"/>
    <n v="6"/>
  </r>
  <r>
    <x v="3824"/>
    <n v="-6"/>
    <n v="62"/>
    <n v="56"/>
    <n v="24"/>
    <n v="21"/>
    <x v="26"/>
    <n v="20"/>
    <n v="-5"/>
    <n v="65"/>
    <n v="0"/>
    <n v="1"/>
    <n v="5"/>
  </r>
  <r>
    <x v="3825"/>
    <n v="-5"/>
    <n v="65"/>
    <n v="60"/>
    <n v="20"/>
    <n v="21"/>
    <x v="8"/>
    <n v="26"/>
    <n v="-10"/>
    <n v="64"/>
    <n v="0"/>
    <n v="1"/>
    <n v="10"/>
  </r>
  <r>
    <x v="3826"/>
    <n v="-10"/>
    <n v="64"/>
    <n v="54"/>
    <n v="26"/>
    <n v="20"/>
    <x v="6"/>
    <n v="24"/>
    <n v="-14"/>
    <n v="70"/>
    <n v="0"/>
    <n v="1"/>
    <n v="14"/>
  </r>
  <r>
    <x v="3827"/>
    <n v="-14"/>
    <n v="70"/>
    <n v="56"/>
    <n v="24"/>
    <n v="24"/>
    <x v="6"/>
    <n v="22"/>
    <n v="-12"/>
    <n v="70"/>
    <n v="0"/>
    <n v="1"/>
    <n v="12"/>
  </r>
  <r>
    <x v="3828"/>
    <n v="-12"/>
    <n v="70"/>
    <n v="58"/>
    <n v="22"/>
    <n v="20"/>
    <x v="29"/>
    <n v="23"/>
    <n v="-15"/>
    <n v="72"/>
    <n v="0"/>
    <n v="1"/>
    <n v="15"/>
  </r>
  <r>
    <x v="3829"/>
    <n v="-15"/>
    <n v="72"/>
    <n v="57"/>
    <n v="23"/>
    <n v="26"/>
    <x v="30"/>
    <n v="17"/>
    <n v="-6"/>
    <n v="69"/>
    <n v="0"/>
    <n v="1"/>
    <n v="6"/>
  </r>
  <r>
    <x v="3830"/>
    <n v="-6"/>
    <n v="69"/>
    <n v="63"/>
    <n v="17"/>
    <n v="24"/>
    <x v="33"/>
    <n v="18"/>
    <n v="0"/>
    <n v="62"/>
    <n v="0"/>
    <n v="0"/>
    <n v="0"/>
  </r>
  <r>
    <x v="3831"/>
    <n v="0"/>
    <n v="62"/>
    <n v="62"/>
    <n v="18"/>
    <n v="22"/>
    <x v="28"/>
    <n v="19"/>
    <n v="3"/>
    <n v="58"/>
    <n v="0.30000000000000004"/>
    <n v="0"/>
    <n v="0"/>
  </r>
  <r>
    <x v="3832"/>
    <n v="3"/>
    <n v="58"/>
    <n v="61"/>
    <n v="19"/>
    <n v="23"/>
    <x v="16"/>
    <n v="20"/>
    <n v="6"/>
    <n v="54"/>
    <n v="0.60000000000000009"/>
    <n v="0"/>
    <n v="0"/>
  </r>
  <r>
    <x v="3833"/>
    <n v="6"/>
    <n v="54"/>
    <n v="60"/>
    <n v="20"/>
    <n v="17"/>
    <x v="24"/>
    <n v="25"/>
    <n v="-2"/>
    <n v="57"/>
    <n v="0"/>
    <n v="1"/>
    <n v="2"/>
  </r>
  <r>
    <x v="3834"/>
    <n v="-2"/>
    <n v="57"/>
    <n v="55"/>
    <n v="25"/>
    <n v="18"/>
    <x v="8"/>
    <n v="15"/>
    <n v="1"/>
    <n v="64"/>
    <n v="0.1"/>
    <n v="0"/>
    <n v="0"/>
  </r>
  <r>
    <x v="3835"/>
    <n v="1"/>
    <n v="64"/>
    <n v="65"/>
    <n v="15"/>
    <n v="19"/>
    <x v="4"/>
    <n v="19"/>
    <n v="1"/>
    <n v="60"/>
    <n v="0.1"/>
    <n v="0"/>
    <n v="0"/>
  </r>
  <r>
    <x v="3836"/>
    <n v="1"/>
    <n v="60"/>
    <n v="61"/>
    <n v="19"/>
    <n v="20"/>
    <x v="5"/>
    <n v="16"/>
    <n v="5"/>
    <n v="59"/>
    <n v="0.5"/>
    <n v="0"/>
    <n v="0"/>
  </r>
  <r>
    <x v="3837"/>
    <n v="5"/>
    <n v="59"/>
    <n v="64"/>
    <n v="16"/>
    <n v="25"/>
    <x v="13"/>
    <n v="26"/>
    <n v="4"/>
    <n v="50"/>
    <n v="0.4"/>
    <n v="0"/>
    <n v="0"/>
  </r>
  <r>
    <x v="3838"/>
    <n v="4"/>
    <n v="50"/>
    <n v="54"/>
    <n v="26"/>
    <n v="15"/>
    <x v="23"/>
    <n v="17"/>
    <n v="2"/>
    <n v="61"/>
    <n v="0.2"/>
    <n v="0"/>
    <n v="0"/>
  </r>
  <r>
    <x v="3839"/>
    <n v="2"/>
    <n v="61"/>
    <n v="63"/>
    <n v="17"/>
    <n v="19"/>
    <x v="5"/>
    <n v="18"/>
    <n v="3"/>
    <n v="59"/>
    <n v="0.30000000000000004"/>
    <n v="0"/>
    <n v="0"/>
  </r>
  <r>
    <x v="3840"/>
    <n v="3"/>
    <n v="59"/>
    <n v="62"/>
    <n v="18"/>
    <n v="16"/>
    <x v="23"/>
    <n v="15"/>
    <n v="4"/>
    <n v="61"/>
    <n v="0.4"/>
    <n v="0"/>
    <n v="0"/>
  </r>
  <r>
    <x v="3841"/>
    <n v="4"/>
    <n v="61"/>
    <n v="65"/>
    <n v="15"/>
    <n v="26"/>
    <x v="13"/>
    <n v="28"/>
    <n v="2"/>
    <n v="50"/>
    <n v="0.2"/>
    <n v="0"/>
    <n v="0"/>
  </r>
  <r>
    <x v="3842"/>
    <n v="2"/>
    <n v="50"/>
    <n v="52"/>
    <n v="28"/>
    <n v="17"/>
    <x v="23"/>
    <n v="27"/>
    <n v="-8"/>
    <n v="61"/>
    <n v="0"/>
    <n v="1"/>
    <n v="8"/>
  </r>
  <r>
    <x v="3843"/>
    <n v="-8"/>
    <n v="61"/>
    <n v="53"/>
    <n v="27"/>
    <n v="18"/>
    <x v="6"/>
    <n v="18"/>
    <n v="-8"/>
    <n v="70"/>
    <n v="0"/>
    <n v="1"/>
    <n v="8"/>
  </r>
  <r>
    <x v="3844"/>
    <n v="-8"/>
    <n v="70"/>
    <n v="62"/>
    <n v="18"/>
    <n v="15"/>
    <x v="31"/>
    <n v="24"/>
    <n v="-17"/>
    <n v="73"/>
    <n v="0"/>
    <n v="1"/>
    <n v="17"/>
  </r>
  <r>
    <x v="3845"/>
    <n v="-17"/>
    <n v="73"/>
    <n v="56"/>
    <n v="24"/>
    <n v="28"/>
    <x v="30"/>
    <n v="14"/>
    <n v="-3"/>
    <n v="69"/>
    <n v="0"/>
    <n v="1"/>
    <n v="3"/>
  </r>
  <r>
    <x v="3846"/>
    <n v="-3"/>
    <n v="69"/>
    <n v="66"/>
    <n v="14"/>
    <n v="27"/>
    <x v="32"/>
    <n v="23"/>
    <n v="1"/>
    <n v="56"/>
    <n v="0.1"/>
    <n v="0"/>
    <n v="0"/>
  </r>
  <r>
    <x v="3847"/>
    <n v="1"/>
    <n v="56"/>
    <n v="57"/>
    <n v="23"/>
    <n v="18"/>
    <x v="23"/>
    <n v="24"/>
    <n v="-5"/>
    <n v="61"/>
    <n v="0"/>
    <n v="1"/>
    <n v="5"/>
  </r>
  <r>
    <x v="3848"/>
    <n v="-5"/>
    <n v="61"/>
    <n v="56"/>
    <n v="24"/>
    <n v="24"/>
    <x v="23"/>
    <n v="22"/>
    <n v="-3"/>
    <n v="61"/>
    <n v="0"/>
    <n v="1"/>
    <n v="3"/>
  </r>
  <r>
    <x v="3849"/>
    <n v="-3"/>
    <n v="61"/>
    <n v="58"/>
    <n v="22"/>
    <n v="14"/>
    <x v="30"/>
    <n v="12"/>
    <n v="-1"/>
    <n v="69"/>
    <n v="0"/>
    <n v="1"/>
    <n v="1"/>
  </r>
  <r>
    <x v="3850"/>
    <n v="-1"/>
    <n v="69"/>
    <n v="68"/>
    <n v="12"/>
    <n v="23"/>
    <x v="28"/>
    <n v="17"/>
    <n v="5"/>
    <n v="58"/>
    <n v="0.5"/>
    <n v="0"/>
    <n v="0"/>
  </r>
  <r>
    <x v="3851"/>
    <n v="5"/>
    <n v="58"/>
    <n v="63"/>
    <n v="17"/>
    <n v="24"/>
    <x v="9"/>
    <n v="21"/>
    <n v="8"/>
    <n v="51"/>
    <n v="0.8"/>
    <n v="0"/>
    <n v="0"/>
  </r>
  <r>
    <x v="3852"/>
    <n v="8"/>
    <n v="51"/>
    <n v="59"/>
    <n v="21"/>
    <n v="22"/>
    <x v="13"/>
    <n v="27"/>
    <n v="3"/>
    <n v="50"/>
    <n v="0.30000000000000004"/>
    <n v="0"/>
    <n v="0"/>
  </r>
  <r>
    <x v="3853"/>
    <n v="3"/>
    <n v="50"/>
    <n v="53"/>
    <n v="27"/>
    <n v="12"/>
    <x v="26"/>
    <n v="23"/>
    <n v="-8"/>
    <n v="65"/>
    <n v="0"/>
    <n v="1"/>
    <n v="8"/>
  </r>
  <r>
    <x v="3854"/>
    <n v="-8"/>
    <n v="65"/>
    <n v="57"/>
    <n v="23"/>
    <n v="17"/>
    <x v="20"/>
    <n v="15"/>
    <n v="-6"/>
    <n v="71"/>
    <n v="0"/>
    <n v="1"/>
    <n v="6"/>
  </r>
  <r>
    <x v="3855"/>
    <n v="-6"/>
    <n v="71"/>
    <n v="65"/>
    <n v="15"/>
    <n v="21"/>
    <x v="26"/>
    <n v="17"/>
    <n v="-2"/>
    <n v="65"/>
    <n v="0"/>
    <n v="1"/>
    <n v="2"/>
  </r>
  <r>
    <x v="3856"/>
    <n v="-2"/>
    <n v="65"/>
    <n v="63"/>
    <n v="17"/>
    <n v="27"/>
    <x v="27"/>
    <n v="32"/>
    <n v="-7"/>
    <n v="55"/>
    <n v="0"/>
    <n v="1"/>
    <n v="7"/>
  </r>
  <r>
    <x v="3857"/>
    <n v="-7"/>
    <n v="55"/>
    <n v="48"/>
    <n v="32"/>
    <n v="23"/>
    <x v="8"/>
    <n v="17"/>
    <n v="-1"/>
    <n v="64"/>
    <n v="0"/>
    <n v="1"/>
    <n v="1"/>
  </r>
  <r>
    <x v="3858"/>
    <n v="-1"/>
    <n v="64"/>
    <n v="63"/>
    <n v="17"/>
    <n v="15"/>
    <x v="7"/>
    <n v="19"/>
    <n v="-5"/>
    <n v="66"/>
    <n v="0"/>
    <n v="1"/>
    <n v="5"/>
  </r>
  <r>
    <x v="3859"/>
    <n v="-5"/>
    <n v="66"/>
    <n v="61"/>
    <n v="19"/>
    <n v="17"/>
    <x v="17"/>
    <n v="25"/>
    <n v="-13"/>
    <n v="68"/>
    <n v="0"/>
    <n v="1"/>
    <n v="13"/>
  </r>
  <r>
    <x v="3860"/>
    <n v="-13"/>
    <n v="68"/>
    <n v="55"/>
    <n v="25"/>
    <n v="32"/>
    <x v="23"/>
    <n v="9"/>
    <n v="10"/>
    <n v="61"/>
    <n v="1"/>
    <n v="0"/>
    <n v="0"/>
  </r>
  <r>
    <x v="3861"/>
    <n v="10"/>
    <n v="61"/>
    <n v="71"/>
    <n v="9"/>
    <n v="17"/>
    <x v="12"/>
    <n v="17"/>
    <n v="10"/>
    <n v="53"/>
    <n v="1"/>
    <n v="0"/>
    <n v="0"/>
  </r>
  <r>
    <x v="3862"/>
    <n v="10"/>
    <n v="53"/>
    <n v="63"/>
    <n v="17"/>
    <n v="19"/>
    <x v="9"/>
    <n v="17"/>
    <n v="12"/>
    <n v="51"/>
    <n v="1.2000000000000002"/>
    <n v="0"/>
    <n v="0"/>
  </r>
  <r>
    <x v="3863"/>
    <n v="12"/>
    <n v="51"/>
    <n v="63"/>
    <n v="17"/>
    <n v="25"/>
    <x v="51"/>
    <n v="20"/>
    <n v="17"/>
    <n v="43"/>
    <n v="1.7000000000000002"/>
    <n v="0"/>
    <n v="0"/>
  </r>
  <r>
    <x v="3864"/>
    <n v="17"/>
    <n v="43"/>
    <n v="60"/>
    <n v="20"/>
    <n v="9"/>
    <x v="16"/>
    <n v="27"/>
    <n v="-1"/>
    <n v="54"/>
    <n v="0"/>
    <n v="1"/>
    <n v="1"/>
  </r>
  <r>
    <x v="3865"/>
    <n v="-1"/>
    <n v="54"/>
    <n v="53"/>
    <n v="27"/>
    <n v="17"/>
    <x v="8"/>
    <n v="11"/>
    <n v="5"/>
    <n v="64"/>
    <n v="0.5"/>
    <n v="0"/>
    <n v="0"/>
  </r>
  <r>
    <x v="3866"/>
    <n v="5"/>
    <n v="64"/>
    <n v="69"/>
    <n v="11"/>
    <n v="17"/>
    <x v="28"/>
    <n v="15"/>
    <n v="7"/>
    <n v="58"/>
    <n v="0.70000000000000007"/>
    <n v="0"/>
    <n v="0"/>
  </r>
  <r>
    <x v="3867"/>
    <n v="7"/>
    <n v="58"/>
    <n v="65"/>
    <n v="15"/>
    <n v="20"/>
    <x v="12"/>
    <n v="20"/>
    <n v="7"/>
    <n v="53"/>
    <n v="0.70000000000000007"/>
    <n v="0"/>
    <n v="0"/>
  </r>
  <r>
    <x v="3868"/>
    <n v="7"/>
    <n v="53"/>
    <n v="60"/>
    <n v="20"/>
    <n v="27"/>
    <x v="38"/>
    <n v="23"/>
    <n v="11"/>
    <n v="46"/>
    <n v="1.1000000000000001"/>
    <n v="0"/>
    <n v="0"/>
  </r>
  <r>
    <x v="3869"/>
    <n v="11"/>
    <n v="46"/>
    <n v="57"/>
    <n v="23"/>
    <n v="11"/>
    <x v="28"/>
    <n v="20"/>
    <n v="2"/>
    <n v="58"/>
    <n v="0.2"/>
    <n v="0"/>
    <n v="0"/>
  </r>
  <r>
    <x v="3870"/>
    <n v="2"/>
    <n v="58"/>
    <n v="60"/>
    <n v="20"/>
    <n v="15"/>
    <x v="22"/>
    <n v="29"/>
    <n v="-12"/>
    <n v="63"/>
    <n v="0"/>
    <n v="1"/>
    <n v="12"/>
  </r>
  <r>
    <x v="3871"/>
    <n v="-12"/>
    <n v="63"/>
    <n v="51"/>
    <n v="29"/>
    <n v="20"/>
    <x v="29"/>
    <n v="31"/>
    <n v="-23"/>
    <n v="72"/>
    <n v="0"/>
    <n v="1"/>
    <n v="23"/>
  </r>
  <r>
    <x v="3872"/>
    <n v="-23"/>
    <n v="72"/>
    <n v="49"/>
    <n v="31"/>
    <n v="23"/>
    <x v="0"/>
    <n v="19"/>
    <n v="-19"/>
    <n v="80"/>
    <n v="0"/>
    <n v="1"/>
    <n v="19"/>
  </r>
  <r>
    <x v="3873"/>
    <n v="-19"/>
    <n v="80"/>
    <n v="61"/>
    <n v="19"/>
    <n v="20"/>
    <x v="43"/>
    <n v="23"/>
    <n v="-22"/>
    <n v="79"/>
    <n v="0"/>
    <n v="1"/>
    <n v="22"/>
  </r>
  <r>
    <x v="3874"/>
    <n v="-22"/>
    <n v="79"/>
    <n v="57"/>
    <n v="23"/>
    <n v="29"/>
    <x v="31"/>
    <n v="18"/>
    <n v="-11"/>
    <n v="73"/>
    <n v="0"/>
    <n v="1"/>
    <n v="11"/>
  </r>
  <r>
    <x v="3875"/>
    <n v="-11"/>
    <n v="73"/>
    <n v="62"/>
    <n v="18"/>
    <n v="31"/>
    <x v="4"/>
    <n v="19"/>
    <n v="1"/>
    <n v="60"/>
    <n v="0.1"/>
    <n v="0"/>
    <n v="0"/>
  </r>
  <r>
    <x v="3876"/>
    <n v="1"/>
    <n v="60"/>
    <n v="61"/>
    <n v="19"/>
    <n v="19"/>
    <x v="4"/>
    <n v="23"/>
    <n v="-3"/>
    <n v="60"/>
    <n v="0"/>
    <n v="1"/>
    <n v="3"/>
  </r>
  <r>
    <x v="3877"/>
    <n v="-3"/>
    <n v="60"/>
    <n v="57"/>
    <n v="23"/>
    <n v="23"/>
    <x v="4"/>
    <n v="23"/>
    <n v="-3"/>
    <n v="60"/>
    <n v="0"/>
    <n v="1"/>
    <n v="3"/>
  </r>
  <r>
    <x v="3878"/>
    <n v="-3"/>
    <n v="60"/>
    <n v="57"/>
    <n v="23"/>
    <n v="18"/>
    <x v="26"/>
    <n v="18"/>
    <n v="-3"/>
    <n v="65"/>
    <n v="0"/>
    <n v="1"/>
    <n v="3"/>
  </r>
  <r>
    <x v="3879"/>
    <n v="-3"/>
    <n v="65"/>
    <n v="62"/>
    <n v="18"/>
    <n v="19"/>
    <x v="8"/>
    <n v="21"/>
    <n v="-5"/>
    <n v="64"/>
    <n v="0"/>
    <n v="1"/>
    <n v="5"/>
  </r>
  <r>
    <x v="3880"/>
    <n v="-5"/>
    <n v="64"/>
    <n v="59"/>
    <n v="21"/>
    <n v="23"/>
    <x v="33"/>
    <n v="17"/>
    <n v="1"/>
    <n v="62"/>
    <n v="0.1"/>
    <n v="0"/>
    <n v="0"/>
  </r>
  <r>
    <x v="3881"/>
    <n v="1"/>
    <n v="62"/>
    <n v="63"/>
    <n v="17"/>
    <n v="23"/>
    <x v="32"/>
    <n v="19"/>
    <n v="5"/>
    <n v="56"/>
    <n v="0.5"/>
    <n v="0"/>
    <n v="0"/>
  </r>
  <r>
    <x v="3882"/>
    <n v="5"/>
    <n v="56"/>
    <n v="61"/>
    <n v="19"/>
    <n v="18"/>
    <x v="24"/>
    <n v="17"/>
    <n v="6"/>
    <n v="57"/>
    <n v="0.60000000000000009"/>
    <n v="0"/>
    <n v="0"/>
  </r>
  <r>
    <x v="3883"/>
    <n v="6"/>
    <n v="57"/>
    <n v="63"/>
    <n v="17"/>
    <n v="21"/>
    <x v="12"/>
    <n v="18"/>
    <n v="9"/>
    <n v="53"/>
    <n v="0.9"/>
    <n v="0"/>
    <n v="0"/>
  </r>
  <r>
    <x v="3884"/>
    <n v="9"/>
    <n v="53"/>
    <n v="62"/>
    <n v="18"/>
    <n v="17"/>
    <x v="16"/>
    <n v="19"/>
    <n v="7"/>
    <n v="54"/>
    <n v="0.70000000000000007"/>
    <n v="0"/>
    <n v="0"/>
  </r>
  <r>
    <x v="3885"/>
    <n v="7"/>
    <n v="54"/>
    <n v="61"/>
    <n v="19"/>
    <n v="19"/>
    <x v="16"/>
    <n v="23"/>
    <n v="3"/>
    <n v="54"/>
    <n v="0.30000000000000004"/>
    <n v="0"/>
    <n v="0"/>
  </r>
  <r>
    <x v="3886"/>
    <n v="3"/>
    <n v="54"/>
    <n v="57"/>
    <n v="23"/>
    <n v="17"/>
    <x v="4"/>
    <n v="20"/>
    <n v="0"/>
    <n v="60"/>
    <n v="0"/>
    <n v="0"/>
    <n v="0"/>
  </r>
  <r>
    <x v="3887"/>
    <n v="0"/>
    <n v="60"/>
    <n v="60"/>
    <n v="20"/>
    <n v="18"/>
    <x v="33"/>
    <n v="20"/>
    <n v="-2"/>
    <n v="62"/>
    <n v="0"/>
    <n v="1"/>
    <n v="2"/>
  </r>
  <r>
    <x v="3888"/>
    <n v="-2"/>
    <n v="62"/>
    <n v="60"/>
    <n v="20"/>
    <n v="19"/>
    <x v="22"/>
    <n v="22"/>
    <n v="-5"/>
    <n v="63"/>
    <n v="0"/>
    <n v="1"/>
    <n v="5"/>
  </r>
  <r>
    <x v="3889"/>
    <n v="-5"/>
    <n v="63"/>
    <n v="58"/>
    <n v="22"/>
    <n v="23"/>
    <x v="33"/>
    <n v="9"/>
    <n v="9"/>
    <n v="62"/>
    <n v="0.9"/>
    <n v="0"/>
    <n v="0"/>
  </r>
  <r>
    <x v="3890"/>
    <n v="9"/>
    <n v="62"/>
    <n v="71"/>
    <n v="9"/>
    <n v="20"/>
    <x v="9"/>
    <n v="23"/>
    <n v="6"/>
    <n v="51"/>
    <n v="0.60000000000000009"/>
    <n v="0"/>
    <n v="0"/>
  </r>
  <r>
    <x v="3891"/>
    <n v="6"/>
    <n v="51"/>
    <n v="57"/>
    <n v="23"/>
    <n v="20"/>
    <x v="16"/>
    <n v="20"/>
    <n v="6"/>
    <n v="54"/>
    <n v="0.60000000000000009"/>
    <n v="0"/>
    <n v="0"/>
  </r>
  <r>
    <x v="3892"/>
    <n v="6"/>
    <n v="54"/>
    <n v="60"/>
    <n v="20"/>
    <n v="22"/>
    <x v="25"/>
    <n v="21"/>
    <n v="7"/>
    <n v="52"/>
    <n v="0.70000000000000007"/>
    <n v="0"/>
    <n v="0"/>
  </r>
  <r>
    <x v="3893"/>
    <n v="7"/>
    <n v="52"/>
    <n v="59"/>
    <n v="21"/>
    <n v="9"/>
    <x v="8"/>
    <n v="18"/>
    <n v="-2"/>
    <n v="64"/>
    <n v="0"/>
    <n v="1"/>
    <n v="2"/>
  </r>
  <r>
    <x v="3894"/>
    <n v="-2"/>
    <n v="64"/>
    <n v="62"/>
    <n v="18"/>
    <n v="23"/>
    <x v="5"/>
    <n v="18"/>
    <n v="3"/>
    <n v="59"/>
    <n v="0.30000000000000004"/>
    <n v="0"/>
    <n v="0"/>
  </r>
  <r>
    <x v="3895"/>
    <n v="3"/>
    <n v="59"/>
    <n v="62"/>
    <n v="18"/>
    <n v="20"/>
    <x v="24"/>
    <n v="20"/>
    <n v="3"/>
    <n v="57"/>
    <n v="0.30000000000000004"/>
    <n v="0"/>
    <n v="0"/>
  </r>
  <r>
    <x v="3896"/>
    <n v="3"/>
    <n v="57"/>
    <n v="60"/>
    <n v="20"/>
    <n v="21"/>
    <x v="32"/>
    <n v="28"/>
    <n v="-4"/>
    <n v="56"/>
    <n v="0"/>
    <n v="1"/>
    <n v="4"/>
  </r>
  <r>
    <x v="3897"/>
    <n v="-4"/>
    <n v="56"/>
    <n v="52"/>
    <n v="28"/>
    <n v="18"/>
    <x v="7"/>
    <n v="19"/>
    <n v="-5"/>
    <n v="66"/>
    <n v="0"/>
    <n v="1"/>
    <n v="5"/>
  </r>
  <r>
    <x v="3898"/>
    <n v="-5"/>
    <n v="66"/>
    <n v="61"/>
    <n v="19"/>
    <n v="18"/>
    <x v="21"/>
    <n v="23"/>
    <n v="-10"/>
    <n v="67"/>
    <n v="0"/>
    <n v="1"/>
    <n v="10"/>
  </r>
  <r>
    <x v="3899"/>
    <n v="-10"/>
    <n v="67"/>
    <n v="57"/>
    <n v="23"/>
    <n v="20"/>
    <x v="6"/>
    <n v="19"/>
    <n v="-9"/>
    <n v="70"/>
    <n v="0"/>
    <n v="1"/>
    <n v="9"/>
  </r>
  <r>
    <x v="3900"/>
    <n v="-9"/>
    <n v="70"/>
    <n v="61"/>
    <n v="19"/>
    <n v="28"/>
    <x v="23"/>
    <n v="18"/>
    <n v="1"/>
    <n v="61"/>
    <n v="0.1"/>
    <n v="0"/>
    <n v="0"/>
  </r>
  <r>
    <x v="3901"/>
    <n v="1"/>
    <n v="61"/>
    <n v="62"/>
    <n v="18"/>
    <n v="19"/>
    <x v="4"/>
    <n v="16"/>
    <n v="4"/>
    <n v="60"/>
    <n v="0.4"/>
    <n v="0"/>
    <n v="0"/>
  </r>
  <r>
    <x v="3902"/>
    <n v="4"/>
    <n v="60"/>
    <n v="64"/>
    <n v="16"/>
    <n v="23"/>
    <x v="12"/>
    <n v="23"/>
    <n v="4"/>
    <n v="53"/>
    <n v="0.4"/>
    <n v="0"/>
    <n v="0"/>
  </r>
  <r>
    <x v="3903"/>
    <n v="4"/>
    <n v="53"/>
    <n v="57"/>
    <n v="23"/>
    <n v="19"/>
    <x v="24"/>
    <n v="18"/>
    <n v="5"/>
    <n v="57"/>
    <n v="0.5"/>
    <n v="0"/>
    <n v="0"/>
  </r>
  <r>
    <x v="3904"/>
    <n v="5"/>
    <n v="57"/>
    <n v="62"/>
    <n v="18"/>
    <n v="18"/>
    <x v="24"/>
    <n v="17"/>
    <n v="6"/>
    <n v="57"/>
    <n v="0.60000000000000009"/>
    <n v="0"/>
    <n v="0"/>
  </r>
  <r>
    <x v="3905"/>
    <n v="6"/>
    <n v="57"/>
    <n v="63"/>
    <n v="17"/>
    <n v="16"/>
    <x v="28"/>
    <n v="27"/>
    <n v="-5"/>
    <n v="58"/>
    <n v="0"/>
    <n v="1"/>
    <n v="5"/>
  </r>
  <r>
    <x v="3906"/>
    <n v="-5"/>
    <n v="58"/>
    <n v="53"/>
    <n v="27"/>
    <n v="23"/>
    <x v="33"/>
    <n v="23"/>
    <n v="-5"/>
    <n v="62"/>
    <n v="0"/>
    <n v="1"/>
    <n v="5"/>
  </r>
  <r>
    <x v="3907"/>
    <n v="-5"/>
    <n v="62"/>
    <n v="57"/>
    <n v="23"/>
    <n v="18"/>
    <x v="21"/>
    <n v="17"/>
    <n v="-4"/>
    <n v="67"/>
    <n v="0"/>
    <n v="1"/>
    <n v="4"/>
  </r>
  <r>
    <x v="3908"/>
    <n v="-4"/>
    <n v="67"/>
    <n v="63"/>
    <n v="17"/>
    <n v="17"/>
    <x v="21"/>
    <n v="23"/>
    <n v="-10"/>
    <n v="67"/>
    <n v="0"/>
    <n v="1"/>
    <n v="10"/>
  </r>
  <r>
    <x v="3909"/>
    <n v="-10"/>
    <n v="67"/>
    <n v="57"/>
    <n v="23"/>
    <n v="27"/>
    <x v="22"/>
    <n v="22"/>
    <n v="-5"/>
    <n v="63"/>
    <n v="0"/>
    <n v="1"/>
    <n v="5"/>
  </r>
  <r>
    <x v="3910"/>
    <n v="-5"/>
    <n v="63"/>
    <n v="58"/>
    <n v="22"/>
    <n v="23"/>
    <x v="33"/>
    <n v="22"/>
    <n v="-4"/>
    <n v="62"/>
    <n v="0"/>
    <n v="1"/>
    <n v="4"/>
  </r>
  <r>
    <x v="3911"/>
    <n v="-4"/>
    <n v="62"/>
    <n v="58"/>
    <n v="22"/>
    <n v="17"/>
    <x v="21"/>
    <n v="23"/>
    <n v="-10"/>
    <n v="67"/>
    <n v="0"/>
    <n v="1"/>
    <n v="10"/>
  </r>
  <r>
    <x v="3912"/>
    <n v="-10"/>
    <n v="67"/>
    <n v="57"/>
    <n v="23"/>
    <n v="23"/>
    <x v="21"/>
    <n v="24"/>
    <n v="-11"/>
    <n v="67"/>
    <n v="0"/>
    <n v="1"/>
    <n v="11"/>
  </r>
  <r>
    <x v="3913"/>
    <n v="-11"/>
    <n v="67"/>
    <n v="56"/>
    <n v="24"/>
    <n v="22"/>
    <x v="30"/>
    <n v="20"/>
    <n v="-9"/>
    <n v="69"/>
    <n v="0"/>
    <n v="1"/>
    <n v="9"/>
  </r>
  <r>
    <x v="3914"/>
    <n v="-9"/>
    <n v="69"/>
    <n v="60"/>
    <n v="20"/>
    <n v="22"/>
    <x v="21"/>
    <n v="16"/>
    <n v="-3"/>
    <n v="67"/>
    <n v="0"/>
    <n v="1"/>
    <n v="3"/>
  </r>
  <r>
    <x v="3915"/>
    <n v="-3"/>
    <n v="67"/>
    <n v="64"/>
    <n v="16"/>
    <n v="23"/>
    <x v="4"/>
    <n v="24"/>
    <n v="-4"/>
    <n v="60"/>
    <n v="0"/>
    <n v="1"/>
    <n v="4"/>
  </r>
  <r>
    <x v="3916"/>
    <n v="-4"/>
    <n v="60"/>
    <n v="56"/>
    <n v="24"/>
    <n v="24"/>
    <x v="4"/>
    <n v="21"/>
    <n v="-1"/>
    <n v="60"/>
    <n v="0"/>
    <n v="1"/>
    <n v="1"/>
  </r>
  <r>
    <x v="3917"/>
    <n v="-1"/>
    <n v="60"/>
    <n v="59"/>
    <n v="21"/>
    <n v="20"/>
    <x v="23"/>
    <n v="14"/>
    <n v="5"/>
    <n v="61"/>
    <n v="0.5"/>
    <n v="0"/>
    <n v="0"/>
  </r>
  <r>
    <x v="3918"/>
    <n v="5"/>
    <n v="61"/>
    <n v="66"/>
    <n v="14"/>
    <n v="16"/>
    <x v="5"/>
    <n v="22"/>
    <n v="-1"/>
    <n v="59"/>
    <n v="0"/>
    <n v="1"/>
    <n v="1"/>
  </r>
  <r>
    <x v="3919"/>
    <n v="-1"/>
    <n v="59"/>
    <n v="58"/>
    <n v="22"/>
    <n v="24"/>
    <x v="24"/>
    <n v="26"/>
    <n v="-3"/>
    <n v="57"/>
    <n v="0"/>
    <n v="1"/>
    <n v="3"/>
  </r>
  <r>
    <x v="3920"/>
    <n v="-3"/>
    <n v="57"/>
    <n v="54"/>
    <n v="26"/>
    <n v="21"/>
    <x v="33"/>
    <n v="20"/>
    <n v="-2"/>
    <n v="62"/>
    <n v="0"/>
    <n v="1"/>
    <n v="2"/>
  </r>
  <r>
    <x v="3921"/>
    <n v="-2"/>
    <n v="62"/>
    <n v="60"/>
    <n v="20"/>
    <n v="14"/>
    <x v="17"/>
    <n v="16"/>
    <n v="-4"/>
    <n v="68"/>
    <n v="0"/>
    <n v="1"/>
    <n v="4"/>
  </r>
  <r>
    <x v="3922"/>
    <n v="-4"/>
    <n v="68"/>
    <n v="64"/>
    <n v="16"/>
    <n v="22"/>
    <x v="33"/>
    <n v="16"/>
    <n v="2"/>
    <n v="62"/>
    <n v="0.2"/>
    <n v="0"/>
    <n v="0"/>
  </r>
  <r>
    <x v="3923"/>
    <n v="2"/>
    <n v="62"/>
    <n v="64"/>
    <n v="16"/>
    <n v="26"/>
    <x v="25"/>
    <n v="18"/>
    <n v="10"/>
    <n v="52"/>
    <n v="1"/>
    <n v="0"/>
    <n v="0"/>
  </r>
  <r>
    <x v="3924"/>
    <n v="10"/>
    <n v="52"/>
    <n v="62"/>
    <n v="18"/>
    <n v="20"/>
    <x v="13"/>
    <n v="17"/>
    <n v="13"/>
    <n v="50"/>
    <n v="1.3"/>
    <n v="0"/>
    <n v="0"/>
  </r>
  <r>
    <x v="3925"/>
    <n v="13"/>
    <n v="50"/>
    <n v="63"/>
    <n v="17"/>
    <n v="16"/>
    <x v="9"/>
    <n v="16"/>
    <n v="13"/>
    <n v="51"/>
    <n v="1.3"/>
    <n v="0"/>
    <n v="0"/>
  </r>
  <r>
    <x v="3926"/>
    <n v="13"/>
    <n v="51"/>
    <n v="64"/>
    <n v="16"/>
    <n v="16"/>
    <x v="9"/>
    <n v="17"/>
    <n v="12"/>
    <n v="51"/>
    <n v="1.2000000000000002"/>
    <n v="0"/>
    <n v="0"/>
  </r>
  <r>
    <x v="3927"/>
    <n v="12"/>
    <n v="51"/>
    <n v="63"/>
    <n v="17"/>
    <n v="18"/>
    <x v="13"/>
    <n v="18"/>
    <n v="12"/>
    <n v="50"/>
    <n v="1.2000000000000002"/>
    <n v="0"/>
    <n v="0"/>
  </r>
  <r>
    <x v="3928"/>
    <n v="12"/>
    <n v="50"/>
    <n v="62"/>
    <n v="18"/>
    <n v="17"/>
    <x v="9"/>
    <n v="22"/>
    <n v="7"/>
    <n v="51"/>
    <n v="0.70000000000000007"/>
    <n v="0"/>
    <n v="0"/>
  </r>
  <r>
    <x v="3929"/>
    <n v="7"/>
    <n v="51"/>
    <n v="58"/>
    <n v="22"/>
    <n v="16"/>
    <x v="24"/>
    <n v="22"/>
    <n v="1"/>
    <n v="57"/>
    <n v="0.1"/>
    <n v="0"/>
    <n v="0"/>
  </r>
  <r>
    <x v="3930"/>
    <n v="1"/>
    <n v="57"/>
    <n v="58"/>
    <n v="22"/>
    <n v="17"/>
    <x v="33"/>
    <n v="20"/>
    <n v="-2"/>
    <n v="62"/>
    <n v="0"/>
    <n v="1"/>
    <n v="2"/>
  </r>
  <r>
    <x v="3931"/>
    <n v="-2"/>
    <n v="62"/>
    <n v="60"/>
    <n v="20"/>
    <n v="18"/>
    <x v="8"/>
    <n v="14"/>
    <n v="2"/>
    <n v="64"/>
    <n v="0.2"/>
    <n v="0"/>
    <n v="0"/>
  </r>
  <r>
    <x v="3932"/>
    <n v="2"/>
    <n v="64"/>
    <n v="66"/>
    <n v="14"/>
    <n v="22"/>
    <x v="32"/>
    <n v="19"/>
    <n v="5"/>
    <n v="56"/>
    <n v="0.5"/>
    <n v="0"/>
    <n v="0"/>
  </r>
  <r>
    <x v="3933"/>
    <n v="5"/>
    <n v="56"/>
    <n v="61"/>
    <n v="19"/>
    <n v="22"/>
    <x v="12"/>
    <n v="9"/>
    <n v="18"/>
    <n v="53"/>
    <n v="1.8"/>
    <n v="0"/>
    <n v="0"/>
  </r>
  <r>
    <x v="3934"/>
    <n v="18"/>
    <n v="53"/>
    <n v="71"/>
    <n v="9"/>
    <n v="20"/>
    <x v="40"/>
    <n v="18"/>
    <n v="20"/>
    <n v="42"/>
    <n v="2"/>
    <n v="0"/>
    <n v="0"/>
  </r>
  <r>
    <x v="3935"/>
    <n v="20"/>
    <n v="42"/>
    <n v="62"/>
    <n v="18"/>
    <n v="14"/>
    <x v="38"/>
    <n v="16"/>
    <n v="18"/>
    <n v="46"/>
    <n v="1.8"/>
    <n v="0"/>
    <n v="0"/>
  </r>
  <r>
    <x v="3936"/>
    <n v="18"/>
    <n v="46"/>
    <n v="64"/>
    <n v="16"/>
    <n v="19"/>
    <x v="51"/>
    <n v="21"/>
    <n v="16"/>
    <n v="43"/>
    <n v="1.6"/>
    <n v="0"/>
    <n v="0"/>
  </r>
  <r>
    <x v="3937"/>
    <n v="16"/>
    <n v="43"/>
    <n v="59"/>
    <n v="21"/>
    <n v="9"/>
    <x v="27"/>
    <n v="19"/>
    <n v="6"/>
    <n v="55"/>
    <n v="0.60000000000000009"/>
    <n v="0"/>
    <n v="0"/>
  </r>
  <r>
    <x v="3938"/>
    <n v="6"/>
    <n v="55"/>
    <n v="61"/>
    <n v="19"/>
    <n v="18"/>
    <x v="32"/>
    <n v="21"/>
    <n v="3"/>
    <n v="56"/>
    <n v="0.30000000000000004"/>
    <n v="0"/>
    <n v="0"/>
  </r>
  <r>
    <x v="3939"/>
    <n v="3"/>
    <n v="56"/>
    <n v="59"/>
    <n v="21"/>
    <n v="16"/>
    <x v="23"/>
    <n v="17"/>
    <n v="2"/>
    <n v="61"/>
    <n v="0.2"/>
    <n v="0"/>
    <n v="0"/>
  </r>
  <r>
    <x v="3940"/>
    <n v="2"/>
    <n v="61"/>
    <n v="63"/>
    <n v="17"/>
    <n v="21"/>
    <x v="24"/>
    <n v="17"/>
    <n v="6"/>
    <n v="57"/>
    <n v="0.60000000000000009"/>
    <n v="0"/>
    <n v="0"/>
  </r>
  <r>
    <x v="3941"/>
    <n v="6"/>
    <n v="57"/>
    <n v="63"/>
    <n v="17"/>
    <n v="19"/>
    <x v="27"/>
    <n v="21"/>
    <n v="4"/>
    <n v="55"/>
    <n v="0.4"/>
    <n v="0"/>
    <n v="0"/>
  </r>
  <r>
    <x v="3942"/>
    <n v="4"/>
    <n v="55"/>
    <n v="59"/>
    <n v="21"/>
    <n v="21"/>
    <x v="27"/>
    <n v="12"/>
    <n v="13"/>
    <n v="55"/>
    <n v="1.3"/>
    <n v="0"/>
    <n v="0"/>
  </r>
  <r>
    <x v="3943"/>
    <n v="13"/>
    <n v="55"/>
    <n v="68"/>
    <n v="12"/>
    <n v="17"/>
    <x v="13"/>
    <n v="19"/>
    <n v="11"/>
    <n v="50"/>
    <n v="1.1000000000000001"/>
    <n v="0"/>
    <n v="0"/>
  </r>
  <r>
    <x v="3944"/>
    <n v="11"/>
    <n v="50"/>
    <n v="61"/>
    <n v="19"/>
    <n v="17"/>
    <x v="25"/>
    <n v="19"/>
    <n v="9"/>
    <n v="52"/>
    <n v="0.9"/>
    <n v="0"/>
    <n v="0"/>
  </r>
  <r>
    <x v="3945"/>
    <n v="9"/>
    <n v="52"/>
    <n v="61"/>
    <n v="19"/>
    <n v="21"/>
    <x v="13"/>
    <n v="19"/>
    <n v="11"/>
    <n v="50"/>
    <n v="1.1000000000000001"/>
    <n v="0"/>
    <n v="0"/>
  </r>
  <r>
    <x v="3946"/>
    <n v="11"/>
    <n v="50"/>
    <n v="61"/>
    <n v="19"/>
    <n v="12"/>
    <x v="24"/>
    <n v="24"/>
    <n v="-1"/>
    <n v="57"/>
    <n v="0"/>
    <n v="1"/>
    <n v="1"/>
  </r>
  <r>
    <x v="3947"/>
    <n v="-1"/>
    <n v="57"/>
    <n v="56"/>
    <n v="24"/>
    <n v="19"/>
    <x v="33"/>
    <n v="17"/>
    <n v="1"/>
    <n v="62"/>
    <n v="0.1"/>
    <n v="0"/>
    <n v="0"/>
  </r>
  <r>
    <x v="3948"/>
    <n v="1"/>
    <n v="62"/>
    <n v="63"/>
    <n v="17"/>
    <n v="19"/>
    <x v="4"/>
    <n v="26"/>
    <n v="-6"/>
    <n v="60"/>
    <n v="0"/>
    <n v="1"/>
    <n v="6"/>
  </r>
  <r>
    <x v="3949"/>
    <n v="-6"/>
    <n v="60"/>
    <n v="54"/>
    <n v="26"/>
    <n v="19"/>
    <x v="21"/>
    <n v="26"/>
    <n v="-13"/>
    <n v="67"/>
    <n v="0"/>
    <n v="1"/>
    <n v="13"/>
  </r>
  <r>
    <x v="3950"/>
    <n v="-13"/>
    <n v="67"/>
    <n v="54"/>
    <n v="26"/>
    <n v="24"/>
    <x v="30"/>
    <n v="15"/>
    <n v="-4"/>
    <n v="69"/>
    <n v="0"/>
    <n v="1"/>
    <n v="4"/>
  </r>
  <r>
    <x v="3951"/>
    <n v="-4"/>
    <n v="69"/>
    <n v="65"/>
    <n v="15"/>
    <n v="17"/>
    <x v="21"/>
    <n v="22"/>
    <n v="-9"/>
    <n v="67"/>
    <n v="0"/>
    <n v="1"/>
    <n v="9"/>
  </r>
  <r>
    <x v="3952"/>
    <n v="-9"/>
    <n v="67"/>
    <n v="58"/>
    <n v="22"/>
    <n v="26"/>
    <x v="22"/>
    <n v="15"/>
    <n v="2"/>
    <n v="63"/>
    <n v="0.2"/>
    <n v="0"/>
    <n v="0"/>
  </r>
  <r>
    <x v="3953"/>
    <n v="2"/>
    <n v="63"/>
    <n v="65"/>
    <n v="15"/>
    <n v="26"/>
    <x v="25"/>
    <n v="23"/>
    <n v="5"/>
    <n v="52"/>
    <n v="0.5"/>
    <n v="0"/>
    <n v="0"/>
  </r>
  <r>
    <x v="3954"/>
    <n v="5"/>
    <n v="52"/>
    <n v="57"/>
    <n v="23"/>
    <n v="15"/>
    <x v="4"/>
    <n v="18"/>
    <n v="2"/>
    <n v="60"/>
    <n v="0.2"/>
    <n v="0"/>
    <n v="0"/>
  </r>
  <r>
    <x v="3955"/>
    <n v="2"/>
    <n v="60"/>
    <n v="62"/>
    <n v="18"/>
    <n v="22"/>
    <x v="32"/>
    <n v="16"/>
    <n v="8"/>
    <n v="56"/>
    <n v="0.8"/>
    <n v="0"/>
    <n v="0"/>
  </r>
  <r>
    <x v="3956"/>
    <n v="8"/>
    <n v="56"/>
    <n v="64"/>
    <n v="16"/>
    <n v="15"/>
    <x v="24"/>
    <n v="24"/>
    <n v="-1"/>
    <n v="57"/>
    <n v="0"/>
    <n v="1"/>
    <n v="1"/>
  </r>
  <r>
    <x v="3957"/>
    <n v="-1"/>
    <n v="57"/>
    <n v="56"/>
    <n v="24"/>
    <n v="23"/>
    <x v="28"/>
    <n v="27"/>
    <n v="-5"/>
    <n v="58"/>
    <n v="0"/>
    <n v="1"/>
    <n v="5"/>
  </r>
  <r>
    <x v="3958"/>
    <n v="-5"/>
    <n v="58"/>
    <n v="53"/>
    <n v="27"/>
    <n v="18"/>
    <x v="21"/>
    <n v="17"/>
    <n v="-4"/>
    <n v="67"/>
    <n v="0"/>
    <n v="1"/>
    <n v="4"/>
  </r>
  <r>
    <x v="3959"/>
    <n v="-4"/>
    <n v="67"/>
    <n v="63"/>
    <n v="17"/>
    <n v="16"/>
    <x v="17"/>
    <n v="15"/>
    <n v="-3"/>
    <n v="68"/>
    <n v="0"/>
    <n v="1"/>
    <n v="3"/>
  </r>
  <r>
    <x v="3960"/>
    <n v="-3"/>
    <n v="68"/>
    <n v="65"/>
    <n v="15"/>
    <n v="24"/>
    <x v="5"/>
    <n v="18"/>
    <n v="3"/>
    <n v="59"/>
    <n v="0.30000000000000004"/>
    <n v="0"/>
    <n v="0"/>
  </r>
  <r>
    <x v="3961"/>
    <n v="3"/>
    <n v="59"/>
    <n v="62"/>
    <n v="18"/>
    <n v="27"/>
    <x v="13"/>
    <n v="22"/>
    <n v="8"/>
    <n v="50"/>
    <n v="0.8"/>
    <n v="0"/>
    <n v="0"/>
  </r>
  <r>
    <x v="3962"/>
    <n v="8"/>
    <n v="50"/>
    <n v="58"/>
    <n v="22"/>
    <n v="17"/>
    <x v="27"/>
    <n v="22"/>
    <n v="3"/>
    <n v="55"/>
    <n v="0.30000000000000004"/>
    <n v="0"/>
    <n v="0"/>
  </r>
  <r>
    <x v="3963"/>
    <n v="3"/>
    <n v="55"/>
    <n v="58"/>
    <n v="22"/>
    <n v="15"/>
    <x v="33"/>
    <n v="15"/>
    <n v="3"/>
    <n v="62"/>
    <n v="0.30000000000000004"/>
    <n v="0"/>
    <n v="0"/>
  </r>
  <r>
    <x v="3964"/>
    <n v="3"/>
    <n v="62"/>
    <n v="65"/>
    <n v="15"/>
    <n v="18"/>
    <x v="5"/>
    <n v="22"/>
    <n v="-1"/>
    <n v="59"/>
    <n v="0"/>
    <n v="1"/>
    <n v="1"/>
  </r>
  <r>
    <x v="3965"/>
    <n v="-1"/>
    <n v="59"/>
    <n v="58"/>
    <n v="22"/>
    <n v="22"/>
    <x v="5"/>
    <n v="14"/>
    <n v="7"/>
    <n v="59"/>
    <n v="0.70000000000000007"/>
    <n v="0"/>
    <n v="0"/>
  </r>
  <r>
    <x v="3966"/>
    <n v="7"/>
    <n v="59"/>
    <n v="66"/>
    <n v="14"/>
    <n v="22"/>
    <x v="9"/>
    <n v="19"/>
    <n v="10"/>
    <n v="51"/>
    <n v="1"/>
    <n v="0"/>
    <n v="0"/>
  </r>
  <r>
    <x v="3967"/>
    <n v="10"/>
    <n v="51"/>
    <n v="61"/>
    <n v="19"/>
    <n v="15"/>
    <x v="27"/>
    <n v="24"/>
    <n v="1"/>
    <n v="55"/>
    <n v="0.1"/>
    <n v="0"/>
    <n v="0"/>
  </r>
  <r>
    <x v="3968"/>
    <n v="1"/>
    <n v="55"/>
    <n v="56"/>
    <n v="24"/>
    <n v="22"/>
    <x v="24"/>
    <n v="12"/>
    <n v="11"/>
    <n v="57"/>
    <n v="1.1000000000000001"/>
    <n v="0"/>
    <n v="0"/>
  </r>
  <r>
    <x v="3969"/>
    <n v="11"/>
    <n v="57"/>
    <n v="68"/>
    <n v="12"/>
    <n v="14"/>
    <x v="27"/>
    <n v="18"/>
    <n v="7"/>
    <n v="55"/>
    <n v="0.70000000000000007"/>
    <n v="0"/>
    <n v="0"/>
  </r>
  <r>
    <x v="3970"/>
    <n v="7"/>
    <n v="55"/>
    <n v="62"/>
    <n v="18"/>
    <n v="19"/>
    <x v="16"/>
    <n v="12"/>
    <n v="14"/>
    <n v="54"/>
    <n v="1.4000000000000001"/>
    <n v="0"/>
    <n v="0"/>
  </r>
  <r>
    <x v="3971"/>
    <n v="14"/>
    <n v="54"/>
    <n v="68"/>
    <n v="12"/>
    <n v="24"/>
    <x v="40"/>
    <n v="15"/>
    <n v="23"/>
    <n v="42"/>
    <n v="2.3000000000000003"/>
    <n v="0"/>
    <n v="0"/>
  </r>
  <r>
    <x v="3972"/>
    <n v="23"/>
    <n v="42"/>
    <n v="65"/>
    <n v="15"/>
    <n v="12"/>
    <x v="11"/>
    <n v="18"/>
    <n v="17"/>
    <n v="45"/>
    <n v="1.7000000000000002"/>
    <n v="0"/>
    <n v="0"/>
  </r>
  <r>
    <x v="3973"/>
    <n v="17"/>
    <n v="45"/>
    <n v="62"/>
    <n v="18"/>
    <n v="18"/>
    <x v="11"/>
    <n v="20"/>
    <n v="15"/>
    <n v="45"/>
    <n v="1.5"/>
    <n v="0"/>
    <n v="0"/>
  </r>
  <r>
    <x v="3974"/>
    <n v="15"/>
    <n v="45"/>
    <n v="60"/>
    <n v="20"/>
    <n v="12"/>
    <x v="12"/>
    <n v="12"/>
    <n v="15"/>
    <n v="53"/>
    <n v="1.5"/>
    <n v="0"/>
    <n v="0"/>
  </r>
  <r>
    <x v="3975"/>
    <n v="15"/>
    <n v="53"/>
    <n v="68"/>
    <n v="12"/>
    <n v="15"/>
    <x v="13"/>
    <n v="26"/>
    <n v="4"/>
    <n v="50"/>
    <n v="0.4"/>
    <n v="0"/>
    <n v="0"/>
  </r>
  <r>
    <x v="3976"/>
    <n v="4"/>
    <n v="50"/>
    <n v="54"/>
    <n v="26"/>
    <n v="18"/>
    <x v="28"/>
    <n v="25"/>
    <n v="-3"/>
    <n v="58"/>
    <n v="0"/>
    <n v="1"/>
    <n v="3"/>
  </r>
  <r>
    <x v="3977"/>
    <n v="-3"/>
    <n v="58"/>
    <n v="55"/>
    <n v="25"/>
    <n v="20"/>
    <x v="22"/>
    <n v="27"/>
    <n v="-10"/>
    <n v="63"/>
    <n v="0"/>
    <n v="1"/>
    <n v="10"/>
  </r>
  <r>
    <x v="3978"/>
    <n v="-10"/>
    <n v="63"/>
    <n v="53"/>
    <n v="27"/>
    <n v="12"/>
    <x v="35"/>
    <n v="17"/>
    <n v="-15"/>
    <n v="78"/>
    <n v="0"/>
    <n v="1"/>
    <n v="15"/>
  </r>
  <r>
    <x v="3979"/>
    <n v="-15"/>
    <n v="78"/>
    <n v="63"/>
    <n v="17"/>
    <n v="26"/>
    <x v="30"/>
    <n v="15"/>
    <n v="-4"/>
    <n v="69"/>
    <n v="0"/>
    <n v="1"/>
    <n v="4"/>
  </r>
  <r>
    <x v="3980"/>
    <n v="-4"/>
    <n v="69"/>
    <n v="65"/>
    <n v="15"/>
    <n v="25"/>
    <x v="5"/>
    <n v="19"/>
    <n v="2"/>
    <n v="59"/>
    <n v="0.2"/>
    <n v="0"/>
    <n v="0"/>
  </r>
  <r>
    <x v="3981"/>
    <n v="2"/>
    <n v="59"/>
    <n v="61"/>
    <n v="19"/>
    <n v="27"/>
    <x v="9"/>
    <n v="26"/>
    <n v="3"/>
    <n v="51"/>
    <n v="0.30000000000000004"/>
    <n v="0"/>
    <n v="0"/>
  </r>
  <r>
    <x v="3982"/>
    <n v="3"/>
    <n v="51"/>
    <n v="54"/>
    <n v="26"/>
    <n v="17"/>
    <x v="4"/>
    <n v="22"/>
    <n v="-2"/>
    <n v="60"/>
    <n v="0"/>
    <n v="1"/>
    <n v="2"/>
  </r>
  <r>
    <x v="3983"/>
    <n v="-2"/>
    <n v="60"/>
    <n v="58"/>
    <n v="22"/>
    <n v="15"/>
    <x v="21"/>
    <n v="21"/>
    <n v="-8"/>
    <n v="67"/>
    <n v="0"/>
    <n v="1"/>
    <n v="8"/>
  </r>
  <r>
    <x v="3984"/>
    <n v="-8"/>
    <n v="67"/>
    <n v="59"/>
    <n v="21"/>
    <n v="19"/>
    <x v="30"/>
    <n v="26"/>
    <n v="-15"/>
    <n v="69"/>
    <n v="0"/>
    <n v="1"/>
    <n v="15"/>
  </r>
  <r>
    <x v="3985"/>
    <n v="-15"/>
    <n v="69"/>
    <n v="54"/>
    <n v="26"/>
    <n v="26"/>
    <x v="30"/>
    <n v="26"/>
    <n v="-15"/>
    <n v="69"/>
    <n v="0"/>
    <n v="1"/>
    <n v="15"/>
  </r>
  <r>
    <x v="3986"/>
    <n v="-15"/>
    <n v="69"/>
    <n v="54"/>
    <n v="26"/>
    <n v="22"/>
    <x v="31"/>
    <n v="18"/>
    <n v="-11"/>
    <n v="73"/>
    <n v="0"/>
    <n v="1"/>
    <n v="11"/>
  </r>
  <r>
    <x v="3987"/>
    <n v="-11"/>
    <n v="73"/>
    <n v="62"/>
    <n v="18"/>
    <n v="21"/>
    <x v="6"/>
    <n v="18"/>
    <n v="-8"/>
    <n v="70"/>
    <n v="0"/>
    <n v="1"/>
    <n v="8"/>
  </r>
  <r>
    <x v="3988"/>
    <n v="-8"/>
    <n v="70"/>
    <n v="62"/>
    <n v="18"/>
    <n v="26"/>
    <x v="33"/>
    <n v="21"/>
    <n v="-3"/>
    <n v="62"/>
    <n v="0"/>
    <n v="1"/>
    <n v="3"/>
  </r>
  <r>
    <x v="3989"/>
    <n v="-3"/>
    <n v="62"/>
    <n v="59"/>
    <n v="21"/>
    <n v="26"/>
    <x v="24"/>
    <n v="17"/>
    <n v="6"/>
    <n v="57"/>
    <n v="0.60000000000000009"/>
    <n v="0"/>
    <n v="0"/>
  </r>
  <r>
    <x v="3990"/>
    <n v="6"/>
    <n v="57"/>
    <n v="63"/>
    <n v="17"/>
    <n v="18"/>
    <x v="32"/>
    <n v="23"/>
    <n v="1"/>
    <n v="56"/>
    <n v="0.1"/>
    <n v="0"/>
    <n v="0"/>
  </r>
  <r>
    <x v="3991"/>
    <n v="1"/>
    <n v="56"/>
    <n v="57"/>
    <n v="23"/>
    <n v="18"/>
    <x v="23"/>
    <n v="23"/>
    <n v="-4"/>
    <n v="61"/>
    <n v="0"/>
    <n v="1"/>
    <n v="4"/>
  </r>
  <r>
    <x v="3992"/>
    <n v="-4"/>
    <n v="61"/>
    <n v="57"/>
    <n v="23"/>
    <n v="21"/>
    <x v="22"/>
    <n v="19"/>
    <n v="-2"/>
    <n v="63"/>
    <n v="0"/>
    <n v="1"/>
    <n v="2"/>
  </r>
  <r>
    <x v="3993"/>
    <n v="-2"/>
    <n v="63"/>
    <n v="61"/>
    <n v="19"/>
    <n v="17"/>
    <x v="26"/>
    <n v="13"/>
    <n v="2"/>
    <n v="65"/>
    <n v="0.2"/>
    <n v="0"/>
    <n v="0"/>
  </r>
  <r>
    <x v="3994"/>
    <n v="2"/>
    <n v="65"/>
    <n v="67"/>
    <n v="13"/>
    <n v="23"/>
    <x v="27"/>
    <n v="18"/>
    <n v="7"/>
    <n v="55"/>
    <n v="0.70000000000000007"/>
    <n v="0"/>
    <n v="0"/>
  </r>
  <r>
    <x v="3995"/>
    <n v="7"/>
    <n v="55"/>
    <n v="62"/>
    <n v="18"/>
    <n v="23"/>
    <x v="13"/>
    <n v="18"/>
    <n v="12"/>
    <n v="50"/>
    <n v="1.2000000000000002"/>
    <n v="0"/>
    <n v="0"/>
  </r>
  <r>
    <x v="3996"/>
    <n v="12"/>
    <n v="50"/>
    <n v="62"/>
    <n v="18"/>
    <n v="19"/>
    <x v="10"/>
    <n v="22"/>
    <n v="9"/>
    <n v="49"/>
    <n v="0.9"/>
    <n v="0"/>
    <n v="0"/>
  </r>
  <r>
    <x v="3997"/>
    <n v="9"/>
    <n v="49"/>
    <n v="58"/>
    <n v="22"/>
    <n v="13"/>
    <x v="28"/>
    <n v="23"/>
    <n v="-1"/>
    <n v="58"/>
    <n v="0"/>
    <n v="1"/>
    <n v="1"/>
  </r>
  <r>
    <x v="3998"/>
    <n v="-1"/>
    <n v="58"/>
    <n v="57"/>
    <n v="23"/>
    <n v="18"/>
    <x v="22"/>
    <n v="12"/>
    <n v="5"/>
    <n v="63"/>
    <n v="0.5"/>
    <n v="0"/>
    <n v="0"/>
  </r>
  <r>
    <x v="3999"/>
    <n v="5"/>
    <n v="63"/>
    <n v="68"/>
    <n v="12"/>
    <n v="18"/>
    <x v="24"/>
    <n v="17"/>
    <n v="6"/>
    <n v="57"/>
    <n v="0.60000000000000009"/>
    <n v="0"/>
    <n v="0"/>
  </r>
  <r>
    <x v="4000"/>
    <n v="6"/>
    <n v="57"/>
    <n v="63"/>
    <n v="17"/>
    <n v="22"/>
    <x v="25"/>
    <n v="20"/>
    <n v="8"/>
    <n v="52"/>
    <n v="0.8"/>
    <n v="0"/>
    <n v="0"/>
  </r>
  <r>
    <x v="4001"/>
    <n v="8"/>
    <n v="52"/>
    <n v="60"/>
    <n v="20"/>
    <n v="23"/>
    <x v="10"/>
    <n v="22"/>
    <n v="9"/>
    <n v="49"/>
    <n v="0.9"/>
    <n v="0"/>
    <n v="0"/>
  </r>
  <r>
    <x v="4002"/>
    <n v="9"/>
    <n v="49"/>
    <n v="58"/>
    <n v="22"/>
    <n v="12"/>
    <x v="5"/>
    <n v="18"/>
    <n v="3"/>
    <n v="59"/>
    <n v="0.30000000000000004"/>
    <n v="0"/>
    <n v="0"/>
  </r>
  <r>
    <x v="4003"/>
    <n v="3"/>
    <n v="59"/>
    <n v="62"/>
    <n v="18"/>
    <n v="17"/>
    <x v="4"/>
    <n v="13"/>
    <n v="7"/>
    <n v="60"/>
    <n v="0.70000000000000007"/>
    <n v="0"/>
    <n v="0"/>
  </r>
  <r>
    <x v="4004"/>
    <n v="7"/>
    <n v="60"/>
    <n v="67"/>
    <n v="13"/>
    <n v="20"/>
    <x v="12"/>
    <n v="13"/>
    <n v="14"/>
    <n v="53"/>
    <n v="1.4000000000000001"/>
    <n v="0"/>
    <n v="0"/>
  </r>
  <r>
    <x v="4005"/>
    <n v="14"/>
    <n v="53"/>
    <n v="67"/>
    <n v="13"/>
    <n v="22"/>
    <x v="45"/>
    <n v="20"/>
    <n v="16"/>
    <n v="44"/>
    <n v="1.6"/>
    <n v="0"/>
    <n v="0"/>
  </r>
  <r>
    <x v="4006"/>
    <n v="16"/>
    <n v="44"/>
    <n v="60"/>
    <n v="20"/>
    <n v="18"/>
    <x v="38"/>
    <n v="17"/>
    <n v="17"/>
    <n v="46"/>
    <n v="1.7000000000000002"/>
    <n v="0"/>
    <n v="0"/>
  </r>
  <r>
    <x v="4007"/>
    <n v="17"/>
    <n v="46"/>
    <n v="63"/>
    <n v="17"/>
    <n v="13"/>
    <x v="13"/>
    <n v="12"/>
    <n v="18"/>
    <n v="50"/>
    <n v="1.8"/>
    <n v="0"/>
    <n v="0"/>
  </r>
  <r>
    <x v="4008"/>
    <n v="18"/>
    <n v="50"/>
    <n v="68"/>
    <n v="12"/>
    <n v="13"/>
    <x v="10"/>
    <n v="21"/>
    <n v="10"/>
    <n v="49"/>
    <n v="1"/>
    <n v="0"/>
    <n v="0"/>
  </r>
  <r>
    <x v="4009"/>
    <n v="10"/>
    <n v="49"/>
    <n v="59"/>
    <n v="21"/>
    <n v="20"/>
    <x v="13"/>
    <n v="18"/>
    <n v="12"/>
    <n v="50"/>
    <n v="1.2000000000000002"/>
    <n v="0"/>
    <n v="0"/>
  </r>
  <r>
    <x v="4010"/>
    <n v="12"/>
    <n v="50"/>
    <n v="62"/>
    <n v="18"/>
    <n v="17"/>
    <x v="9"/>
    <n v="21"/>
    <n v="8"/>
    <n v="51"/>
    <n v="0.8"/>
    <n v="0"/>
    <n v="0"/>
  </r>
  <r>
    <x v="4011"/>
    <n v="8"/>
    <n v="51"/>
    <n v="59"/>
    <n v="21"/>
    <n v="12"/>
    <x v="4"/>
    <n v="23"/>
    <n v="-3"/>
    <n v="60"/>
    <n v="0"/>
    <n v="1"/>
    <n v="3"/>
  </r>
  <r>
    <x v="4012"/>
    <n v="-3"/>
    <n v="60"/>
    <n v="57"/>
    <n v="23"/>
    <n v="21"/>
    <x v="33"/>
    <n v="27"/>
    <n v="-9"/>
    <n v="62"/>
    <n v="0"/>
    <n v="1"/>
    <n v="9"/>
  </r>
  <r>
    <x v="4013"/>
    <n v="-9"/>
    <n v="62"/>
    <n v="53"/>
    <n v="27"/>
    <n v="18"/>
    <x v="20"/>
    <n v="22"/>
    <n v="-13"/>
    <n v="71"/>
    <n v="0"/>
    <n v="1"/>
    <n v="13"/>
  </r>
  <r>
    <x v="4014"/>
    <n v="-13"/>
    <n v="71"/>
    <n v="58"/>
    <n v="22"/>
    <n v="21"/>
    <x v="29"/>
    <n v="30"/>
    <n v="-22"/>
    <n v="72"/>
    <n v="0"/>
    <n v="1"/>
    <n v="22"/>
  </r>
  <r>
    <x v="4015"/>
    <n v="-22"/>
    <n v="72"/>
    <n v="50"/>
    <n v="30"/>
    <n v="23"/>
    <x v="43"/>
    <n v="26"/>
    <n v="-25"/>
    <n v="79"/>
    <n v="0"/>
    <n v="1"/>
    <n v="25"/>
  </r>
  <r>
    <x v="4016"/>
    <n v="-25"/>
    <n v="79"/>
    <n v="54"/>
    <n v="26"/>
    <n v="27"/>
    <x v="35"/>
    <n v="15"/>
    <n v="-13"/>
    <n v="78"/>
    <n v="0"/>
    <n v="1"/>
    <n v="13"/>
  </r>
  <r>
    <x v="4017"/>
    <n v="-13"/>
    <n v="78"/>
    <n v="65"/>
    <n v="15"/>
    <n v="22"/>
    <x v="20"/>
    <n v="25"/>
    <n v="-16"/>
    <n v="71"/>
    <n v="0"/>
    <n v="1"/>
    <n v="16"/>
  </r>
  <r>
    <x v="4018"/>
    <n v="-16"/>
    <n v="71"/>
    <n v="55"/>
    <n v="25"/>
    <n v="30"/>
    <x v="7"/>
    <n v="22"/>
    <n v="-8"/>
    <n v="66"/>
    <n v="0"/>
    <n v="1"/>
    <n v="8"/>
  </r>
  <r>
    <x v="4019"/>
    <n v="-8"/>
    <n v="66"/>
    <n v="58"/>
    <n v="22"/>
    <n v="26"/>
    <x v="33"/>
    <n v="26"/>
    <n v="-8"/>
    <n v="62"/>
    <n v="0"/>
    <n v="1"/>
    <n v="8"/>
  </r>
  <r>
    <x v="4020"/>
    <n v="-8"/>
    <n v="62"/>
    <n v="54"/>
    <n v="26"/>
    <n v="15"/>
    <x v="31"/>
    <n v="19"/>
    <n v="-12"/>
    <n v="73"/>
    <n v="0"/>
    <n v="1"/>
    <n v="12"/>
  </r>
  <r>
    <x v="4021"/>
    <n v="-12"/>
    <n v="73"/>
    <n v="61"/>
    <n v="19"/>
    <n v="25"/>
    <x v="21"/>
    <n v="20"/>
    <n v="-7"/>
    <n v="67"/>
    <n v="0"/>
    <n v="1"/>
    <n v="7"/>
  </r>
  <r>
    <x v="4022"/>
    <n v="-7"/>
    <n v="67"/>
    <n v="60"/>
    <n v="20"/>
    <n v="22"/>
    <x v="26"/>
    <n v="12"/>
    <n v="3"/>
    <n v="65"/>
    <n v="0.30000000000000004"/>
    <n v="0"/>
    <n v="0"/>
  </r>
  <r>
    <x v="4023"/>
    <n v="3"/>
    <n v="65"/>
    <n v="68"/>
    <n v="12"/>
    <n v="26"/>
    <x v="9"/>
    <n v="14"/>
    <n v="15"/>
    <n v="51"/>
    <n v="1.5"/>
    <n v="0"/>
    <n v="0"/>
  </r>
  <r>
    <x v="4024"/>
    <n v="15"/>
    <n v="51"/>
    <n v="66"/>
    <n v="14"/>
    <n v="19"/>
    <x v="38"/>
    <n v="14"/>
    <n v="20"/>
    <n v="46"/>
    <n v="2"/>
    <n v="0"/>
    <n v="0"/>
  </r>
  <r>
    <x v="4025"/>
    <n v="20"/>
    <n v="46"/>
    <n v="66"/>
    <n v="14"/>
    <n v="20"/>
    <x v="46"/>
    <n v="30"/>
    <n v="10"/>
    <n v="40"/>
    <n v="1"/>
    <n v="0"/>
    <n v="0"/>
  </r>
  <r>
    <x v="4026"/>
    <n v="10"/>
    <n v="40"/>
    <n v="50"/>
    <n v="30"/>
    <n v="12"/>
    <x v="28"/>
    <n v="17"/>
    <n v="5"/>
    <n v="58"/>
    <n v="0.5"/>
    <n v="0"/>
    <n v="0"/>
  </r>
  <r>
    <x v="4027"/>
    <n v="5"/>
    <n v="58"/>
    <n v="63"/>
    <n v="17"/>
    <n v="14"/>
    <x v="23"/>
    <n v="29"/>
    <n v="-10"/>
    <n v="61"/>
    <n v="0"/>
    <n v="1"/>
    <n v="10"/>
  </r>
  <r>
    <x v="4028"/>
    <n v="-10"/>
    <n v="61"/>
    <n v="51"/>
    <n v="29"/>
    <n v="14"/>
    <x v="37"/>
    <n v="21"/>
    <n v="-17"/>
    <n v="76"/>
    <n v="0"/>
    <n v="1"/>
    <n v="17"/>
  </r>
  <r>
    <x v="4029"/>
    <n v="-17"/>
    <n v="76"/>
    <n v="59"/>
    <n v="21"/>
    <n v="30"/>
    <x v="21"/>
    <n v="27"/>
    <n v="-14"/>
    <n v="67"/>
    <n v="0"/>
    <n v="1"/>
    <n v="14"/>
  </r>
  <r>
    <x v="4030"/>
    <n v="-14"/>
    <n v="67"/>
    <n v="53"/>
    <n v="27"/>
    <n v="17"/>
    <x v="18"/>
    <n v="22"/>
    <n v="-19"/>
    <n v="77"/>
    <n v="0"/>
    <n v="1"/>
    <n v="19"/>
  </r>
  <r>
    <x v="4031"/>
    <n v="-19"/>
    <n v="77"/>
    <n v="58"/>
    <n v="22"/>
    <n v="29"/>
    <x v="6"/>
    <n v="16"/>
    <n v="-6"/>
    <n v="70"/>
    <n v="0"/>
    <n v="1"/>
    <n v="6"/>
  </r>
  <r>
    <x v="4032"/>
    <n v="-6"/>
    <n v="70"/>
    <n v="64"/>
    <n v="16"/>
    <n v="21"/>
    <x v="26"/>
    <n v="18"/>
    <n v="-3"/>
    <n v="65"/>
    <n v="0"/>
    <n v="1"/>
    <n v="3"/>
  </r>
  <r>
    <x v="4033"/>
    <n v="-3"/>
    <n v="65"/>
    <n v="62"/>
    <n v="18"/>
    <n v="27"/>
    <x v="32"/>
    <n v="17"/>
    <n v="7"/>
    <n v="56"/>
    <n v="0.70000000000000007"/>
    <n v="0"/>
    <n v="0"/>
  </r>
  <r>
    <x v="4034"/>
    <n v="7"/>
    <n v="56"/>
    <n v="63"/>
    <n v="17"/>
    <n v="22"/>
    <x v="9"/>
    <n v="23"/>
    <n v="6"/>
    <n v="51"/>
    <n v="0.60000000000000009"/>
    <n v="0"/>
    <n v="0"/>
  </r>
  <r>
    <x v="4035"/>
    <n v="6"/>
    <n v="51"/>
    <n v="57"/>
    <n v="23"/>
    <n v="16"/>
    <x v="28"/>
    <n v="16"/>
    <n v="6"/>
    <n v="58"/>
    <n v="0.60000000000000009"/>
    <n v="0"/>
    <n v="0"/>
  </r>
  <r>
    <x v="4036"/>
    <n v="6"/>
    <n v="58"/>
    <n v="64"/>
    <n v="16"/>
    <n v="18"/>
    <x v="32"/>
    <n v="26"/>
    <n v="-2"/>
    <n v="56"/>
    <n v="0"/>
    <n v="1"/>
    <n v="2"/>
  </r>
  <r>
    <x v="4037"/>
    <n v="-2"/>
    <n v="56"/>
    <n v="54"/>
    <n v="26"/>
    <n v="17"/>
    <x v="26"/>
    <n v="17"/>
    <n v="-2"/>
    <n v="65"/>
    <n v="0"/>
    <n v="1"/>
    <n v="2"/>
  </r>
  <r>
    <x v="4038"/>
    <n v="-2"/>
    <n v="65"/>
    <n v="63"/>
    <n v="17"/>
    <n v="23"/>
    <x v="5"/>
    <n v="25"/>
    <n v="-4"/>
    <n v="59"/>
    <n v="0"/>
    <n v="1"/>
    <n v="4"/>
  </r>
  <r>
    <x v="4039"/>
    <n v="-4"/>
    <n v="59"/>
    <n v="55"/>
    <n v="25"/>
    <n v="16"/>
    <x v="17"/>
    <n v="15"/>
    <n v="-3"/>
    <n v="68"/>
    <n v="0"/>
    <n v="1"/>
    <n v="3"/>
  </r>
  <r>
    <x v="4040"/>
    <n v="-3"/>
    <n v="68"/>
    <n v="65"/>
    <n v="15"/>
    <n v="26"/>
    <x v="24"/>
    <n v="16"/>
    <n v="7"/>
    <n v="57"/>
    <n v="0.70000000000000007"/>
    <n v="0"/>
    <n v="0"/>
  </r>
  <r>
    <x v="4041"/>
    <n v="7"/>
    <n v="57"/>
    <n v="64"/>
    <n v="16"/>
    <n v="17"/>
    <x v="32"/>
    <n v="23"/>
    <n v="1"/>
    <n v="56"/>
    <n v="0.1"/>
    <n v="0"/>
    <n v="0"/>
  </r>
  <r>
    <x v="4042"/>
    <n v="1"/>
    <n v="56"/>
    <n v="57"/>
    <n v="23"/>
    <n v="25"/>
    <x v="16"/>
    <n v="22"/>
    <n v="4"/>
    <n v="54"/>
    <n v="0.4"/>
    <n v="0"/>
    <n v="0"/>
  </r>
  <r>
    <x v="4043"/>
    <n v="4"/>
    <n v="54"/>
    <n v="58"/>
    <n v="22"/>
    <n v="15"/>
    <x v="23"/>
    <n v="16"/>
    <n v="3"/>
    <n v="61"/>
    <n v="0.30000000000000004"/>
    <n v="0"/>
    <n v="0"/>
  </r>
  <r>
    <x v="4044"/>
    <n v="3"/>
    <n v="61"/>
    <n v="64"/>
    <n v="16"/>
    <n v="16"/>
    <x v="23"/>
    <n v="23"/>
    <n v="-4"/>
    <n v="61"/>
    <n v="0"/>
    <n v="1"/>
    <n v="4"/>
  </r>
  <r>
    <x v="4045"/>
    <n v="-4"/>
    <n v="61"/>
    <n v="57"/>
    <n v="23"/>
    <n v="23"/>
    <x v="23"/>
    <n v="20"/>
    <n v="-1"/>
    <n v="61"/>
    <n v="0"/>
    <n v="1"/>
    <n v="1"/>
  </r>
  <r>
    <x v="4046"/>
    <n v="-1"/>
    <n v="61"/>
    <n v="60"/>
    <n v="20"/>
    <n v="22"/>
    <x v="5"/>
    <n v="20"/>
    <n v="1"/>
    <n v="59"/>
    <n v="0.1"/>
    <n v="0"/>
    <n v="0"/>
  </r>
  <r>
    <x v="4047"/>
    <n v="1"/>
    <n v="59"/>
    <n v="60"/>
    <n v="20"/>
    <n v="16"/>
    <x v="22"/>
    <n v="23"/>
    <n v="-6"/>
    <n v="63"/>
    <n v="0"/>
    <n v="1"/>
    <n v="6"/>
  </r>
  <r>
    <x v="4048"/>
    <n v="-6"/>
    <n v="63"/>
    <n v="57"/>
    <n v="23"/>
    <n v="23"/>
    <x v="22"/>
    <n v="20"/>
    <n v="-3"/>
    <n v="63"/>
    <n v="0"/>
    <n v="1"/>
    <n v="3"/>
  </r>
  <r>
    <x v="4049"/>
    <n v="-3"/>
    <n v="63"/>
    <n v="60"/>
    <n v="20"/>
    <n v="20"/>
    <x v="22"/>
    <n v="19"/>
    <n v="-2"/>
    <n v="63"/>
    <n v="0"/>
    <n v="1"/>
    <n v="2"/>
  </r>
  <r>
    <x v="4050"/>
    <n v="-2"/>
    <n v="63"/>
    <n v="61"/>
    <n v="19"/>
    <n v="20"/>
    <x v="33"/>
    <n v="22"/>
    <n v="-4"/>
    <n v="62"/>
    <n v="0"/>
    <n v="1"/>
    <n v="4"/>
  </r>
  <r>
    <x v="4051"/>
    <n v="-4"/>
    <n v="62"/>
    <n v="58"/>
    <n v="22"/>
    <n v="23"/>
    <x v="23"/>
    <n v="19"/>
    <n v="0"/>
    <n v="61"/>
    <n v="0"/>
    <n v="0"/>
    <n v="0"/>
  </r>
  <r>
    <x v="4052"/>
    <n v="0"/>
    <n v="61"/>
    <n v="61"/>
    <n v="19"/>
    <n v="20"/>
    <x v="4"/>
    <n v="21"/>
    <n v="-1"/>
    <n v="60"/>
    <n v="0"/>
    <n v="1"/>
    <n v="1"/>
  </r>
  <r>
    <x v="4053"/>
    <n v="-1"/>
    <n v="60"/>
    <n v="59"/>
    <n v="21"/>
    <n v="19"/>
    <x v="33"/>
    <n v="24"/>
    <n v="-6"/>
    <n v="62"/>
    <n v="0"/>
    <n v="1"/>
    <n v="6"/>
  </r>
  <r>
    <x v="4054"/>
    <n v="-6"/>
    <n v="62"/>
    <n v="56"/>
    <n v="24"/>
    <n v="22"/>
    <x v="8"/>
    <n v="22"/>
    <n v="-6"/>
    <n v="64"/>
    <n v="0"/>
    <n v="1"/>
    <n v="6"/>
  </r>
  <r>
    <x v="4055"/>
    <n v="-6"/>
    <n v="64"/>
    <n v="58"/>
    <n v="22"/>
    <n v="19"/>
    <x v="21"/>
    <n v="14"/>
    <n v="-1"/>
    <n v="67"/>
    <n v="0"/>
    <n v="1"/>
    <n v="1"/>
  </r>
  <r>
    <x v="4056"/>
    <n v="-1"/>
    <n v="67"/>
    <n v="66"/>
    <n v="14"/>
    <n v="21"/>
    <x v="4"/>
    <n v="27"/>
    <n v="-7"/>
    <n v="60"/>
    <n v="0"/>
    <n v="1"/>
    <n v="7"/>
  </r>
  <r>
    <x v="4057"/>
    <n v="-7"/>
    <n v="60"/>
    <n v="53"/>
    <n v="27"/>
    <n v="24"/>
    <x v="22"/>
    <n v="17"/>
    <n v="0"/>
    <n v="63"/>
    <n v="0"/>
    <n v="0"/>
    <n v="0"/>
  </r>
  <r>
    <x v="4058"/>
    <n v="0"/>
    <n v="63"/>
    <n v="63"/>
    <n v="17"/>
    <n v="22"/>
    <x v="28"/>
    <n v="26"/>
    <n v="-4"/>
    <n v="58"/>
    <n v="0"/>
    <n v="1"/>
    <n v="4"/>
  </r>
  <r>
    <x v="4059"/>
    <n v="-4"/>
    <n v="58"/>
    <n v="54"/>
    <n v="26"/>
    <n v="14"/>
    <x v="6"/>
    <n v="18"/>
    <n v="-8"/>
    <n v="70"/>
    <n v="0"/>
    <n v="1"/>
    <n v="8"/>
  </r>
  <r>
    <x v="4060"/>
    <n v="-8"/>
    <n v="70"/>
    <n v="62"/>
    <n v="18"/>
    <n v="27"/>
    <x v="23"/>
    <n v="11"/>
    <n v="8"/>
    <n v="61"/>
    <n v="0.8"/>
    <n v="0"/>
    <n v="0"/>
  </r>
  <r>
    <x v="4061"/>
    <n v="8"/>
    <n v="61"/>
    <n v="69"/>
    <n v="11"/>
    <n v="17"/>
    <x v="27"/>
    <n v="19"/>
    <n v="6"/>
    <n v="55"/>
    <n v="0.60000000000000009"/>
    <n v="0"/>
    <n v="0"/>
  </r>
  <r>
    <x v="4062"/>
    <n v="6"/>
    <n v="55"/>
    <n v="61"/>
    <n v="19"/>
    <n v="26"/>
    <x v="15"/>
    <n v="26"/>
    <n v="6"/>
    <n v="48"/>
    <n v="0.60000000000000009"/>
    <n v="0"/>
    <n v="0"/>
  </r>
  <r>
    <x v="4063"/>
    <n v="6"/>
    <n v="48"/>
    <n v="54"/>
    <n v="26"/>
    <n v="18"/>
    <x v="32"/>
    <n v="28"/>
    <n v="-4"/>
    <n v="56"/>
    <n v="0"/>
    <n v="1"/>
    <n v="4"/>
  </r>
  <r>
    <x v="4064"/>
    <n v="-4"/>
    <n v="56"/>
    <n v="52"/>
    <n v="28"/>
    <n v="11"/>
    <x v="31"/>
    <n v="21"/>
    <n v="-14"/>
    <n v="73"/>
    <n v="0"/>
    <n v="1"/>
    <n v="14"/>
  </r>
  <r>
    <x v="4065"/>
    <n v="-14"/>
    <n v="73"/>
    <n v="59"/>
    <n v="21"/>
    <n v="19"/>
    <x v="44"/>
    <n v="16"/>
    <n v="-11"/>
    <n v="75"/>
    <n v="0"/>
    <n v="1"/>
    <n v="11"/>
  </r>
  <r>
    <x v="4066"/>
    <n v="-11"/>
    <n v="75"/>
    <n v="64"/>
    <n v="16"/>
    <n v="26"/>
    <x v="26"/>
    <n v="21"/>
    <n v="-6"/>
    <n v="65"/>
    <n v="0"/>
    <n v="1"/>
    <n v="6"/>
  </r>
  <r>
    <x v="4067"/>
    <n v="-6"/>
    <n v="65"/>
    <n v="59"/>
    <n v="21"/>
    <n v="28"/>
    <x v="28"/>
    <n v="19"/>
    <n v="3"/>
    <n v="58"/>
    <n v="0.30000000000000004"/>
    <n v="0"/>
    <n v="0"/>
  </r>
  <r>
    <x v="4068"/>
    <n v="3"/>
    <n v="58"/>
    <n v="61"/>
    <n v="19"/>
    <n v="21"/>
    <x v="32"/>
    <n v="20"/>
    <n v="4"/>
    <n v="56"/>
    <n v="0.4"/>
    <n v="0"/>
    <n v="0"/>
  </r>
  <r>
    <x v="4069"/>
    <n v="4"/>
    <n v="56"/>
    <n v="60"/>
    <n v="20"/>
    <n v="16"/>
    <x v="4"/>
    <n v="22"/>
    <n v="-2"/>
    <n v="60"/>
    <n v="0"/>
    <n v="1"/>
    <n v="2"/>
  </r>
  <r>
    <x v="4070"/>
    <n v="-2"/>
    <n v="60"/>
    <n v="58"/>
    <n v="22"/>
    <n v="21"/>
    <x v="23"/>
    <n v="20"/>
    <n v="-1"/>
    <n v="61"/>
    <n v="0"/>
    <n v="1"/>
    <n v="1"/>
  </r>
  <r>
    <x v="4071"/>
    <n v="-1"/>
    <n v="61"/>
    <n v="60"/>
    <n v="20"/>
    <n v="19"/>
    <x v="33"/>
    <n v="21"/>
    <n v="-3"/>
    <n v="62"/>
    <n v="0"/>
    <n v="1"/>
    <n v="3"/>
  </r>
  <r>
    <x v="4072"/>
    <n v="-3"/>
    <n v="62"/>
    <n v="59"/>
    <n v="21"/>
    <n v="20"/>
    <x v="22"/>
    <n v="19"/>
    <n v="-2"/>
    <n v="63"/>
    <n v="0"/>
    <n v="1"/>
    <n v="2"/>
  </r>
  <r>
    <x v="4073"/>
    <n v="-2"/>
    <n v="63"/>
    <n v="61"/>
    <n v="19"/>
    <n v="22"/>
    <x v="4"/>
    <n v="15"/>
    <n v="5"/>
    <n v="60"/>
    <n v="0.5"/>
    <n v="0"/>
    <n v="0"/>
  </r>
  <r>
    <x v="4074"/>
    <n v="5"/>
    <n v="60"/>
    <n v="65"/>
    <n v="15"/>
    <n v="20"/>
    <x v="27"/>
    <n v="33"/>
    <n v="-8"/>
    <n v="55"/>
    <n v="0"/>
    <n v="1"/>
    <n v="8"/>
  </r>
  <r>
    <x v="4075"/>
    <n v="-8"/>
    <n v="55"/>
    <n v="47"/>
    <n v="33"/>
    <n v="21"/>
    <x v="21"/>
    <n v="14"/>
    <n v="-1"/>
    <n v="67"/>
    <n v="0"/>
    <n v="1"/>
    <n v="1"/>
  </r>
  <r>
    <x v="4076"/>
    <n v="-1"/>
    <n v="67"/>
    <n v="66"/>
    <n v="14"/>
    <n v="19"/>
    <x v="33"/>
    <n v="24"/>
    <n v="-6"/>
    <n v="62"/>
    <n v="0"/>
    <n v="1"/>
    <n v="6"/>
  </r>
  <r>
    <x v="4077"/>
    <n v="-6"/>
    <n v="62"/>
    <n v="56"/>
    <n v="24"/>
    <n v="15"/>
    <x v="20"/>
    <n v="16"/>
    <n v="-7"/>
    <n v="71"/>
    <n v="0"/>
    <n v="1"/>
    <n v="7"/>
  </r>
  <r>
    <x v="4078"/>
    <n v="-7"/>
    <n v="71"/>
    <n v="64"/>
    <n v="16"/>
    <n v="33"/>
    <x v="16"/>
    <n v="20"/>
    <n v="6"/>
    <n v="54"/>
    <n v="0.60000000000000009"/>
    <n v="0"/>
    <n v="0"/>
  </r>
  <r>
    <x v="4079"/>
    <n v="6"/>
    <n v="54"/>
    <n v="60"/>
    <n v="20"/>
    <n v="14"/>
    <x v="4"/>
    <n v="22"/>
    <n v="-2"/>
    <n v="60"/>
    <n v="0"/>
    <n v="1"/>
    <n v="2"/>
  </r>
  <r>
    <x v="4080"/>
    <n v="-2"/>
    <n v="60"/>
    <n v="58"/>
    <n v="22"/>
    <n v="24"/>
    <x v="28"/>
    <n v="21"/>
    <n v="1"/>
    <n v="58"/>
    <n v="0.1"/>
    <n v="0"/>
    <n v="0"/>
  </r>
  <r>
    <x v="4081"/>
    <n v="1"/>
    <n v="58"/>
    <n v="59"/>
    <n v="21"/>
    <n v="16"/>
    <x v="22"/>
    <n v="20"/>
    <n v="-3"/>
    <n v="63"/>
    <n v="0"/>
    <n v="1"/>
    <n v="3"/>
  </r>
  <r>
    <x v="4082"/>
    <n v="-3"/>
    <n v="63"/>
    <n v="60"/>
    <n v="20"/>
    <n v="20"/>
    <x v="22"/>
    <n v="18"/>
    <n v="-1"/>
    <n v="63"/>
    <n v="0"/>
    <n v="1"/>
    <n v="1"/>
  </r>
  <r>
    <x v="4083"/>
    <n v="-1"/>
    <n v="63"/>
    <n v="62"/>
    <n v="18"/>
    <n v="22"/>
    <x v="5"/>
    <n v="17"/>
    <n v="4"/>
    <n v="59"/>
    <n v="0.4"/>
    <n v="0"/>
    <n v="0"/>
  </r>
  <r>
    <x v="4084"/>
    <n v="4"/>
    <n v="59"/>
    <n v="63"/>
    <n v="17"/>
    <n v="21"/>
    <x v="27"/>
    <n v="21"/>
    <n v="4"/>
    <n v="55"/>
    <n v="0.4"/>
    <n v="0"/>
    <n v="0"/>
  </r>
  <r>
    <x v="4085"/>
    <n v="4"/>
    <n v="55"/>
    <n v="59"/>
    <n v="21"/>
    <n v="20"/>
    <x v="32"/>
    <n v="21"/>
    <n v="3"/>
    <n v="56"/>
    <n v="0.30000000000000004"/>
    <n v="0"/>
    <n v="0"/>
  </r>
  <r>
    <x v="4086"/>
    <n v="3"/>
    <n v="56"/>
    <n v="59"/>
    <n v="21"/>
    <n v="18"/>
    <x v="5"/>
    <n v="22"/>
    <n v="-1"/>
    <n v="59"/>
    <n v="0"/>
    <n v="1"/>
    <n v="1"/>
  </r>
  <r>
    <x v="4087"/>
    <n v="-1"/>
    <n v="59"/>
    <n v="58"/>
    <n v="22"/>
    <n v="17"/>
    <x v="8"/>
    <n v="29"/>
    <n v="-13"/>
    <n v="64"/>
    <n v="0"/>
    <n v="1"/>
    <n v="13"/>
  </r>
  <r>
    <x v="4088"/>
    <n v="-13"/>
    <n v="64"/>
    <n v="51"/>
    <n v="29"/>
    <n v="21"/>
    <x v="29"/>
    <n v="18"/>
    <n v="-10"/>
    <n v="72"/>
    <n v="0"/>
    <n v="1"/>
    <n v="10"/>
  </r>
  <r>
    <x v="4089"/>
    <n v="-10"/>
    <n v="72"/>
    <n v="62"/>
    <n v="18"/>
    <n v="21"/>
    <x v="30"/>
    <n v="23"/>
    <n v="-12"/>
    <n v="69"/>
    <n v="0"/>
    <n v="1"/>
    <n v="12"/>
  </r>
  <r>
    <x v="4090"/>
    <n v="-12"/>
    <n v="69"/>
    <n v="57"/>
    <n v="23"/>
    <n v="22"/>
    <x v="6"/>
    <n v="25"/>
    <n v="-15"/>
    <n v="70"/>
    <n v="0"/>
    <n v="1"/>
    <n v="15"/>
  </r>
  <r>
    <x v="4091"/>
    <n v="-15"/>
    <n v="70"/>
    <n v="55"/>
    <n v="25"/>
    <n v="29"/>
    <x v="7"/>
    <n v="20"/>
    <n v="-6"/>
    <n v="66"/>
    <n v="0"/>
    <n v="1"/>
    <n v="6"/>
  </r>
  <r>
    <x v="4092"/>
    <n v="-6"/>
    <n v="66"/>
    <n v="60"/>
    <n v="20"/>
    <n v="18"/>
    <x v="17"/>
    <n v="27"/>
    <n v="-15"/>
    <n v="68"/>
    <n v="0"/>
    <n v="1"/>
    <n v="15"/>
  </r>
  <r>
    <x v="4093"/>
    <n v="-15"/>
    <n v="68"/>
    <n v="53"/>
    <n v="27"/>
    <n v="23"/>
    <x v="29"/>
    <n v="25"/>
    <n v="-17"/>
    <n v="72"/>
    <n v="0"/>
    <n v="1"/>
    <n v="17"/>
  </r>
  <r>
    <x v="4094"/>
    <n v="-17"/>
    <n v="72"/>
    <n v="55"/>
    <n v="25"/>
    <n v="25"/>
    <x v="29"/>
    <n v="19"/>
    <n v="-11"/>
    <n v="72"/>
    <n v="0"/>
    <n v="1"/>
    <n v="11"/>
  </r>
  <r>
    <x v="4095"/>
    <n v="-11"/>
    <n v="72"/>
    <n v="61"/>
    <n v="19"/>
    <n v="20"/>
    <x v="20"/>
    <n v="14"/>
    <n v="-5"/>
    <n v="71"/>
    <n v="0"/>
    <n v="1"/>
    <n v="5"/>
  </r>
  <r>
    <x v="4096"/>
    <n v="-5"/>
    <n v="71"/>
    <n v="66"/>
    <n v="14"/>
    <n v="27"/>
    <x v="28"/>
    <n v="22"/>
    <n v="0"/>
    <n v="58"/>
    <n v="0"/>
    <n v="0"/>
    <n v="0"/>
  </r>
  <r>
    <x v="4097"/>
    <n v="0"/>
    <n v="58"/>
    <n v="58"/>
    <n v="22"/>
    <n v="25"/>
    <x v="27"/>
    <n v="21"/>
    <n v="4"/>
    <n v="55"/>
    <n v="0.4"/>
    <n v="0"/>
    <n v="0"/>
  </r>
  <r>
    <x v="4098"/>
    <n v="4"/>
    <n v="55"/>
    <n v="59"/>
    <n v="21"/>
    <n v="19"/>
    <x v="24"/>
    <n v="20"/>
    <n v="3"/>
    <n v="57"/>
    <n v="0.30000000000000004"/>
    <n v="0"/>
    <n v="0"/>
  </r>
  <r>
    <x v="4099"/>
    <n v="3"/>
    <n v="57"/>
    <n v="60"/>
    <n v="20"/>
    <n v="14"/>
    <x v="22"/>
    <n v="19"/>
    <n v="-2"/>
    <n v="63"/>
    <n v="0"/>
    <n v="1"/>
    <n v="2"/>
  </r>
  <r>
    <x v="4100"/>
    <n v="-2"/>
    <n v="63"/>
    <n v="61"/>
    <n v="19"/>
    <n v="22"/>
    <x v="4"/>
    <n v="24"/>
    <n v="-4"/>
    <n v="60"/>
    <n v="0"/>
    <n v="1"/>
    <n v="4"/>
  </r>
  <r>
    <x v="4101"/>
    <n v="-4"/>
    <n v="60"/>
    <n v="56"/>
    <n v="24"/>
    <n v="21"/>
    <x v="22"/>
    <n v="16"/>
    <n v="1"/>
    <n v="63"/>
    <n v="0.1"/>
    <n v="0"/>
    <n v="0"/>
  </r>
  <r>
    <x v="4102"/>
    <n v="1"/>
    <n v="63"/>
    <n v="64"/>
    <n v="16"/>
    <n v="20"/>
    <x v="5"/>
    <n v="15"/>
    <n v="6"/>
    <n v="59"/>
    <n v="0.60000000000000009"/>
    <n v="0"/>
    <n v="0"/>
  </r>
  <r>
    <x v="4103"/>
    <n v="6"/>
    <n v="59"/>
    <n v="65"/>
    <n v="15"/>
    <n v="19"/>
    <x v="27"/>
    <n v="14"/>
    <n v="11"/>
    <n v="55"/>
    <n v="1.1000000000000001"/>
    <n v="0"/>
    <n v="0"/>
  </r>
  <r>
    <x v="4104"/>
    <n v="11"/>
    <n v="55"/>
    <n v="66"/>
    <n v="14"/>
    <n v="24"/>
    <x v="11"/>
    <n v="13"/>
    <n v="22"/>
    <n v="45"/>
    <n v="2.2000000000000002"/>
    <n v="0"/>
    <n v="0"/>
  </r>
  <r>
    <x v="4105"/>
    <n v="22"/>
    <n v="45"/>
    <n v="67"/>
    <n v="13"/>
    <n v="16"/>
    <x v="40"/>
    <n v="27"/>
    <n v="11"/>
    <n v="42"/>
    <n v="1.1000000000000001"/>
    <n v="0"/>
    <n v="0"/>
  </r>
  <r>
    <x v="4106"/>
    <n v="11"/>
    <n v="42"/>
    <n v="53"/>
    <n v="27"/>
    <n v="15"/>
    <x v="16"/>
    <n v="20"/>
    <n v="6"/>
    <n v="54"/>
    <n v="0.60000000000000009"/>
    <n v="0"/>
    <n v="0"/>
  </r>
  <r>
    <x v="4107"/>
    <n v="6"/>
    <n v="54"/>
    <n v="60"/>
    <n v="20"/>
    <n v="14"/>
    <x v="4"/>
    <n v="18"/>
    <n v="2"/>
    <n v="60"/>
    <n v="0.2"/>
    <n v="0"/>
    <n v="0"/>
  </r>
  <r>
    <x v="4108"/>
    <n v="2"/>
    <n v="60"/>
    <n v="62"/>
    <n v="18"/>
    <n v="13"/>
    <x v="26"/>
    <n v="13"/>
    <n v="2"/>
    <n v="65"/>
    <n v="0.2"/>
    <n v="0"/>
    <n v="0"/>
  </r>
  <r>
    <x v="4109"/>
    <n v="2"/>
    <n v="65"/>
    <n v="67"/>
    <n v="13"/>
    <n v="27"/>
    <x v="9"/>
    <n v="20"/>
    <n v="9"/>
    <n v="51"/>
    <n v="0.9"/>
    <n v="0"/>
    <n v="0"/>
  </r>
  <r>
    <x v="4110"/>
    <n v="9"/>
    <n v="51"/>
    <n v="60"/>
    <n v="20"/>
    <n v="20"/>
    <x v="9"/>
    <n v="11"/>
    <n v="18"/>
    <n v="51"/>
    <n v="1.8"/>
    <n v="0"/>
    <n v="0"/>
  </r>
  <r>
    <x v="4111"/>
    <n v="18"/>
    <n v="51"/>
    <n v="69"/>
    <n v="11"/>
    <n v="18"/>
    <x v="45"/>
    <n v="19"/>
    <n v="17"/>
    <n v="44"/>
    <n v="1.7000000000000002"/>
    <n v="0"/>
    <n v="0"/>
  </r>
  <r>
    <x v="4112"/>
    <n v="17"/>
    <n v="44"/>
    <n v="61"/>
    <n v="19"/>
    <n v="13"/>
    <x v="13"/>
    <n v="26"/>
    <n v="4"/>
    <n v="50"/>
    <n v="0.4"/>
    <n v="0"/>
    <n v="0"/>
  </r>
  <r>
    <x v="4113"/>
    <n v="4"/>
    <n v="50"/>
    <n v="54"/>
    <n v="26"/>
    <n v="20"/>
    <x v="32"/>
    <n v="19"/>
    <n v="5"/>
    <n v="56"/>
    <n v="0.5"/>
    <n v="0"/>
    <n v="0"/>
  </r>
  <r>
    <x v="4114"/>
    <n v="5"/>
    <n v="56"/>
    <n v="61"/>
    <n v="19"/>
    <n v="11"/>
    <x v="8"/>
    <n v="15"/>
    <n v="1"/>
    <n v="64"/>
    <n v="0.1"/>
    <n v="0"/>
    <n v="0"/>
  </r>
  <r>
    <x v="4115"/>
    <n v="1"/>
    <n v="64"/>
    <n v="65"/>
    <n v="15"/>
    <n v="19"/>
    <x v="4"/>
    <n v="23"/>
    <n v="-3"/>
    <n v="60"/>
    <n v="0"/>
    <n v="1"/>
    <n v="3"/>
  </r>
  <r>
    <x v="4116"/>
    <n v="-3"/>
    <n v="60"/>
    <n v="57"/>
    <n v="23"/>
    <n v="26"/>
    <x v="24"/>
    <n v="22"/>
    <n v="1"/>
    <n v="57"/>
    <n v="0.1"/>
    <n v="0"/>
    <n v="0"/>
  </r>
  <r>
    <x v="4117"/>
    <n v="1"/>
    <n v="57"/>
    <n v="58"/>
    <n v="22"/>
    <n v="19"/>
    <x v="4"/>
    <n v="19"/>
    <n v="1"/>
    <n v="60"/>
    <n v="0.1"/>
    <n v="0"/>
    <n v="0"/>
  </r>
  <r>
    <x v="4118"/>
    <n v="1"/>
    <n v="60"/>
    <n v="61"/>
    <n v="19"/>
    <n v="15"/>
    <x v="8"/>
    <n v="29"/>
    <n v="-13"/>
    <n v="64"/>
    <n v="0"/>
    <n v="1"/>
    <n v="13"/>
  </r>
  <r>
    <x v="4119"/>
    <n v="-13"/>
    <n v="64"/>
    <n v="51"/>
    <n v="29"/>
    <n v="23"/>
    <x v="6"/>
    <n v="15"/>
    <n v="-5"/>
    <n v="70"/>
    <n v="0"/>
    <n v="1"/>
    <n v="5"/>
  </r>
  <r>
    <x v="4120"/>
    <n v="-5"/>
    <n v="70"/>
    <n v="65"/>
    <n v="15"/>
    <n v="22"/>
    <x v="22"/>
    <n v="27"/>
    <n v="-10"/>
    <n v="63"/>
    <n v="0"/>
    <n v="1"/>
    <n v="10"/>
  </r>
  <r>
    <x v="4121"/>
    <n v="-10"/>
    <n v="63"/>
    <n v="53"/>
    <n v="27"/>
    <n v="19"/>
    <x v="20"/>
    <n v="14"/>
    <n v="-5"/>
    <n v="71"/>
    <n v="0"/>
    <n v="1"/>
    <n v="5"/>
  </r>
  <r>
    <x v="4122"/>
    <n v="-5"/>
    <n v="71"/>
    <n v="66"/>
    <n v="14"/>
    <n v="29"/>
    <x v="32"/>
    <n v="22"/>
    <n v="2"/>
    <n v="56"/>
    <n v="0.2"/>
    <n v="0"/>
    <n v="0"/>
  </r>
  <r>
    <x v="4123"/>
    <n v="2"/>
    <n v="56"/>
    <n v="58"/>
    <n v="22"/>
    <n v="15"/>
    <x v="22"/>
    <n v="15"/>
    <n v="2"/>
    <n v="63"/>
    <n v="0.2"/>
    <n v="0"/>
    <n v="0"/>
  </r>
  <r>
    <x v="4124"/>
    <n v="2"/>
    <n v="63"/>
    <n v="65"/>
    <n v="15"/>
    <n v="27"/>
    <x v="9"/>
    <n v="21"/>
    <n v="8"/>
    <n v="51"/>
    <n v="0.8"/>
    <n v="0"/>
    <n v="0"/>
  </r>
  <r>
    <x v="4125"/>
    <n v="8"/>
    <n v="51"/>
    <n v="59"/>
    <n v="21"/>
    <n v="14"/>
    <x v="28"/>
    <n v="27"/>
    <n v="-5"/>
    <n v="58"/>
    <n v="0"/>
    <n v="1"/>
    <n v="5"/>
  </r>
  <r>
    <x v="4126"/>
    <n v="-5"/>
    <n v="58"/>
    <n v="53"/>
    <n v="27"/>
    <n v="22"/>
    <x v="22"/>
    <n v="27"/>
    <n v="-10"/>
    <n v="63"/>
    <n v="0"/>
    <n v="1"/>
    <n v="10"/>
  </r>
  <r>
    <x v="4127"/>
    <n v="-10"/>
    <n v="63"/>
    <n v="53"/>
    <n v="27"/>
    <n v="15"/>
    <x v="44"/>
    <n v="20"/>
    <n v="-15"/>
    <n v="75"/>
    <n v="0"/>
    <n v="1"/>
    <n v="15"/>
  </r>
  <r>
    <x v="4128"/>
    <n v="-15"/>
    <n v="75"/>
    <n v="60"/>
    <n v="20"/>
    <n v="21"/>
    <x v="39"/>
    <n v="15"/>
    <n v="-9"/>
    <n v="74"/>
    <n v="0"/>
    <n v="1"/>
    <n v="9"/>
  </r>
  <r>
    <x v="4129"/>
    <n v="-9"/>
    <n v="74"/>
    <n v="65"/>
    <n v="15"/>
    <n v="27"/>
    <x v="33"/>
    <n v="22"/>
    <n v="-4"/>
    <n v="62"/>
    <n v="0"/>
    <n v="1"/>
    <n v="4"/>
  </r>
  <r>
    <x v="4130"/>
    <n v="-4"/>
    <n v="62"/>
    <n v="58"/>
    <n v="22"/>
    <n v="27"/>
    <x v="24"/>
    <n v="21"/>
    <n v="2"/>
    <n v="57"/>
    <n v="0.2"/>
    <n v="0"/>
    <n v="0"/>
  </r>
  <r>
    <x v="4131"/>
    <n v="2"/>
    <n v="57"/>
    <n v="59"/>
    <n v="21"/>
    <n v="20"/>
    <x v="28"/>
    <n v="14"/>
    <n v="8"/>
    <n v="58"/>
    <n v="0.8"/>
    <n v="0"/>
    <n v="0"/>
  </r>
  <r>
    <x v="4132"/>
    <n v="8"/>
    <n v="58"/>
    <n v="66"/>
    <n v="14"/>
    <n v="15"/>
    <x v="24"/>
    <n v="21"/>
    <n v="2"/>
    <n v="57"/>
    <n v="0.2"/>
    <n v="0"/>
    <n v="0"/>
  </r>
  <r>
    <x v="4133"/>
    <n v="2"/>
    <n v="57"/>
    <n v="59"/>
    <n v="21"/>
    <n v="22"/>
    <x v="32"/>
    <n v="18"/>
    <n v="6"/>
    <n v="56"/>
    <n v="0.60000000000000009"/>
    <n v="0"/>
    <n v="0"/>
  </r>
  <r>
    <x v="4134"/>
    <n v="6"/>
    <n v="56"/>
    <n v="62"/>
    <n v="18"/>
    <n v="21"/>
    <x v="12"/>
    <n v="16"/>
    <n v="11"/>
    <n v="53"/>
    <n v="1.1000000000000001"/>
    <n v="0"/>
    <n v="0"/>
  </r>
  <r>
    <x v="4135"/>
    <n v="11"/>
    <n v="53"/>
    <n v="64"/>
    <n v="16"/>
    <n v="14"/>
    <x v="27"/>
    <n v="26"/>
    <n v="-1"/>
    <n v="55"/>
    <n v="0"/>
    <n v="1"/>
    <n v="1"/>
  </r>
  <r>
    <x v="4136"/>
    <n v="-1"/>
    <n v="55"/>
    <n v="54"/>
    <n v="26"/>
    <n v="21"/>
    <x v="4"/>
    <n v="18"/>
    <n v="2"/>
    <n v="60"/>
    <n v="0.2"/>
    <n v="0"/>
    <n v="0"/>
  </r>
  <r>
    <x v="4137"/>
    <n v="2"/>
    <n v="60"/>
    <n v="62"/>
    <n v="18"/>
    <n v="18"/>
    <x v="4"/>
    <n v="23"/>
    <n v="-3"/>
    <n v="60"/>
    <n v="0"/>
    <n v="1"/>
    <n v="3"/>
  </r>
  <r>
    <x v="4138"/>
    <n v="-3"/>
    <n v="60"/>
    <n v="57"/>
    <n v="23"/>
    <n v="16"/>
    <x v="21"/>
    <n v="21"/>
    <n v="-8"/>
    <n v="67"/>
    <n v="0"/>
    <n v="1"/>
    <n v="8"/>
  </r>
  <r>
    <x v="4139"/>
    <n v="-8"/>
    <n v="67"/>
    <n v="59"/>
    <n v="21"/>
    <n v="26"/>
    <x v="33"/>
    <n v="15"/>
    <n v="3"/>
    <n v="62"/>
    <n v="0.30000000000000004"/>
    <n v="0"/>
    <n v="0"/>
  </r>
  <r>
    <x v="4140"/>
    <n v="3"/>
    <n v="62"/>
    <n v="65"/>
    <n v="15"/>
    <n v="18"/>
    <x v="5"/>
    <n v="18"/>
    <n v="3"/>
    <n v="59"/>
    <n v="0.30000000000000004"/>
    <n v="0"/>
    <n v="0"/>
  </r>
  <r>
    <x v="4141"/>
    <n v="3"/>
    <n v="59"/>
    <n v="62"/>
    <n v="18"/>
    <n v="23"/>
    <x v="16"/>
    <n v="22"/>
    <n v="4"/>
    <n v="54"/>
    <n v="0.4"/>
    <n v="0"/>
    <n v="0"/>
  </r>
  <r>
    <x v="4142"/>
    <n v="4"/>
    <n v="54"/>
    <n v="58"/>
    <n v="22"/>
    <n v="21"/>
    <x v="27"/>
    <n v="16"/>
    <n v="9"/>
    <n v="55"/>
    <n v="0.9"/>
    <n v="0"/>
    <n v="0"/>
  </r>
  <r>
    <x v="4143"/>
    <n v="9"/>
    <n v="55"/>
    <n v="64"/>
    <n v="16"/>
    <n v="15"/>
    <x v="32"/>
    <n v="19"/>
    <n v="5"/>
    <n v="56"/>
    <n v="0.5"/>
    <n v="0"/>
    <n v="0"/>
  </r>
  <r>
    <x v="4144"/>
    <n v="5"/>
    <n v="56"/>
    <n v="61"/>
    <n v="19"/>
    <n v="18"/>
    <x v="24"/>
    <n v="20"/>
    <n v="3"/>
    <n v="57"/>
    <n v="0.30000000000000004"/>
    <n v="0"/>
    <n v="0"/>
  </r>
  <r>
    <x v="4145"/>
    <n v="3"/>
    <n v="57"/>
    <n v="60"/>
    <n v="20"/>
    <n v="22"/>
    <x v="27"/>
    <n v="21"/>
    <n v="4"/>
    <n v="55"/>
    <n v="0.4"/>
    <n v="0"/>
    <n v="0"/>
  </r>
  <r>
    <x v="4146"/>
    <n v="4"/>
    <n v="55"/>
    <n v="59"/>
    <n v="21"/>
    <n v="16"/>
    <x v="4"/>
    <n v="20"/>
    <n v="0"/>
    <n v="60"/>
    <n v="0"/>
    <n v="0"/>
    <n v="0"/>
  </r>
  <r>
    <x v="4147"/>
    <n v="0"/>
    <n v="60"/>
    <n v="60"/>
    <n v="20"/>
    <n v="19"/>
    <x v="23"/>
    <n v="22"/>
    <n v="-3"/>
    <n v="61"/>
    <n v="0"/>
    <n v="1"/>
    <n v="3"/>
  </r>
  <r>
    <x v="4148"/>
    <n v="-3"/>
    <n v="61"/>
    <n v="58"/>
    <n v="22"/>
    <n v="20"/>
    <x v="22"/>
    <n v="17"/>
    <n v="0"/>
    <n v="63"/>
    <n v="0"/>
    <n v="0"/>
    <n v="0"/>
  </r>
  <r>
    <x v="4149"/>
    <n v="0"/>
    <n v="63"/>
    <n v="63"/>
    <n v="17"/>
    <n v="21"/>
    <x v="5"/>
    <n v="14"/>
    <n v="7"/>
    <n v="59"/>
    <n v="0.70000000000000007"/>
    <n v="0"/>
    <n v="0"/>
  </r>
  <r>
    <x v="4150"/>
    <n v="7"/>
    <n v="59"/>
    <n v="66"/>
    <n v="14"/>
    <n v="20"/>
    <x v="12"/>
    <n v="15"/>
    <n v="12"/>
    <n v="53"/>
    <n v="1.2000000000000002"/>
    <n v="0"/>
    <n v="0"/>
  </r>
  <r>
    <x v="4151"/>
    <n v="12"/>
    <n v="53"/>
    <n v="65"/>
    <n v="15"/>
    <n v="22"/>
    <x v="38"/>
    <n v="25"/>
    <n v="9"/>
    <n v="46"/>
    <n v="0.9"/>
    <n v="0"/>
    <n v="0"/>
  </r>
  <r>
    <x v="4152"/>
    <n v="9"/>
    <n v="46"/>
    <n v="55"/>
    <n v="25"/>
    <n v="17"/>
    <x v="16"/>
    <n v="16"/>
    <n v="10"/>
    <n v="54"/>
    <n v="1"/>
    <n v="0"/>
    <n v="0"/>
  </r>
  <r>
    <x v="4153"/>
    <n v="10"/>
    <n v="54"/>
    <n v="64"/>
    <n v="16"/>
    <n v="14"/>
    <x v="32"/>
    <n v="22"/>
    <n v="2"/>
    <n v="56"/>
    <n v="0.2"/>
    <n v="0"/>
    <n v="0"/>
  </r>
  <r>
    <x v="4154"/>
    <n v="2"/>
    <n v="56"/>
    <n v="58"/>
    <n v="22"/>
    <n v="15"/>
    <x v="22"/>
    <n v="21"/>
    <n v="-4"/>
    <n v="63"/>
    <n v="0"/>
    <n v="1"/>
    <n v="4"/>
  </r>
  <r>
    <x v="4155"/>
    <n v="-4"/>
    <n v="63"/>
    <n v="59"/>
    <n v="21"/>
    <n v="25"/>
    <x v="5"/>
    <n v="26"/>
    <n v="-5"/>
    <n v="59"/>
    <n v="0"/>
    <n v="1"/>
    <n v="5"/>
  </r>
  <r>
    <x v="4156"/>
    <n v="-5"/>
    <n v="59"/>
    <n v="54"/>
    <n v="26"/>
    <n v="16"/>
    <x v="30"/>
    <n v="26"/>
    <n v="-15"/>
    <n v="69"/>
    <n v="0"/>
    <n v="1"/>
    <n v="15"/>
  </r>
  <r>
    <x v="4157"/>
    <n v="-15"/>
    <n v="69"/>
    <n v="54"/>
    <n v="26"/>
    <n v="22"/>
    <x v="31"/>
    <n v="16"/>
    <n v="-9"/>
    <n v="73"/>
    <n v="0"/>
    <n v="1"/>
    <n v="9"/>
  </r>
  <r>
    <x v="4158"/>
    <n v="-9"/>
    <n v="73"/>
    <n v="64"/>
    <n v="16"/>
    <n v="21"/>
    <x v="17"/>
    <n v="17"/>
    <n v="-5"/>
    <n v="68"/>
    <n v="0"/>
    <n v="1"/>
    <n v="5"/>
  </r>
  <r>
    <x v="4159"/>
    <n v="-5"/>
    <n v="68"/>
    <n v="63"/>
    <n v="17"/>
    <n v="26"/>
    <x v="5"/>
    <n v="18"/>
    <n v="3"/>
    <n v="59"/>
    <n v="0.30000000000000004"/>
    <n v="0"/>
    <n v="0"/>
  </r>
  <r>
    <x v="4160"/>
    <n v="3"/>
    <n v="59"/>
    <n v="62"/>
    <n v="18"/>
    <n v="26"/>
    <x v="9"/>
    <n v="20"/>
    <n v="9"/>
    <n v="51"/>
    <n v="0.9"/>
    <n v="0"/>
    <n v="0"/>
  </r>
  <r>
    <x v="4161"/>
    <n v="9"/>
    <n v="51"/>
    <n v="60"/>
    <n v="20"/>
    <n v="16"/>
    <x v="27"/>
    <n v="26"/>
    <n v="-1"/>
    <n v="55"/>
    <n v="0"/>
    <n v="1"/>
    <n v="1"/>
  </r>
  <r>
    <x v="4162"/>
    <n v="-1"/>
    <n v="55"/>
    <n v="54"/>
    <n v="26"/>
    <n v="17"/>
    <x v="8"/>
    <n v="16"/>
    <n v="0"/>
    <n v="64"/>
    <n v="0"/>
    <n v="0"/>
    <n v="0"/>
  </r>
  <r>
    <x v="4163"/>
    <n v="0"/>
    <n v="64"/>
    <n v="64"/>
    <n v="16"/>
    <n v="18"/>
    <x v="33"/>
    <n v="28"/>
    <n v="-10"/>
    <n v="62"/>
    <n v="0"/>
    <n v="1"/>
    <n v="10"/>
  </r>
  <r>
    <x v="4164"/>
    <n v="-10"/>
    <n v="62"/>
    <n v="52"/>
    <n v="28"/>
    <n v="20"/>
    <x v="6"/>
    <n v="19"/>
    <n v="-9"/>
    <n v="70"/>
    <n v="0"/>
    <n v="1"/>
    <n v="9"/>
  </r>
  <r>
    <x v="4165"/>
    <n v="-9"/>
    <n v="70"/>
    <n v="61"/>
    <n v="19"/>
    <n v="26"/>
    <x v="22"/>
    <n v="12"/>
    <n v="5"/>
    <n v="63"/>
    <n v="0.5"/>
    <n v="0"/>
    <n v="0"/>
  </r>
  <r>
    <x v="4166"/>
    <n v="5"/>
    <n v="63"/>
    <n v="68"/>
    <n v="12"/>
    <n v="16"/>
    <x v="5"/>
    <n v="21"/>
    <n v="0"/>
    <n v="59"/>
    <n v="0"/>
    <n v="0"/>
    <n v="0"/>
  </r>
  <r>
    <x v="4167"/>
    <n v="0"/>
    <n v="59"/>
    <n v="59"/>
    <n v="21"/>
    <n v="28"/>
    <x v="25"/>
    <n v="26"/>
    <n v="2"/>
    <n v="52"/>
    <n v="0.2"/>
    <n v="0"/>
    <n v="0"/>
  </r>
  <r>
    <x v="4168"/>
    <n v="2"/>
    <n v="52"/>
    <n v="54"/>
    <n v="26"/>
    <n v="19"/>
    <x v="5"/>
    <n v="9"/>
    <n v="12"/>
    <n v="59"/>
    <n v="1.2000000000000002"/>
    <n v="0"/>
    <n v="0"/>
  </r>
  <r>
    <x v="4169"/>
    <n v="12"/>
    <n v="59"/>
    <n v="71"/>
    <n v="9"/>
    <n v="12"/>
    <x v="32"/>
    <n v="18"/>
    <n v="6"/>
    <n v="56"/>
    <n v="0.60000000000000009"/>
    <n v="0"/>
    <n v="0"/>
  </r>
  <r>
    <x v="4170"/>
    <n v="6"/>
    <n v="56"/>
    <n v="62"/>
    <n v="18"/>
    <n v="21"/>
    <x v="12"/>
    <n v="19"/>
    <n v="8"/>
    <n v="53"/>
    <n v="0.8"/>
    <n v="0"/>
    <n v="0"/>
  </r>
  <r>
    <x v="4171"/>
    <n v="8"/>
    <n v="53"/>
    <n v="61"/>
    <n v="19"/>
    <n v="26"/>
    <x v="38"/>
    <n v="18"/>
    <n v="16"/>
    <n v="46"/>
    <n v="1.6"/>
    <n v="0"/>
    <n v="0"/>
  </r>
  <r>
    <x v="4172"/>
    <n v="16"/>
    <n v="46"/>
    <n v="62"/>
    <n v="18"/>
    <n v="9"/>
    <x v="27"/>
    <n v="27"/>
    <n v="-2"/>
    <n v="55"/>
    <n v="0"/>
    <n v="1"/>
    <n v="2"/>
  </r>
  <r>
    <x v="4173"/>
    <n v="-2"/>
    <n v="55"/>
    <n v="53"/>
    <n v="27"/>
    <n v="18"/>
    <x v="8"/>
    <n v="11"/>
    <n v="5"/>
    <n v="64"/>
    <n v="0.5"/>
    <n v="0"/>
    <n v="0"/>
  </r>
  <r>
    <x v="4174"/>
    <n v="5"/>
    <n v="64"/>
    <n v="69"/>
    <n v="11"/>
    <n v="19"/>
    <x v="32"/>
    <n v="15"/>
    <n v="9"/>
    <n v="56"/>
    <n v="0.9"/>
    <n v="0"/>
    <n v="0"/>
  </r>
  <r>
    <x v="4175"/>
    <n v="9"/>
    <n v="56"/>
    <n v="65"/>
    <n v="15"/>
    <n v="18"/>
    <x v="12"/>
    <n v="16"/>
    <n v="11"/>
    <n v="53"/>
    <n v="1.1000000000000001"/>
    <n v="0"/>
    <n v="0"/>
  </r>
  <r>
    <x v="4176"/>
    <n v="11"/>
    <n v="53"/>
    <n v="64"/>
    <n v="16"/>
    <n v="27"/>
    <x v="40"/>
    <n v="15"/>
    <n v="23"/>
    <n v="42"/>
    <n v="2.3000000000000003"/>
    <n v="0"/>
    <n v="0"/>
  </r>
  <r>
    <x v="4177"/>
    <n v="23"/>
    <n v="42"/>
    <n v="65"/>
    <n v="15"/>
    <n v="11"/>
    <x v="38"/>
    <n v="18"/>
    <n v="16"/>
    <n v="46"/>
    <n v="1.6"/>
    <n v="0"/>
    <n v="0"/>
  </r>
  <r>
    <x v="4178"/>
    <n v="16"/>
    <n v="46"/>
    <n v="62"/>
    <n v="18"/>
    <n v="15"/>
    <x v="10"/>
    <n v="20"/>
    <n v="11"/>
    <n v="49"/>
    <n v="1.1000000000000001"/>
    <n v="0"/>
    <n v="0"/>
  </r>
  <r>
    <x v="4179"/>
    <n v="11"/>
    <n v="49"/>
    <n v="60"/>
    <n v="20"/>
    <n v="16"/>
    <x v="12"/>
    <n v="20"/>
    <n v="7"/>
    <n v="53"/>
    <n v="0.70000000000000007"/>
    <n v="0"/>
    <n v="0"/>
  </r>
  <r>
    <x v="4180"/>
    <n v="7"/>
    <n v="53"/>
    <n v="60"/>
    <n v="20"/>
    <n v="15"/>
    <x v="28"/>
    <n v="21"/>
    <n v="1"/>
    <n v="58"/>
    <n v="0.1"/>
    <n v="0"/>
    <n v="0"/>
  </r>
  <r>
    <x v="4181"/>
    <n v="1"/>
    <n v="58"/>
    <n v="59"/>
    <n v="21"/>
    <n v="18"/>
    <x v="23"/>
    <n v="23"/>
    <n v="-4"/>
    <n v="61"/>
    <n v="0"/>
    <n v="1"/>
    <n v="4"/>
  </r>
  <r>
    <x v="4182"/>
    <n v="-4"/>
    <n v="61"/>
    <n v="57"/>
    <n v="23"/>
    <n v="20"/>
    <x v="8"/>
    <n v="19"/>
    <n v="-3"/>
    <n v="64"/>
    <n v="0"/>
    <n v="1"/>
    <n v="3"/>
  </r>
  <r>
    <x v="4183"/>
    <n v="-3"/>
    <n v="64"/>
    <n v="61"/>
    <n v="19"/>
    <n v="20"/>
    <x v="22"/>
    <n v="17"/>
    <n v="0"/>
    <n v="63"/>
    <n v="0"/>
    <n v="0"/>
    <n v="0"/>
  </r>
  <r>
    <x v="4184"/>
    <n v="0"/>
    <n v="63"/>
    <n v="63"/>
    <n v="17"/>
    <n v="21"/>
    <x v="5"/>
    <n v="16"/>
    <n v="5"/>
    <n v="59"/>
    <n v="0.5"/>
    <n v="0"/>
    <n v="0"/>
  </r>
  <r>
    <x v="4185"/>
    <n v="5"/>
    <n v="59"/>
    <n v="64"/>
    <n v="16"/>
    <n v="23"/>
    <x v="25"/>
    <n v="22"/>
    <n v="6"/>
    <n v="52"/>
    <n v="0.60000000000000009"/>
    <n v="0"/>
    <n v="0"/>
  </r>
  <r>
    <x v="4186"/>
    <n v="6"/>
    <n v="52"/>
    <n v="58"/>
    <n v="22"/>
    <n v="19"/>
    <x v="27"/>
    <n v="20"/>
    <n v="5"/>
    <n v="55"/>
    <n v="0.5"/>
    <n v="0"/>
    <n v="0"/>
  </r>
  <r>
    <x v="4187"/>
    <n v="5"/>
    <n v="55"/>
    <n v="60"/>
    <n v="20"/>
    <n v="17"/>
    <x v="28"/>
    <n v="19"/>
    <n v="3"/>
    <n v="58"/>
    <n v="0.30000000000000004"/>
    <n v="0"/>
    <n v="0"/>
  </r>
  <r>
    <x v="4188"/>
    <n v="3"/>
    <n v="58"/>
    <n v="61"/>
    <n v="19"/>
    <n v="16"/>
    <x v="23"/>
    <n v="25"/>
    <n v="-6"/>
    <n v="61"/>
    <n v="0"/>
    <n v="1"/>
    <n v="6"/>
  </r>
  <r>
    <x v="4189"/>
    <n v="-6"/>
    <n v="61"/>
    <n v="55"/>
    <n v="25"/>
    <n v="22"/>
    <x v="8"/>
    <n v="20"/>
    <n v="-4"/>
    <n v="64"/>
    <n v="0"/>
    <n v="1"/>
    <n v="4"/>
  </r>
  <r>
    <x v="4190"/>
    <n v="-4"/>
    <n v="64"/>
    <n v="60"/>
    <n v="20"/>
    <n v="20"/>
    <x v="8"/>
    <n v="18"/>
    <n v="-2"/>
    <n v="64"/>
    <n v="0"/>
    <n v="1"/>
    <n v="2"/>
  </r>
  <r>
    <x v="4191"/>
    <n v="-2"/>
    <n v="64"/>
    <n v="62"/>
    <n v="18"/>
    <n v="19"/>
    <x v="22"/>
    <n v="30"/>
    <n v="-13"/>
    <n v="63"/>
    <n v="0"/>
    <n v="1"/>
    <n v="13"/>
  </r>
  <r>
    <x v="4192"/>
    <n v="-13"/>
    <n v="63"/>
    <n v="50"/>
    <n v="30"/>
    <n v="25"/>
    <x v="17"/>
    <n v="12"/>
    <n v="0"/>
    <n v="68"/>
    <n v="0"/>
    <n v="0"/>
    <n v="0"/>
  </r>
  <r>
    <x v="4193"/>
    <n v="0"/>
    <n v="68"/>
    <n v="68"/>
    <n v="12"/>
    <n v="20"/>
    <x v="4"/>
    <n v="26"/>
    <n v="-6"/>
    <n v="60"/>
    <n v="0"/>
    <n v="1"/>
    <n v="6"/>
  </r>
  <r>
    <x v="4194"/>
    <n v="-6"/>
    <n v="60"/>
    <n v="54"/>
    <n v="26"/>
    <n v="18"/>
    <x v="17"/>
    <n v="23"/>
    <n v="-11"/>
    <n v="68"/>
    <n v="0"/>
    <n v="1"/>
    <n v="11"/>
  </r>
  <r>
    <x v="4195"/>
    <n v="-11"/>
    <n v="68"/>
    <n v="57"/>
    <n v="23"/>
    <n v="30"/>
    <x v="23"/>
    <n v="15"/>
    <n v="4"/>
    <n v="61"/>
    <n v="0.4"/>
    <n v="0"/>
    <n v="0"/>
  </r>
  <r>
    <x v="4196"/>
    <n v="4"/>
    <n v="61"/>
    <n v="65"/>
    <n v="15"/>
    <n v="12"/>
    <x v="8"/>
    <n v="24"/>
    <n v="-8"/>
    <n v="64"/>
    <n v="0"/>
    <n v="1"/>
    <n v="8"/>
  </r>
  <r>
    <x v="4197"/>
    <n v="-8"/>
    <n v="64"/>
    <n v="56"/>
    <n v="24"/>
    <n v="26"/>
    <x v="33"/>
    <n v="22"/>
    <n v="-4"/>
    <n v="62"/>
    <n v="0"/>
    <n v="1"/>
    <n v="4"/>
  </r>
  <r>
    <x v="4198"/>
    <n v="-4"/>
    <n v="62"/>
    <n v="58"/>
    <n v="22"/>
    <n v="23"/>
    <x v="23"/>
    <n v="15"/>
    <n v="4"/>
    <n v="61"/>
    <n v="0.4"/>
    <n v="0"/>
    <n v="0"/>
  </r>
  <r>
    <x v="4199"/>
    <n v="4"/>
    <n v="61"/>
    <n v="65"/>
    <n v="15"/>
    <n v="15"/>
    <x v="23"/>
    <n v="15"/>
    <n v="4"/>
    <n v="61"/>
    <n v="0.4"/>
    <n v="0"/>
    <n v="0"/>
  </r>
  <r>
    <x v="4200"/>
    <n v="4"/>
    <n v="61"/>
    <n v="65"/>
    <n v="15"/>
    <n v="24"/>
    <x v="25"/>
    <n v="15"/>
    <n v="13"/>
    <n v="52"/>
    <n v="1.3"/>
    <n v="0"/>
    <n v="0"/>
  </r>
  <r>
    <x v="4201"/>
    <n v="13"/>
    <n v="52"/>
    <n v="65"/>
    <n v="15"/>
    <n v="22"/>
    <x v="11"/>
    <n v="23"/>
    <n v="12"/>
    <n v="45"/>
    <n v="1.2000000000000002"/>
    <n v="0"/>
    <n v="0"/>
  </r>
  <r>
    <x v="4202"/>
    <n v="12"/>
    <n v="45"/>
    <n v="57"/>
    <n v="23"/>
    <n v="15"/>
    <x v="12"/>
    <n v="17"/>
    <n v="10"/>
    <n v="53"/>
    <n v="1"/>
    <n v="0"/>
    <n v="0"/>
  </r>
  <r>
    <x v="4203"/>
    <n v="10"/>
    <n v="53"/>
    <n v="63"/>
    <n v="17"/>
    <n v="15"/>
    <x v="27"/>
    <n v="18"/>
    <n v="7"/>
    <n v="55"/>
    <n v="0.70000000000000007"/>
    <n v="0"/>
    <n v="0"/>
  </r>
  <r>
    <x v="4204"/>
    <n v="7"/>
    <n v="55"/>
    <n v="62"/>
    <n v="18"/>
    <n v="15"/>
    <x v="28"/>
    <n v="18"/>
    <n v="4"/>
    <n v="58"/>
    <n v="0.4"/>
    <n v="0"/>
    <n v="0"/>
  </r>
  <r>
    <x v="4205"/>
    <n v="4"/>
    <n v="58"/>
    <n v="62"/>
    <n v="18"/>
    <n v="23"/>
    <x v="12"/>
    <n v="20"/>
    <n v="7"/>
    <n v="53"/>
    <n v="0.70000000000000007"/>
    <n v="0"/>
    <n v="0"/>
  </r>
  <r>
    <x v="4206"/>
    <n v="7"/>
    <n v="53"/>
    <n v="60"/>
    <n v="20"/>
    <n v="17"/>
    <x v="32"/>
    <n v="24"/>
    <n v="0"/>
    <n v="56"/>
    <n v="0"/>
    <n v="0"/>
    <n v="0"/>
  </r>
  <r>
    <x v="4207"/>
    <n v="0"/>
    <n v="56"/>
    <n v="56"/>
    <n v="24"/>
    <n v="18"/>
    <x v="33"/>
    <n v="24"/>
    <n v="-6"/>
    <n v="62"/>
    <n v="0"/>
    <n v="1"/>
    <n v="6"/>
  </r>
  <r>
    <x v="4208"/>
    <n v="-6"/>
    <n v="62"/>
    <n v="56"/>
    <n v="24"/>
    <n v="18"/>
    <x v="17"/>
    <n v="22"/>
    <n v="-10"/>
    <n v="68"/>
    <n v="0"/>
    <n v="1"/>
    <n v="10"/>
  </r>
  <r>
    <x v="4209"/>
    <n v="-10"/>
    <n v="68"/>
    <n v="58"/>
    <n v="22"/>
    <n v="20"/>
    <x v="6"/>
    <n v="14"/>
    <n v="-4"/>
    <n v="70"/>
    <n v="0"/>
    <n v="1"/>
    <n v="4"/>
  </r>
  <r>
    <x v="4210"/>
    <n v="-4"/>
    <n v="70"/>
    <n v="66"/>
    <n v="14"/>
    <n v="24"/>
    <x v="4"/>
    <n v="19"/>
    <n v="1"/>
    <n v="60"/>
    <n v="0.1"/>
    <n v="0"/>
    <n v="0"/>
  </r>
  <r>
    <x v="4211"/>
    <n v="1"/>
    <n v="60"/>
    <n v="61"/>
    <n v="19"/>
    <n v="24"/>
    <x v="27"/>
    <n v="22"/>
    <n v="3"/>
    <n v="55"/>
    <n v="0.30000000000000004"/>
    <n v="0"/>
    <n v="0"/>
  </r>
  <r>
    <x v="4212"/>
    <n v="3"/>
    <n v="55"/>
    <n v="58"/>
    <n v="22"/>
    <n v="22"/>
    <x v="27"/>
    <n v="23"/>
    <n v="2"/>
    <n v="55"/>
    <n v="0.2"/>
    <n v="0"/>
    <n v="0"/>
  </r>
  <r>
    <x v="4213"/>
    <n v="2"/>
    <n v="55"/>
    <n v="57"/>
    <n v="23"/>
    <n v="14"/>
    <x v="8"/>
    <n v="18"/>
    <n v="-2"/>
    <n v="64"/>
    <n v="0"/>
    <n v="1"/>
    <n v="2"/>
  </r>
  <r>
    <x v="4214"/>
    <n v="-2"/>
    <n v="64"/>
    <n v="62"/>
    <n v="18"/>
    <n v="19"/>
    <x v="22"/>
    <n v="25"/>
    <n v="-8"/>
    <n v="63"/>
    <n v="0"/>
    <n v="1"/>
    <n v="8"/>
  </r>
  <r>
    <x v="4215"/>
    <n v="-8"/>
    <n v="63"/>
    <n v="55"/>
    <n v="25"/>
    <n v="22"/>
    <x v="7"/>
    <n v="12"/>
    <n v="2"/>
    <n v="66"/>
    <n v="0.2"/>
    <n v="0"/>
    <n v="0"/>
  </r>
  <r>
    <x v="4216"/>
    <n v="2"/>
    <n v="66"/>
    <n v="68"/>
    <n v="12"/>
    <n v="23"/>
    <x v="27"/>
    <n v="26"/>
    <n v="-1"/>
    <n v="55"/>
    <n v="0"/>
    <n v="1"/>
    <n v="1"/>
  </r>
  <r>
    <x v="4217"/>
    <n v="-1"/>
    <n v="55"/>
    <n v="54"/>
    <n v="26"/>
    <n v="18"/>
    <x v="22"/>
    <n v="18"/>
    <n v="-1"/>
    <n v="63"/>
    <n v="0"/>
    <n v="1"/>
    <n v="1"/>
  </r>
  <r>
    <x v="4218"/>
    <n v="-1"/>
    <n v="63"/>
    <n v="62"/>
    <n v="18"/>
    <n v="25"/>
    <x v="32"/>
    <n v="18"/>
    <n v="6"/>
    <n v="56"/>
    <n v="0.60000000000000009"/>
    <n v="0"/>
    <n v="0"/>
  </r>
  <r>
    <x v="4219"/>
    <n v="6"/>
    <n v="56"/>
    <n v="62"/>
    <n v="18"/>
    <n v="12"/>
    <x v="33"/>
    <n v="21"/>
    <n v="-3"/>
    <n v="62"/>
    <n v="0"/>
    <n v="1"/>
    <n v="3"/>
  </r>
  <r>
    <x v="4220"/>
    <n v="-3"/>
    <n v="62"/>
    <n v="59"/>
    <n v="21"/>
    <n v="26"/>
    <x v="24"/>
    <n v="32"/>
    <n v="-9"/>
    <n v="57"/>
    <n v="0"/>
    <n v="1"/>
    <n v="9"/>
  </r>
  <r>
    <x v="4221"/>
    <n v="-9"/>
    <n v="57"/>
    <n v="48"/>
    <n v="32"/>
    <n v="18"/>
    <x v="20"/>
    <n v="22"/>
    <n v="-13"/>
    <n v="71"/>
    <n v="0"/>
    <n v="1"/>
    <n v="13"/>
  </r>
  <r>
    <x v="4222"/>
    <n v="-13"/>
    <n v="71"/>
    <n v="58"/>
    <n v="22"/>
    <n v="18"/>
    <x v="44"/>
    <n v="20"/>
    <n v="-15"/>
    <n v="75"/>
    <n v="0"/>
    <n v="1"/>
    <n v="15"/>
  </r>
  <r>
    <x v="4223"/>
    <n v="-15"/>
    <n v="75"/>
    <n v="60"/>
    <n v="20"/>
    <n v="21"/>
    <x v="39"/>
    <n v="17"/>
    <n v="-11"/>
    <n v="74"/>
    <n v="0"/>
    <n v="1"/>
    <n v="11"/>
  </r>
  <r>
    <x v="4224"/>
    <n v="-11"/>
    <n v="74"/>
    <n v="63"/>
    <n v="17"/>
    <n v="32"/>
    <x v="5"/>
    <n v="19"/>
    <n v="2"/>
    <n v="59"/>
    <n v="0.2"/>
    <n v="0"/>
    <n v="0"/>
  </r>
  <r>
    <x v="4225"/>
    <n v="2"/>
    <n v="59"/>
    <n v="61"/>
    <n v="19"/>
    <n v="22"/>
    <x v="32"/>
    <n v="16"/>
    <n v="8"/>
    <n v="56"/>
    <n v="0.8"/>
    <n v="0"/>
    <n v="0"/>
  </r>
  <r>
    <x v="4226"/>
    <n v="8"/>
    <n v="56"/>
    <n v="64"/>
    <n v="16"/>
    <n v="20"/>
    <x v="25"/>
    <n v="17"/>
    <n v="11"/>
    <n v="52"/>
    <n v="1.1000000000000001"/>
    <n v="0"/>
    <n v="0"/>
  </r>
  <r>
    <x v="4227"/>
    <n v="11"/>
    <n v="52"/>
    <n v="63"/>
    <n v="17"/>
    <n v="17"/>
    <x v="25"/>
    <n v="8"/>
    <n v="20"/>
    <n v="52"/>
    <n v="2"/>
    <n v="0"/>
    <n v="0"/>
  </r>
  <r>
    <x v="4228"/>
    <n v="20"/>
    <n v="52"/>
    <n v="72"/>
    <n v="8"/>
    <n v="19"/>
    <x v="52"/>
    <n v="19"/>
    <n v="20"/>
    <n v="41"/>
    <n v="2"/>
    <n v="0"/>
    <n v="0"/>
  </r>
  <r>
    <x v="4229"/>
    <n v="20"/>
    <n v="41"/>
    <n v="61"/>
    <n v="19"/>
    <n v="16"/>
    <x v="45"/>
    <n v="16"/>
    <n v="20"/>
    <n v="44"/>
    <n v="2"/>
    <n v="0"/>
    <n v="0"/>
  </r>
  <r>
    <x v="4230"/>
    <n v="20"/>
    <n v="44"/>
    <n v="64"/>
    <n v="16"/>
    <n v="17"/>
    <x v="51"/>
    <n v="18"/>
    <n v="19"/>
    <n v="43"/>
    <n v="1.9000000000000001"/>
    <n v="0"/>
    <n v="0"/>
  </r>
  <r>
    <x v="4231"/>
    <n v="19"/>
    <n v="43"/>
    <n v="62"/>
    <n v="18"/>
    <n v="8"/>
    <x v="12"/>
    <n v="18"/>
    <n v="9"/>
    <n v="53"/>
    <n v="0.9"/>
    <n v="0"/>
    <n v="0"/>
  </r>
  <r>
    <x v="4232"/>
    <n v="9"/>
    <n v="53"/>
    <n v="62"/>
    <n v="18"/>
    <n v="19"/>
    <x v="25"/>
    <n v="21"/>
    <n v="7"/>
    <n v="52"/>
    <n v="0.70000000000000007"/>
    <n v="0"/>
    <n v="0"/>
  </r>
  <r>
    <x v="4233"/>
    <n v="7"/>
    <n v="52"/>
    <n v="59"/>
    <n v="21"/>
    <n v="16"/>
    <x v="24"/>
    <n v="20"/>
    <n v="3"/>
    <n v="57"/>
    <n v="0.30000000000000004"/>
    <n v="0"/>
    <n v="0"/>
  </r>
  <r>
    <x v="4234"/>
    <n v="3"/>
    <n v="57"/>
    <n v="60"/>
    <n v="20"/>
    <n v="18"/>
    <x v="5"/>
    <n v="18"/>
    <n v="3"/>
    <n v="59"/>
    <n v="0.30000000000000004"/>
    <n v="0"/>
    <n v="0"/>
  </r>
  <r>
    <x v="4235"/>
    <n v="3"/>
    <n v="59"/>
    <n v="62"/>
    <n v="18"/>
    <n v="18"/>
    <x v="5"/>
    <n v="14"/>
    <n v="7"/>
    <n v="59"/>
    <n v="0.70000000000000007"/>
    <n v="0"/>
    <n v="0"/>
  </r>
  <r>
    <x v="4236"/>
    <n v="7"/>
    <n v="59"/>
    <n v="66"/>
    <n v="14"/>
    <n v="21"/>
    <x v="25"/>
    <n v="17"/>
    <n v="11"/>
    <n v="52"/>
    <n v="1.1000000000000001"/>
    <n v="0"/>
    <n v="0"/>
  </r>
  <r>
    <x v="4237"/>
    <n v="11"/>
    <n v="52"/>
    <n v="63"/>
    <n v="17"/>
    <n v="20"/>
    <x v="10"/>
    <n v="23"/>
    <n v="8"/>
    <n v="49"/>
    <n v="0.8"/>
    <n v="0"/>
    <n v="0"/>
  </r>
  <r>
    <x v="4238"/>
    <n v="8"/>
    <n v="49"/>
    <n v="57"/>
    <n v="23"/>
    <n v="18"/>
    <x v="16"/>
    <n v="20"/>
    <n v="6"/>
    <n v="54"/>
    <n v="0.60000000000000009"/>
    <n v="0"/>
    <n v="0"/>
  </r>
  <r>
    <x v="4239"/>
    <n v="6"/>
    <n v="54"/>
    <n v="60"/>
    <n v="20"/>
    <n v="14"/>
    <x v="4"/>
    <n v="28"/>
    <n v="-8"/>
    <n v="60"/>
    <n v="0"/>
    <n v="1"/>
    <n v="8"/>
  </r>
  <r>
    <x v="4240"/>
    <n v="-8"/>
    <n v="60"/>
    <n v="52"/>
    <n v="28"/>
    <n v="17"/>
    <x v="20"/>
    <n v="11"/>
    <n v="-2"/>
    <n v="71"/>
    <n v="0"/>
    <n v="1"/>
    <n v="2"/>
  </r>
  <r>
    <x v="4241"/>
    <n v="-2"/>
    <n v="71"/>
    <n v="69"/>
    <n v="11"/>
    <n v="23"/>
    <x v="5"/>
    <n v="29"/>
    <n v="-8"/>
    <n v="59"/>
    <n v="0"/>
    <n v="1"/>
    <n v="8"/>
  </r>
  <r>
    <x v="4242"/>
    <n v="-8"/>
    <n v="59"/>
    <n v="51"/>
    <n v="29"/>
    <n v="20"/>
    <x v="17"/>
    <n v="19"/>
    <n v="-7"/>
    <n v="68"/>
    <n v="0"/>
    <n v="1"/>
    <n v="7"/>
  </r>
  <r>
    <x v="4243"/>
    <n v="-7"/>
    <n v="68"/>
    <n v="61"/>
    <n v="19"/>
    <n v="28"/>
    <x v="5"/>
    <n v="32"/>
    <n v="-11"/>
    <n v="59"/>
    <n v="0"/>
    <n v="1"/>
    <n v="11"/>
  </r>
  <r>
    <x v="4244"/>
    <n v="-11"/>
    <n v="59"/>
    <n v="48"/>
    <n v="32"/>
    <n v="11"/>
    <x v="0"/>
    <n v="28"/>
    <n v="-28"/>
    <n v="80"/>
    <n v="0"/>
    <n v="1"/>
    <n v="28"/>
  </r>
  <r>
    <x v="4245"/>
    <n v="-28"/>
    <n v="80"/>
    <n v="52"/>
    <n v="28"/>
    <n v="29"/>
    <x v="43"/>
    <n v="17"/>
    <n v="-16"/>
    <n v="79"/>
    <n v="0"/>
    <n v="1"/>
    <n v="16"/>
  </r>
  <r>
    <x v="4246"/>
    <n v="-16"/>
    <n v="79"/>
    <n v="63"/>
    <n v="17"/>
    <n v="19"/>
    <x v="18"/>
    <n v="19"/>
    <n v="-16"/>
    <n v="77"/>
    <n v="0"/>
    <n v="1"/>
    <n v="16"/>
  </r>
  <r>
    <x v="4247"/>
    <n v="-16"/>
    <n v="77"/>
    <n v="61"/>
    <n v="19"/>
    <n v="32"/>
    <x v="8"/>
    <n v="17"/>
    <n v="-1"/>
    <n v="64"/>
    <n v="0"/>
    <n v="1"/>
    <n v="1"/>
  </r>
  <r>
    <x v="4248"/>
    <n v="-1"/>
    <n v="64"/>
    <n v="63"/>
    <n v="17"/>
    <n v="28"/>
    <x v="12"/>
    <n v="19"/>
    <n v="8"/>
    <n v="53"/>
    <n v="0.8"/>
    <n v="0"/>
    <n v="0"/>
  </r>
  <r>
    <x v="4249"/>
    <n v="8"/>
    <n v="53"/>
    <n v="61"/>
    <n v="19"/>
    <n v="17"/>
    <x v="27"/>
    <n v="27"/>
    <n v="-2"/>
    <n v="55"/>
    <n v="0"/>
    <n v="1"/>
    <n v="2"/>
  </r>
  <r>
    <x v="4250"/>
    <n v="-2"/>
    <n v="55"/>
    <n v="53"/>
    <n v="27"/>
    <n v="19"/>
    <x v="22"/>
    <n v="27"/>
    <n v="-10"/>
    <n v="63"/>
    <n v="0"/>
    <n v="1"/>
    <n v="10"/>
  </r>
  <r>
    <x v="4251"/>
    <n v="-10"/>
    <n v="63"/>
    <n v="53"/>
    <n v="27"/>
    <n v="17"/>
    <x v="31"/>
    <n v="31"/>
    <n v="-24"/>
    <n v="73"/>
    <n v="0"/>
    <n v="1"/>
    <n v="24"/>
  </r>
  <r>
    <x v="4252"/>
    <n v="-24"/>
    <n v="73"/>
    <n v="49"/>
    <n v="31"/>
    <n v="19"/>
    <x v="36"/>
    <n v="16"/>
    <n v="-21"/>
    <n v="85"/>
    <n v="0"/>
    <n v="1"/>
    <n v="16"/>
  </r>
  <r>
    <x v="4253"/>
    <n v="-21"/>
    <n v="85"/>
    <n v="64"/>
    <n v="16"/>
    <n v="27"/>
    <x v="39"/>
    <n v="26"/>
    <n v="-20"/>
    <n v="74"/>
    <n v="0"/>
    <n v="1"/>
    <n v="20"/>
  </r>
  <r>
    <x v="4254"/>
    <n v="-20"/>
    <n v="74"/>
    <n v="54"/>
    <n v="26"/>
    <n v="27"/>
    <x v="31"/>
    <n v="15"/>
    <n v="-8"/>
    <n v="73"/>
    <n v="0"/>
    <n v="1"/>
    <n v="8"/>
  </r>
  <r>
    <x v="4255"/>
    <n v="-8"/>
    <n v="73"/>
    <n v="65"/>
    <n v="15"/>
    <n v="31"/>
    <x v="24"/>
    <n v="21"/>
    <n v="2"/>
    <n v="57"/>
    <n v="0.2"/>
    <n v="0"/>
    <n v="0"/>
  </r>
  <r>
    <x v="4256"/>
    <n v="2"/>
    <n v="57"/>
    <n v="59"/>
    <n v="21"/>
    <n v="16"/>
    <x v="33"/>
    <n v="15"/>
    <n v="3"/>
    <n v="62"/>
    <n v="0.30000000000000004"/>
    <n v="0"/>
    <n v="0"/>
  </r>
  <r>
    <x v="4257"/>
    <n v="3"/>
    <n v="62"/>
    <n v="65"/>
    <n v="15"/>
    <n v="26"/>
    <x v="9"/>
    <n v="17"/>
    <n v="12"/>
    <n v="51"/>
    <n v="1.2000000000000002"/>
    <n v="0"/>
    <n v="0"/>
  </r>
  <r>
    <x v="4258"/>
    <n v="12"/>
    <n v="51"/>
    <n v="63"/>
    <n v="17"/>
    <n v="15"/>
    <x v="12"/>
    <n v="23"/>
    <n v="4"/>
    <n v="53"/>
    <n v="0.4"/>
    <n v="0"/>
    <n v="0"/>
  </r>
  <r>
    <x v="4259"/>
    <n v="4"/>
    <n v="53"/>
    <n v="57"/>
    <n v="23"/>
    <n v="21"/>
    <x v="27"/>
    <n v="19"/>
    <n v="6"/>
    <n v="55"/>
    <n v="0.60000000000000009"/>
    <n v="0"/>
    <n v="0"/>
  </r>
  <r>
    <x v="4260"/>
    <n v="6"/>
    <n v="55"/>
    <n v="61"/>
    <n v="19"/>
    <n v="15"/>
    <x v="5"/>
    <n v="17"/>
    <n v="4"/>
    <n v="59"/>
    <n v="0.4"/>
    <n v="0"/>
    <n v="0"/>
  </r>
  <r>
    <x v="4261"/>
    <n v="4"/>
    <n v="59"/>
    <n v="63"/>
    <n v="17"/>
    <n v="17"/>
    <x v="5"/>
    <n v="19"/>
    <n v="2"/>
    <n v="59"/>
    <n v="0.2"/>
    <n v="0"/>
    <n v="0"/>
  </r>
  <r>
    <x v="4262"/>
    <n v="2"/>
    <n v="59"/>
    <n v="61"/>
    <n v="19"/>
    <n v="23"/>
    <x v="27"/>
    <n v="20"/>
    <n v="5"/>
    <n v="55"/>
    <n v="0.5"/>
    <n v="0"/>
    <n v="0"/>
  </r>
  <r>
    <x v="4263"/>
    <n v="5"/>
    <n v="55"/>
    <n v="60"/>
    <n v="20"/>
    <n v="19"/>
    <x v="32"/>
    <n v="19"/>
    <n v="5"/>
    <n v="56"/>
    <n v="0.5"/>
    <n v="0"/>
    <n v="0"/>
  </r>
  <r>
    <x v="4264"/>
    <n v="5"/>
    <n v="56"/>
    <n v="61"/>
    <n v="19"/>
    <n v="17"/>
    <x v="28"/>
    <n v="22"/>
    <n v="0"/>
    <n v="58"/>
    <n v="0"/>
    <n v="0"/>
    <n v="0"/>
  </r>
  <r>
    <x v="4265"/>
    <n v="0"/>
    <n v="58"/>
    <n v="58"/>
    <n v="22"/>
    <n v="19"/>
    <x v="23"/>
    <n v="20"/>
    <n v="-1"/>
    <n v="61"/>
    <n v="0"/>
    <n v="1"/>
    <n v="1"/>
  </r>
  <r>
    <x v="4266"/>
    <n v="-1"/>
    <n v="61"/>
    <n v="60"/>
    <n v="20"/>
    <n v="20"/>
    <x v="23"/>
    <n v="20"/>
    <n v="-1"/>
    <n v="61"/>
    <n v="0"/>
    <n v="1"/>
    <n v="1"/>
  </r>
  <r>
    <x v="4267"/>
    <n v="-1"/>
    <n v="61"/>
    <n v="60"/>
    <n v="20"/>
    <n v="19"/>
    <x v="33"/>
    <n v="22"/>
    <n v="-4"/>
    <n v="62"/>
    <n v="0"/>
    <n v="1"/>
    <n v="4"/>
  </r>
  <r>
    <x v="4268"/>
    <n v="-4"/>
    <n v="62"/>
    <n v="58"/>
    <n v="22"/>
    <n v="22"/>
    <x v="33"/>
    <n v="20"/>
    <n v="-2"/>
    <n v="62"/>
    <n v="0"/>
    <n v="1"/>
    <n v="2"/>
  </r>
  <r>
    <x v="4269"/>
    <n v="-2"/>
    <n v="62"/>
    <n v="60"/>
    <n v="20"/>
    <n v="20"/>
    <x v="33"/>
    <n v="18"/>
    <n v="0"/>
    <n v="62"/>
    <n v="0"/>
    <n v="0"/>
    <n v="0"/>
  </r>
  <r>
    <x v="4270"/>
    <n v="0"/>
    <n v="62"/>
    <n v="62"/>
    <n v="18"/>
    <n v="20"/>
    <x v="4"/>
    <n v="23"/>
    <n v="-3"/>
    <n v="60"/>
    <n v="0"/>
    <n v="1"/>
    <n v="3"/>
  </r>
  <r>
    <x v="4271"/>
    <n v="-3"/>
    <n v="60"/>
    <n v="57"/>
    <n v="23"/>
    <n v="22"/>
    <x v="23"/>
    <n v="21"/>
    <n v="-2"/>
    <n v="61"/>
    <n v="0"/>
    <n v="1"/>
    <n v="2"/>
  </r>
  <r>
    <x v="4272"/>
    <n v="-2"/>
    <n v="61"/>
    <n v="59"/>
    <n v="21"/>
    <n v="20"/>
    <x v="33"/>
    <n v="15"/>
    <n v="3"/>
    <n v="62"/>
    <n v="0.30000000000000004"/>
    <n v="0"/>
    <n v="0"/>
  </r>
  <r>
    <x v="4273"/>
    <n v="3"/>
    <n v="62"/>
    <n v="65"/>
    <n v="15"/>
    <n v="18"/>
    <x v="5"/>
    <n v="24"/>
    <n v="-3"/>
    <n v="59"/>
    <n v="0"/>
    <n v="1"/>
    <n v="3"/>
  </r>
  <r>
    <x v="4274"/>
    <n v="-3"/>
    <n v="59"/>
    <n v="56"/>
    <n v="24"/>
    <n v="23"/>
    <x v="4"/>
    <n v="25"/>
    <n v="-5"/>
    <n v="60"/>
    <n v="0"/>
    <n v="1"/>
    <n v="5"/>
  </r>
  <r>
    <x v="4275"/>
    <n v="-5"/>
    <n v="60"/>
    <n v="55"/>
    <n v="25"/>
    <n v="21"/>
    <x v="8"/>
    <n v="23"/>
    <n v="-7"/>
    <n v="64"/>
    <n v="0"/>
    <n v="1"/>
    <n v="7"/>
  </r>
  <r>
    <x v="4276"/>
    <n v="-7"/>
    <n v="64"/>
    <n v="57"/>
    <n v="23"/>
    <n v="15"/>
    <x v="29"/>
    <n v="18"/>
    <n v="-10"/>
    <n v="72"/>
    <n v="0"/>
    <n v="1"/>
    <n v="10"/>
  </r>
  <r>
    <x v="4277"/>
    <n v="-10"/>
    <n v="72"/>
    <n v="62"/>
    <n v="18"/>
    <n v="24"/>
    <x v="7"/>
    <n v="12"/>
    <n v="2"/>
    <n v="66"/>
    <n v="0.2"/>
    <n v="0"/>
    <n v="0"/>
  </r>
  <r>
    <x v="4278"/>
    <n v="2"/>
    <n v="66"/>
    <n v="68"/>
    <n v="12"/>
    <n v="25"/>
    <x v="12"/>
    <n v="21"/>
    <n v="6"/>
    <n v="53"/>
    <n v="0.60000000000000009"/>
    <n v="0"/>
    <n v="0"/>
  </r>
  <r>
    <x v="4279"/>
    <n v="6"/>
    <n v="53"/>
    <n v="59"/>
    <n v="21"/>
    <n v="23"/>
    <x v="9"/>
    <n v="20"/>
    <n v="9"/>
    <n v="51"/>
    <n v="0.9"/>
    <n v="0"/>
    <n v="0"/>
  </r>
  <r>
    <x v="4280"/>
    <n v="9"/>
    <n v="51"/>
    <n v="60"/>
    <n v="20"/>
    <n v="18"/>
    <x v="12"/>
    <n v="24"/>
    <n v="3"/>
    <n v="53"/>
    <n v="0.30000000000000004"/>
    <n v="0"/>
    <n v="0"/>
  </r>
  <r>
    <x v="4281"/>
    <n v="3"/>
    <n v="53"/>
    <n v="56"/>
    <n v="24"/>
    <n v="12"/>
    <x v="26"/>
    <n v="21"/>
    <n v="-6"/>
    <n v="65"/>
    <n v="0"/>
    <n v="1"/>
    <n v="6"/>
  </r>
  <r>
    <x v="4282"/>
    <n v="-6"/>
    <n v="65"/>
    <n v="59"/>
    <n v="21"/>
    <n v="21"/>
    <x v="26"/>
    <n v="19"/>
    <n v="-4"/>
    <n v="65"/>
    <n v="0"/>
    <n v="1"/>
    <n v="4"/>
  </r>
  <r>
    <x v="4283"/>
    <n v="-4"/>
    <n v="65"/>
    <n v="61"/>
    <n v="19"/>
    <n v="20"/>
    <x v="8"/>
    <n v="30"/>
    <n v="-14"/>
    <n v="64"/>
    <n v="0"/>
    <n v="1"/>
    <n v="14"/>
  </r>
  <r>
    <x v="4284"/>
    <n v="-14"/>
    <n v="64"/>
    <n v="50"/>
    <n v="30"/>
    <n v="24"/>
    <x v="6"/>
    <n v="21"/>
    <n v="-11"/>
    <n v="70"/>
    <n v="0"/>
    <n v="1"/>
    <n v="11"/>
  </r>
  <r>
    <x v="4285"/>
    <n v="-11"/>
    <n v="70"/>
    <n v="59"/>
    <n v="21"/>
    <n v="21"/>
    <x v="6"/>
    <n v="12"/>
    <n v="-2"/>
    <n v="70"/>
    <n v="0"/>
    <n v="1"/>
    <n v="2"/>
  </r>
  <r>
    <x v="4286"/>
    <n v="-2"/>
    <n v="70"/>
    <n v="68"/>
    <n v="12"/>
    <n v="19"/>
    <x v="22"/>
    <n v="14"/>
    <n v="3"/>
    <n v="63"/>
    <n v="0.30000000000000004"/>
    <n v="0"/>
    <n v="0"/>
  </r>
  <r>
    <x v="4287"/>
    <n v="3"/>
    <n v="63"/>
    <n v="66"/>
    <n v="14"/>
    <n v="30"/>
    <x v="14"/>
    <n v="19"/>
    <n v="14"/>
    <n v="47"/>
    <n v="1.4000000000000001"/>
    <n v="0"/>
    <n v="0"/>
  </r>
  <r>
    <x v="4288"/>
    <n v="14"/>
    <n v="47"/>
    <n v="61"/>
    <n v="19"/>
    <n v="21"/>
    <x v="11"/>
    <n v="20"/>
    <n v="15"/>
    <n v="45"/>
    <n v="1.5"/>
    <n v="0"/>
    <n v="0"/>
  </r>
  <r>
    <x v="4289"/>
    <n v="15"/>
    <n v="45"/>
    <n v="60"/>
    <n v="20"/>
    <n v="12"/>
    <x v="12"/>
    <n v="20"/>
    <n v="7"/>
    <n v="53"/>
    <n v="0.70000000000000007"/>
    <n v="0"/>
    <n v="0"/>
  </r>
  <r>
    <x v="4290"/>
    <n v="7"/>
    <n v="53"/>
    <n v="60"/>
    <n v="20"/>
    <n v="14"/>
    <x v="5"/>
    <n v="21"/>
    <n v="0"/>
    <n v="59"/>
    <n v="0"/>
    <n v="0"/>
    <n v="0"/>
  </r>
  <r>
    <x v="4291"/>
    <n v="0"/>
    <n v="59"/>
    <n v="59"/>
    <n v="21"/>
    <n v="19"/>
    <x v="23"/>
    <n v="15"/>
    <n v="4"/>
    <n v="61"/>
    <n v="0.4"/>
    <n v="0"/>
    <n v="0"/>
  </r>
  <r>
    <x v="4292"/>
    <n v="4"/>
    <n v="61"/>
    <n v="65"/>
    <n v="15"/>
    <n v="20"/>
    <x v="32"/>
    <n v="10"/>
    <n v="14"/>
    <n v="56"/>
    <n v="1.4000000000000001"/>
    <n v="0"/>
    <n v="0"/>
  </r>
  <r>
    <x v="4293"/>
    <n v="14"/>
    <n v="56"/>
    <n v="70"/>
    <n v="10"/>
    <n v="20"/>
    <x v="38"/>
    <n v="20"/>
    <n v="14"/>
    <n v="46"/>
    <n v="1.4000000000000001"/>
    <n v="0"/>
    <n v="0"/>
  </r>
  <r>
    <x v="4294"/>
    <n v="14"/>
    <n v="46"/>
    <n v="60"/>
    <n v="20"/>
    <n v="21"/>
    <x v="11"/>
    <n v="19"/>
    <n v="16"/>
    <n v="45"/>
    <n v="1.6"/>
    <n v="0"/>
    <n v="0"/>
  </r>
  <r>
    <x v="4295"/>
    <n v="16"/>
    <n v="45"/>
    <n v="61"/>
    <n v="19"/>
    <n v="15"/>
    <x v="10"/>
    <n v="19"/>
    <n v="12"/>
    <n v="49"/>
    <n v="1.2000000000000002"/>
    <n v="0"/>
    <n v="0"/>
  </r>
  <r>
    <x v="4296"/>
    <n v="12"/>
    <n v="49"/>
    <n v="61"/>
    <n v="19"/>
    <n v="10"/>
    <x v="28"/>
    <n v="14"/>
    <n v="8"/>
    <n v="58"/>
    <n v="0.8"/>
    <n v="0"/>
    <n v="0"/>
  </r>
  <r>
    <x v="4297"/>
    <n v="8"/>
    <n v="58"/>
    <n v="66"/>
    <n v="14"/>
    <n v="20"/>
    <x v="25"/>
    <n v="15"/>
    <n v="13"/>
    <n v="52"/>
    <n v="1.3"/>
    <n v="0"/>
    <n v="0"/>
  </r>
  <r>
    <x v="4298"/>
    <n v="13"/>
    <n v="52"/>
    <n v="65"/>
    <n v="15"/>
    <n v="19"/>
    <x v="15"/>
    <n v="13"/>
    <n v="19"/>
    <n v="48"/>
    <n v="1.9000000000000001"/>
    <n v="0"/>
    <n v="0"/>
  </r>
  <r>
    <x v="4299"/>
    <n v="19"/>
    <n v="48"/>
    <n v="67"/>
    <n v="13"/>
    <n v="19"/>
    <x v="40"/>
    <n v="18"/>
    <n v="20"/>
    <n v="42"/>
    <n v="2"/>
    <n v="0"/>
    <n v="0"/>
  </r>
  <r>
    <x v="4300"/>
    <n v="20"/>
    <n v="42"/>
    <n v="62"/>
    <n v="18"/>
    <n v="14"/>
    <x v="38"/>
    <n v="15"/>
    <n v="19"/>
    <n v="46"/>
    <n v="1.9000000000000001"/>
    <n v="0"/>
    <n v="0"/>
  </r>
  <r>
    <x v="4301"/>
    <n v="19"/>
    <n v="46"/>
    <n v="65"/>
    <n v="15"/>
    <n v="15"/>
    <x v="38"/>
    <n v="18"/>
    <n v="16"/>
    <n v="46"/>
    <n v="1.6"/>
    <n v="0"/>
    <n v="0"/>
  </r>
  <r>
    <x v="4302"/>
    <n v="16"/>
    <n v="46"/>
    <n v="62"/>
    <n v="18"/>
    <n v="13"/>
    <x v="9"/>
    <n v="26"/>
    <n v="3"/>
    <n v="51"/>
    <n v="0.30000000000000004"/>
    <n v="0"/>
    <n v="0"/>
  </r>
  <r>
    <x v="4303"/>
    <n v="3"/>
    <n v="51"/>
    <n v="54"/>
    <n v="26"/>
    <n v="18"/>
    <x v="5"/>
    <n v="23"/>
    <n v="-2"/>
    <n v="59"/>
    <n v="0"/>
    <n v="1"/>
    <n v="2"/>
  </r>
  <r>
    <x v="4304"/>
    <n v="-2"/>
    <n v="59"/>
    <n v="57"/>
    <n v="23"/>
    <n v="15"/>
    <x v="21"/>
    <n v="22"/>
    <n v="-9"/>
    <n v="67"/>
    <n v="0"/>
    <n v="1"/>
    <n v="9"/>
  </r>
  <r>
    <x v="4305"/>
    <n v="-9"/>
    <n v="67"/>
    <n v="58"/>
    <n v="22"/>
    <n v="18"/>
    <x v="20"/>
    <n v="20"/>
    <n v="-11"/>
    <n v="71"/>
    <n v="0"/>
    <n v="1"/>
    <n v="11"/>
  </r>
  <r>
    <x v="4306"/>
    <n v="-11"/>
    <n v="71"/>
    <n v="60"/>
    <n v="20"/>
    <n v="26"/>
    <x v="26"/>
    <n v="19"/>
    <n v="-4"/>
    <n v="65"/>
    <n v="0"/>
    <n v="1"/>
    <n v="4"/>
  </r>
  <r>
    <x v="4307"/>
    <n v="-4"/>
    <n v="65"/>
    <n v="61"/>
    <n v="19"/>
    <n v="23"/>
    <x v="23"/>
    <n v="17"/>
    <n v="2"/>
    <n v="61"/>
    <n v="0.2"/>
    <n v="0"/>
    <n v="0"/>
  </r>
  <r>
    <x v="4308"/>
    <n v="2"/>
    <n v="61"/>
    <n v="63"/>
    <n v="17"/>
    <n v="22"/>
    <x v="32"/>
    <n v="17"/>
    <n v="7"/>
    <n v="56"/>
    <n v="0.70000000000000007"/>
    <n v="0"/>
    <n v="0"/>
  </r>
  <r>
    <x v="4309"/>
    <n v="7"/>
    <n v="56"/>
    <n v="63"/>
    <n v="17"/>
    <n v="20"/>
    <x v="12"/>
    <n v="20"/>
    <n v="7"/>
    <n v="53"/>
    <n v="0.70000000000000007"/>
    <n v="0"/>
    <n v="0"/>
  </r>
  <r>
    <x v="4310"/>
    <n v="7"/>
    <n v="53"/>
    <n v="60"/>
    <n v="20"/>
    <n v="19"/>
    <x v="16"/>
    <n v="21"/>
    <n v="5"/>
    <n v="54"/>
    <n v="0.5"/>
    <n v="0"/>
    <n v="0"/>
  </r>
  <r>
    <x v="4311"/>
    <n v="5"/>
    <n v="54"/>
    <n v="59"/>
    <n v="21"/>
    <n v="17"/>
    <x v="28"/>
    <n v="19"/>
    <n v="3"/>
    <n v="58"/>
    <n v="0.30000000000000004"/>
    <n v="0"/>
    <n v="0"/>
  </r>
  <r>
    <x v="4312"/>
    <n v="3"/>
    <n v="58"/>
    <n v="61"/>
    <n v="19"/>
    <n v="17"/>
    <x v="4"/>
    <n v="18"/>
    <n v="2"/>
    <n v="60"/>
    <n v="0.2"/>
    <n v="0"/>
    <n v="0"/>
  </r>
  <r>
    <x v="4313"/>
    <n v="2"/>
    <n v="60"/>
    <n v="62"/>
    <n v="18"/>
    <n v="20"/>
    <x v="28"/>
    <n v="18"/>
    <n v="4"/>
    <n v="58"/>
    <n v="0.4"/>
    <n v="0"/>
    <n v="0"/>
  </r>
  <r>
    <x v="4314"/>
    <n v="4"/>
    <n v="58"/>
    <n v="62"/>
    <n v="18"/>
    <n v="21"/>
    <x v="27"/>
    <n v="12"/>
    <n v="13"/>
    <n v="55"/>
    <n v="1.3"/>
    <n v="0"/>
    <n v="0"/>
  </r>
  <r>
    <x v="4315"/>
    <n v="13"/>
    <n v="55"/>
    <n v="68"/>
    <n v="12"/>
    <n v="19"/>
    <x v="15"/>
    <n v="31"/>
    <n v="1"/>
    <n v="48"/>
    <n v="0.1"/>
    <n v="0"/>
    <n v="0"/>
  </r>
  <r>
    <x v="4316"/>
    <n v="1"/>
    <n v="48"/>
    <n v="49"/>
    <n v="31"/>
    <n v="18"/>
    <x v="23"/>
    <n v="19"/>
    <n v="0"/>
    <n v="61"/>
    <n v="0"/>
    <n v="0"/>
    <n v="0"/>
  </r>
  <r>
    <x v="4317"/>
    <n v="0"/>
    <n v="61"/>
    <n v="61"/>
    <n v="19"/>
    <n v="18"/>
    <x v="33"/>
    <n v="18"/>
    <n v="0"/>
    <n v="62"/>
    <n v="0"/>
    <n v="0"/>
    <n v="0"/>
  </r>
  <r>
    <x v="4318"/>
    <n v="0"/>
    <n v="62"/>
    <n v="62"/>
    <n v="18"/>
    <n v="12"/>
    <x v="17"/>
    <n v="17"/>
    <n v="-5"/>
    <n v="68"/>
    <n v="0"/>
    <n v="1"/>
    <n v="5"/>
  </r>
  <r>
    <x v="4319"/>
    <n v="-5"/>
    <n v="68"/>
    <n v="63"/>
    <n v="17"/>
    <n v="31"/>
    <x v="16"/>
    <n v="16"/>
    <n v="10"/>
    <n v="54"/>
    <n v="1"/>
    <n v="0"/>
    <n v="0"/>
  </r>
  <r>
    <x v="4320"/>
    <n v="10"/>
    <n v="54"/>
    <n v="64"/>
    <n v="16"/>
    <n v="19"/>
    <x v="9"/>
    <n v="20"/>
    <n v="9"/>
    <n v="51"/>
    <n v="0.9"/>
    <n v="0"/>
    <n v="0"/>
  </r>
  <r>
    <x v="4321"/>
    <n v="9"/>
    <n v="51"/>
    <n v="60"/>
    <n v="20"/>
    <n v="18"/>
    <x v="12"/>
    <n v="29"/>
    <n v="-2"/>
    <n v="53"/>
    <n v="0"/>
    <n v="1"/>
    <n v="2"/>
  </r>
  <r>
    <x v="4322"/>
    <n v="-2"/>
    <n v="53"/>
    <n v="51"/>
    <n v="29"/>
    <n v="17"/>
    <x v="26"/>
    <n v="25"/>
    <n v="-10"/>
    <n v="65"/>
    <n v="0"/>
    <n v="1"/>
    <n v="10"/>
  </r>
  <r>
    <x v="4323"/>
    <n v="-10"/>
    <n v="65"/>
    <n v="55"/>
    <n v="25"/>
    <n v="16"/>
    <x v="39"/>
    <n v="19"/>
    <n v="-13"/>
    <n v="74"/>
    <n v="0"/>
    <n v="1"/>
    <n v="13"/>
  </r>
  <r>
    <x v="4324"/>
    <n v="-13"/>
    <n v="74"/>
    <n v="61"/>
    <n v="19"/>
    <n v="20"/>
    <x v="31"/>
    <n v="15"/>
    <n v="-8"/>
    <n v="73"/>
    <n v="0"/>
    <n v="1"/>
    <n v="8"/>
  </r>
  <r>
    <x v="4325"/>
    <n v="-8"/>
    <n v="73"/>
    <n v="65"/>
    <n v="15"/>
    <n v="29"/>
    <x v="5"/>
    <n v="20"/>
    <n v="1"/>
    <n v="59"/>
    <n v="0.1"/>
    <n v="0"/>
    <n v="0"/>
  </r>
  <r>
    <x v="4326"/>
    <n v="1"/>
    <n v="59"/>
    <n v="60"/>
    <n v="20"/>
    <n v="25"/>
    <x v="16"/>
    <n v="22"/>
    <n v="4"/>
    <n v="54"/>
    <n v="0.4"/>
    <n v="0"/>
    <n v="0"/>
  </r>
  <r>
    <x v="4327"/>
    <n v="4"/>
    <n v="54"/>
    <n v="58"/>
    <n v="22"/>
    <n v="19"/>
    <x v="24"/>
    <n v="19"/>
    <n v="4"/>
    <n v="57"/>
    <n v="0.4"/>
    <n v="0"/>
    <n v="0"/>
  </r>
  <r>
    <x v="4328"/>
    <n v="4"/>
    <n v="57"/>
    <n v="61"/>
    <n v="19"/>
    <n v="15"/>
    <x v="23"/>
    <n v="12"/>
    <n v="7"/>
    <n v="61"/>
    <n v="0.70000000000000007"/>
    <n v="0"/>
    <n v="0"/>
  </r>
  <r>
    <x v="4329"/>
    <n v="7"/>
    <n v="61"/>
    <n v="68"/>
    <n v="12"/>
    <n v="20"/>
    <x v="12"/>
    <n v="18"/>
    <n v="9"/>
    <n v="53"/>
    <n v="0.9"/>
    <n v="0"/>
    <n v="0"/>
  </r>
  <r>
    <x v="4330"/>
    <n v="9"/>
    <n v="53"/>
    <n v="62"/>
    <n v="18"/>
    <n v="22"/>
    <x v="10"/>
    <n v="24"/>
    <n v="7"/>
    <n v="49"/>
    <n v="0.70000000000000007"/>
    <n v="0"/>
    <n v="0"/>
  </r>
  <r>
    <x v="4331"/>
    <n v="7"/>
    <n v="49"/>
    <n v="56"/>
    <n v="24"/>
    <n v="19"/>
    <x v="16"/>
    <n v="19"/>
    <n v="7"/>
    <n v="54"/>
    <n v="0.70000000000000007"/>
    <n v="0"/>
    <n v="0"/>
  </r>
  <r>
    <x v="4332"/>
    <n v="7"/>
    <n v="54"/>
    <n v="61"/>
    <n v="19"/>
    <n v="12"/>
    <x v="23"/>
    <n v="23"/>
    <n v="-4"/>
    <n v="61"/>
    <n v="0"/>
    <n v="1"/>
    <n v="4"/>
  </r>
  <r>
    <x v="4333"/>
    <n v="-4"/>
    <n v="61"/>
    <n v="57"/>
    <n v="23"/>
    <n v="18"/>
    <x v="7"/>
    <n v="16"/>
    <n v="-2"/>
    <n v="66"/>
    <n v="0"/>
    <n v="1"/>
    <n v="2"/>
  </r>
  <r>
    <x v="4334"/>
    <n v="-2"/>
    <n v="66"/>
    <n v="64"/>
    <n v="16"/>
    <n v="24"/>
    <x v="28"/>
    <n v="22"/>
    <n v="0"/>
    <n v="58"/>
    <n v="0"/>
    <n v="0"/>
    <n v="0"/>
  </r>
  <r>
    <x v="4335"/>
    <n v="0"/>
    <n v="58"/>
    <n v="58"/>
    <n v="22"/>
    <n v="19"/>
    <x v="23"/>
    <n v="22"/>
    <n v="-3"/>
    <n v="61"/>
    <n v="0"/>
    <n v="1"/>
    <n v="3"/>
  </r>
  <r>
    <x v="4336"/>
    <n v="-3"/>
    <n v="61"/>
    <n v="58"/>
    <n v="22"/>
    <n v="23"/>
    <x v="4"/>
    <n v="14"/>
    <n v="6"/>
    <n v="60"/>
    <n v="0.60000000000000009"/>
    <n v="0"/>
    <n v="0"/>
  </r>
  <r>
    <x v="4337"/>
    <n v="6"/>
    <n v="60"/>
    <n v="66"/>
    <n v="14"/>
    <n v="16"/>
    <x v="28"/>
    <n v="12"/>
    <n v="10"/>
    <n v="58"/>
    <n v="1"/>
    <n v="0"/>
    <n v="0"/>
  </r>
  <r>
    <x v="4338"/>
    <n v="10"/>
    <n v="58"/>
    <n v="68"/>
    <n v="12"/>
    <n v="22"/>
    <x v="15"/>
    <n v="12"/>
    <n v="20"/>
    <n v="48"/>
    <n v="2"/>
    <n v="0"/>
    <n v="0"/>
  </r>
  <r>
    <x v="4339"/>
    <n v="20"/>
    <n v="48"/>
    <n v="68"/>
    <n v="12"/>
    <n v="22"/>
    <x v="56"/>
    <n v="21"/>
    <n v="21"/>
    <n v="38"/>
    <n v="2.1"/>
    <n v="0"/>
    <n v="0"/>
  </r>
  <r>
    <x v="4340"/>
    <n v="21"/>
    <n v="38"/>
    <n v="59"/>
    <n v="21"/>
    <n v="14"/>
    <x v="11"/>
    <n v="20"/>
    <n v="15"/>
    <n v="45"/>
    <n v="1.5"/>
    <n v="0"/>
    <n v="0"/>
  </r>
  <r>
    <x v="4341"/>
    <n v="15"/>
    <n v="45"/>
    <n v="60"/>
    <n v="20"/>
    <n v="12"/>
    <x v="12"/>
    <n v="23"/>
    <n v="4"/>
    <n v="53"/>
    <n v="0.4"/>
    <n v="0"/>
    <n v="0"/>
  </r>
  <r>
    <x v="4342"/>
    <n v="4"/>
    <n v="53"/>
    <n v="57"/>
    <n v="23"/>
    <n v="12"/>
    <x v="8"/>
    <n v="22"/>
    <n v="-6"/>
    <n v="64"/>
    <n v="0"/>
    <n v="1"/>
    <n v="6"/>
  </r>
  <r>
    <x v="4343"/>
    <n v="-6"/>
    <n v="64"/>
    <n v="58"/>
    <n v="22"/>
    <n v="21"/>
    <x v="26"/>
    <n v="13"/>
    <n v="2"/>
    <n v="65"/>
    <n v="0.2"/>
    <n v="0"/>
    <n v="0"/>
  </r>
  <r>
    <x v="4344"/>
    <n v="2"/>
    <n v="65"/>
    <n v="67"/>
    <n v="13"/>
    <n v="20"/>
    <x v="28"/>
    <n v="16"/>
    <n v="6"/>
    <n v="58"/>
    <n v="0.60000000000000009"/>
    <n v="0"/>
    <n v="0"/>
  </r>
  <r>
    <x v="4345"/>
    <n v="6"/>
    <n v="58"/>
    <n v="64"/>
    <n v="16"/>
    <n v="23"/>
    <x v="9"/>
    <n v="24"/>
    <n v="5"/>
    <n v="51"/>
    <n v="0.5"/>
    <n v="0"/>
    <n v="0"/>
  </r>
  <r>
    <x v="4346"/>
    <n v="5"/>
    <n v="51"/>
    <n v="56"/>
    <n v="24"/>
    <n v="22"/>
    <x v="12"/>
    <n v="16"/>
    <n v="11"/>
    <n v="53"/>
    <n v="1.1000000000000001"/>
    <n v="0"/>
    <n v="0"/>
  </r>
  <r>
    <x v="4347"/>
    <n v="11"/>
    <n v="53"/>
    <n v="64"/>
    <n v="16"/>
    <n v="13"/>
    <x v="32"/>
    <n v="16"/>
    <n v="8"/>
    <n v="56"/>
    <n v="0.8"/>
    <n v="0"/>
    <n v="0"/>
  </r>
  <r>
    <x v="4348"/>
    <n v="8"/>
    <n v="56"/>
    <n v="64"/>
    <n v="16"/>
    <n v="16"/>
    <x v="32"/>
    <n v="11"/>
    <n v="13"/>
    <n v="56"/>
    <n v="1.3"/>
    <n v="0"/>
    <n v="0"/>
  </r>
  <r>
    <x v="4349"/>
    <n v="13"/>
    <n v="56"/>
    <n v="69"/>
    <n v="11"/>
    <n v="24"/>
    <x v="51"/>
    <n v="20"/>
    <n v="17"/>
    <n v="43"/>
    <n v="1.7000000000000002"/>
    <n v="0"/>
    <n v="0"/>
  </r>
  <r>
    <x v="4350"/>
    <n v="17"/>
    <n v="43"/>
    <n v="60"/>
    <n v="20"/>
    <n v="16"/>
    <x v="14"/>
    <n v="12"/>
    <n v="21"/>
    <n v="47"/>
    <n v="2.1"/>
    <n v="0"/>
    <n v="0"/>
  </r>
  <r>
    <x v="4351"/>
    <n v="21"/>
    <n v="47"/>
    <n v="68"/>
    <n v="12"/>
    <n v="16"/>
    <x v="51"/>
    <n v="20"/>
    <n v="17"/>
    <n v="43"/>
    <n v="1.7000000000000002"/>
    <n v="0"/>
    <n v="0"/>
  </r>
  <r>
    <x v="4352"/>
    <n v="17"/>
    <n v="43"/>
    <n v="60"/>
    <n v="20"/>
    <n v="11"/>
    <x v="25"/>
    <n v="15"/>
    <n v="13"/>
    <n v="52"/>
    <n v="1.3"/>
    <n v="0"/>
    <n v="0"/>
  </r>
  <r>
    <x v="4353"/>
    <n v="13"/>
    <n v="52"/>
    <n v="65"/>
    <n v="15"/>
    <n v="20"/>
    <x v="14"/>
    <n v="15"/>
    <n v="18"/>
    <n v="47"/>
    <n v="1.8"/>
    <n v="0"/>
    <n v="0"/>
  </r>
  <r>
    <x v="4354"/>
    <n v="18"/>
    <n v="47"/>
    <n v="65"/>
    <n v="15"/>
    <n v="12"/>
    <x v="13"/>
    <n v="20"/>
    <n v="10"/>
    <n v="50"/>
    <n v="1"/>
    <n v="0"/>
    <n v="0"/>
  </r>
  <r>
    <x v="4355"/>
    <n v="10"/>
    <n v="50"/>
    <n v="60"/>
    <n v="20"/>
    <n v="20"/>
    <x v="13"/>
    <n v="28"/>
    <n v="2"/>
    <n v="50"/>
    <n v="0.2"/>
    <n v="0"/>
    <n v="0"/>
  </r>
  <r>
    <x v="4356"/>
    <n v="2"/>
    <n v="50"/>
    <n v="52"/>
    <n v="28"/>
    <n v="15"/>
    <x v="22"/>
    <n v="17"/>
    <n v="0"/>
    <n v="63"/>
    <n v="0"/>
    <n v="0"/>
    <n v="0"/>
  </r>
  <r>
    <x v="4357"/>
    <n v="0"/>
    <n v="63"/>
    <n v="63"/>
    <n v="17"/>
    <n v="15"/>
    <x v="26"/>
    <n v="27"/>
    <n v="-12"/>
    <n v="65"/>
    <n v="0"/>
    <n v="1"/>
    <n v="12"/>
  </r>
  <r>
    <x v="4358"/>
    <n v="-12"/>
    <n v="65"/>
    <n v="53"/>
    <n v="27"/>
    <n v="20"/>
    <x v="29"/>
    <n v="20"/>
    <n v="-12"/>
    <n v="72"/>
    <n v="0"/>
    <n v="1"/>
    <n v="12"/>
  </r>
  <r>
    <x v="4359"/>
    <n v="-12"/>
    <n v="72"/>
    <n v="60"/>
    <n v="20"/>
    <n v="28"/>
    <x v="8"/>
    <n v="23"/>
    <n v="-7"/>
    <n v="64"/>
    <n v="0"/>
    <n v="1"/>
    <n v="7"/>
  </r>
  <r>
    <x v="4360"/>
    <n v="-7"/>
    <n v="64"/>
    <n v="57"/>
    <n v="23"/>
    <n v="17"/>
    <x v="6"/>
    <n v="31"/>
    <n v="-21"/>
    <n v="70"/>
    <n v="0"/>
    <n v="1"/>
    <n v="21"/>
  </r>
  <r>
    <x v="4361"/>
    <n v="-21"/>
    <n v="70"/>
    <n v="49"/>
    <n v="31"/>
    <n v="27"/>
    <x v="39"/>
    <n v="22"/>
    <n v="-16"/>
    <n v="74"/>
    <n v="0"/>
    <n v="1"/>
    <n v="16"/>
  </r>
  <r>
    <x v="4362"/>
    <n v="-16"/>
    <n v="74"/>
    <n v="58"/>
    <n v="22"/>
    <n v="20"/>
    <x v="37"/>
    <n v="25"/>
    <n v="-21"/>
    <n v="76"/>
    <n v="0"/>
    <n v="1"/>
    <n v="21"/>
  </r>
  <r>
    <x v="4363"/>
    <n v="-21"/>
    <n v="76"/>
    <n v="55"/>
    <n v="25"/>
    <n v="23"/>
    <x v="35"/>
    <n v="23"/>
    <n v="-21"/>
    <n v="78"/>
    <n v="0"/>
    <n v="1"/>
    <n v="21"/>
  </r>
  <r>
    <x v="4364"/>
    <n v="-21"/>
    <n v="78"/>
    <n v="57"/>
    <n v="23"/>
    <n v="31"/>
    <x v="6"/>
    <n v="21"/>
    <n v="-11"/>
    <n v="70"/>
    <n v="0"/>
    <n v="1"/>
    <n v="11"/>
  </r>
  <r>
    <x v="4365"/>
    <n v="-11"/>
    <n v="70"/>
    <n v="59"/>
    <n v="21"/>
    <n v="22"/>
    <x v="30"/>
    <n v="22"/>
    <n v="-11"/>
    <n v="69"/>
    <n v="0"/>
    <n v="1"/>
    <n v="11"/>
  </r>
  <r>
    <x v="4366"/>
    <n v="-11"/>
    <n v="69"/>
    <n v="58"/>
    <n v="22"/>
    <n v="25"/>
    <x v="7"/>
    <n v="19"/>
    <n v="-5"/>
    <n v="66"/>
    <n v="0"/>
    <n v="1"/>
    <n v="5"/>
  </r>
  <r>
    <x v="4367"/>
    <n v="-5"/>
    <n v="66"/>
    <n v="61"/>
    <n v="19"/>
    <n v="23"/>
    <x v="33"/>
    <n v="22"/>
    <n v="-4"/>
    <n v="62"/>
    <n v="0"/>
    <n v="1"/>
    <n v="4"/>
  </r>
  <r>
    <x v="4368"/>
    <n v="-4"/>
    <n v="62"/>
    <n v="58"/>
    <n v="22"/>
    <n v="21"/>
    <x v="22"/>
    <n v="22"/>
    <n v="-5"/>
    <n v="63"/>
    <n v="0"/>
    <n v="1"/>
    <n v="5"/>
  </r>
  <r>
    <x v="4369"/>
    <n v="-5"/>
    <n v="63"/>
    <n v="58"/>
    <n v="22"/>
    <n v="22"/>
    <x v="22"/>
    <n v="18"/>
    <n v="-1"/>
    <n v="63"/>
    <n v="0"/>
    <n v="1"/>
    <n v="1"/>
  </r>
  <r>
    <x v="4370"/>
    <n v="-1"/>
    <n v="63"/>
    <n v="62"/>
    <n v="18"/>
    <n v="19"/>
    <x v="33"/>
    <n v="26"/>
    <n v="-8"/>
    <n v="62"/>
    <n v="0"/>
    <n v="1"/>
    <n v="8"/>
  </r>
  <r>
    <x v="4371"/>
    <n v="-8"/>
    <n v="62"/>
    <n v="54"/>
    <n v="26"/>
    <n v="22"/>
    <x v="7"/>
    <n v="20"/>
    <n v="-6"/>
    <n v="66"/>
    <n v="0"/>
    <n v="1"/>
    <n v="6"/>
  </r>
  <r>
    <x v="4372"/>
    <n v="-6"/>
    <n v="66"/>
    <n v="60"/>
    <n v="20"/>
    <n v="22"/>
    <x v="8"/>
    <n v="17"/>
    <n v="-1"/>
    <n v="64"/>
    <n v="0"/>
    <n v="1"/>
    <n v="1"/>
  </r>
  <r>
    <x v="4373"/>
    <n v="-1"/>
    <n v="64"/>
    <n v="63"/>
    <n v="17"/>
    <n v="18"/>
    <x v="22"/>
    <n v="19"/>
    <n v="-2"/>
    <n v="63"/>
    <n v="0"/>
    <n v="1"/>
    <n v="2"/>
  </r>
  <r>
    <x v="4374"/>
    <n v="-2"/>
    <n v="63"/>
    <n v="61"/>
    <n v="19"/>
    <n v="26"/>
    <x v="32"/>
    <n v="22"/>
    <n v="2"/>
    <n v="56"/>
    <n v="0.2"/>
    <n v="0"/>
    <n v="0"/>
  </r>
  <r>
    <x v="4375"/>
    <n v="2"/>
    <n v="56"/>
    <n v="58"/>
    <n v="22"/>
    <n v="20"/>
    <x v="28"/>
    <n v="21"/>
    <n v="1"/>
    <n v="58"/>
    <n v="0.1"/>
    <n v="0"/>
    <n v="0"/>
  </r>
  <r>
    <x v="4376"/>
    <n v="1"/>
    <n v="58"/>
    <n v="59"/>
    <n v="21"/>
    <n v="17"/>
    <x v="33"/>
    <n v="19"/>
    <n v="-1"/>
    <n v="62"/>
    <n v="0"/>
    <n v="1"/>
    <n v="1"/>
  </r>
  <r>
    <x v="4377"/>
    <n v="-1"/>
    <n v="62"/>
    <n v="61"/>
    <n v="19"/>
    <n v="19"/>
    <x v="33"/>
    <n v="20"/>
    <n v="-2"/>
    <n v="62"/>
    <n v="0"/>
    <n v="1"/>
    <n v="2"/>
  </r>
  <r>
    <x v="4378"/>
    <n v="-2"/>
    <n v="62"/>
    <n v="60"/>
    <n v="20"/>
    <n v="22"/>
    <x v="4"/>
    <n v="25"/>
    <n v="-5"/>
    <n v="60"/>
    <n v="0"/>
    <n v="1"/>
    <n v="5"/>
  </r>
  <r>
    <x v="4379"/>
    <n v="-5"/>
    <n v="60"/>
    <n v="55"/>
    <n v="25"/>
    <n v="21"/>
    <x v="8"/>
    <n v="25"/>
    <n v="-9"/>
    <n v="64"/>
    <n v="0"/>
    <n v="1"/>
    <n v="9"/>
  </r>
  <r>
    <x v="4380"/>
    <n v="-9"/>
    <n v="64"/>
    <n v="55"/>
    <n v="25"/>
    <n v="19"/>
    <x v="6"/>
    <n v="17"/>
    <n v="-7"/>
    <n v="70"/>
    <n v="0"/>
    <n v="1"/>
    <n v="7"/>
  </r>
  <r>
    <x v="4381"/>
    <n v="-7"/>
    <n v="70"/>
    <n v="63"/>
    <n v="17"/>
    <n v="20"/>
    <x v="21"/>
    <n v="18"/>
    <n v="-5"/>
    <n v="67"/>
    <n v="0"/>
    <n v="1"/>
    <n v="5"/>
  </r>
  <r>
    <x v="4382"/>
    <n v="-5"/>
    <n v="67"/>
    <n v="62"/>
    <n v="18"/>
    <n v="25"/>
    <x v="4"/>
    <n v="23"/>
    <n v="-3"/>
    <n v="60"/>
    <n v="0"/>
    <n v="1"/>
    <n v="3"/>
  </r>
  <r>
    <x v="4383"/>
    <n v="-3"/>
    <n v="60"/>
    <n v="57"/>
    <n v="23"/>
    <n v="25"/>
    <x v="28"/>
    <n v="18"/>
    <n v="4"/>
    <n v="58"/>
    <n v="0.4"/>
    <n v="0"/>
    <n v="0"/>
  </r>
  <r>
    <x v="4384"/>
    <n v="4"/>
    <n v="58"/>
    <n v="62"/>
    <n v="18"/>
    <n v="17"/>
    <x v="5"/>
    <n v="17"/>
    <n v="4"/>
    <n v="59"/>
    <n v="0.4"/>
    <n v="0"/>
    <n v="0"/>
  </r>
  <r>
    <x v="4385"/>
    <n v="4"/>
    <n v="59"/>
    <n v="63"/>
    <n v="17"/>
    <n v="18"/>
    <x v="28"/>
    <n v="14"/>
    <n v="8"/>
    <n v="58"/>
    <n v="0.8"/>
    <n v="0"/>
    <n v="0"/>
  </r>
  <r>
    <x v="4386"/>
    <n v="8"/>
    <n v="58"/>
    <n v="66"/>
    <n v="14"/>
    <n v="23"/>
    <x v="10"/>
    <n v="18"/>
    <n v="13"/>
    <n v="49"/>
    <n v="1.3"/>
    <n v="0"/>
    <n v="0"/>
  </r>
  <r>
    <x v="4387"/>
    <n v="13"/>
    <n v="49"/>
    <n v="62"/>
    <n v="18"/>
    <n v="18"/>
    <x v="10"/>
    <n v="30"/>
    <n v="1"/>
    <n v="49"/>
    <n v="0.1"/>
    <n v="0"/>
    <n v="0"/>
  </r>
  <r>
    <x v="4388"/>
    <n v="1"/>
    <n v="49"/>
    <n v="50"/>
    <n v="30"/>
    <n v="17"/>
    <x v="33"/>
    <n v="11"/>
    <n v="7"/>
    <n v="62"/>
    <n v="0.70000000000000007"/>
    <n v="0"/>
    <n v="0"/>
  </r>
  <r>
    <x v="4389"/>
    <n v="7"/>
    <n v="62"/>
    <n v="69"/>
    <n v="11"/>
    <n v="14"/>
    <x v="5"/>
    <n v="24"/>
    <n v="-3"/>
    <n v="59"/>
    <n v="0"/>
    <n v="1"/>
    <n v="3"/>
  </r>
  <r>
    <x v="4390"/>
    <n v="-3"/>
    <n v="59"/>
    <n v="56"/>
    <n v="24"/>
    <n v="18"/>
    <x v="26"/>
    <n v="22"/>
    <n v="-7"/>
    <n v="65"/>
    <n v="0"/>
    <n v="1"/>
    <n v="7"/>
  </r>
  <r>
    <x v="4391"/>
    <n v="-7"/>
    <n v="65"/>
    <n v="58"/>
    <n v="22"/>
    <n v="30"/>
    <x v="24"/>
    <n v="21"/>
    <n v="2"/>
    <n v="57"/>
    <n v="0.2"/>
    <n v="0"/>
    <n v="0"/>
  </r>
  <r>
    <x v="4392"/>
    <n v="2"/>
    <n v="57"/>
    <n v="59"/>
    <n v="21"/>
    <n v="11"/>
    <x v="21"/>
    <n v="24"/>
    <n v="-11"/>
    <n v="67"/>
    <n v="0"/>
    <n v="1"/>
    <n v="11"/>
  </r>
  <r>
    <x v="4393"/>
    <n v="-11"/>
    <n v="67"/>
    <n v="56"/>
    <n v="24"/>
    <n v="24"/>
    <x v="21"/>
    <n v="24"/>
    <n v="-11"/>
    <n v="67"/>
    <n v="0"/>
    <n v="1"/>
    <n v="11"/>
  </r>
  <r>
    <x v="4394"/>
    <n v="-11"/>
    <n v="67"/>
    <n v="56"/>
    <n v="24"/>
    <n v="22"/>
    <x v="30"/>
    <n v="27"/>
    <n v="-16"/>
    <n v="69"/>
    <n v="0"/>
    <n v="1"/>
    <n v="16"/>
  </r>
  <r>
    <x v="4395"/>
    <n v="-16"/>
    <n v="69"/>
    <n v="53"/>
    <n v="27"/>
    <n v="21"/>
    <x v="44"/>
    <n v="23"/>
    <n v="-18"/>
    <n v="75"/>
    <n v="0"/>
    <n v="1"/>
    <n v="18"/>
  </r>
  <r>
    <x v="4396"/>
    <n v="-18"/>
    <n v="75"/>
    <n v="57"/>
    <n v="23"/>
    <n v="24"/>
    <x v="39"/>
    <n v="13"/>
    <n v="-7"/>
    <n v="74"/>
    <n v="0"/>
    <n v="1"/>
    <n v="7"/>
  </r>
  <r>
    <x v="4397"/>
    <n v="-7"/>
    <n v="74"/>
    <n v="67"/>
    <n v="13"/>
    <n v="24"/>
    <x v="22"/>
    <n v="17"/>
    <n v="0"/>
    <n v="63"/>
    <n v="0"/>
    <n v="0"/>
    <n v="0"/>
  </r>
  <r>
    <x v="4398"/>
    <n v="0"/>
    <n v="63"/>
    <n v="63"/>
    <n v="17"/>
    <n v="27"/>
    <x v="12"/>
    <n v="21"/>
    <n v="6"/>
    <n v="53"/>
    <n v="0.60000000000000009"/>
    <n v="0"/>
    <n v="0"/>
  </r>
  <r>
    <x v="4399"/>
    <n v="6"/>
    <n v="53"/>
    <n v="59"/>
    <n v="21"/>
    <n v="23"/>
    <x v="9"/>
    <n v="17"/>
    <n v="12"/>
    <n v="51"/>
    <n v="1.2000000000000002"/>
    <n v="0"/>
    <n v="0"/>
  </r>
  <r>
    <x v="4400"/>
    <n v="12"/>
    <n v="51"/>
    <n v="63"/>
    <n v="17"/>
    <n v="13"/>
    <x v="27"/>
    <n v="25"/>
    <n v="0"/>
    <n v="55"/>
    <n v="0"/>
    <n v="0"/>
    <n v="0"/>
  </r>
  <r>
    <x v="4401"/>
    <n v="0"/>
    <n v="55"/>
    <n v="55"/>
    <n v="25"/>
    <n v="17"/>
    <x v="22"/>
    <n v="11"/>
    <n v="6"/>
    <n v="63"/>
    <n v="0.60000000000000009"/>
    <n v="0"/>
    <n v="0"/>
  </r>
  <r>
    <x v="4402"/>
    <n v="6"/>
    <n v="63"/>
    <n v="69"/>
    <n v="11"/>
    <n v="21"/>
    <x v="12"/>
    <n v="24"/>
    <n v="3"/>
    <n v="53"/>
    <n v="0.30000000000000004"/>
    <n v="0"/>
    <n v="0"/>
  </r>
  <r>
    <x v="4403"/>
    <n v="3"/>
    <n v="53"/>
    <n v="56"/>
    <n v="24"/>
    <n v="17"/>
    <x v="4"/>
    <n v="21"/>
    <n v="-1"/>
    <n v="60"/>
    <n v="0"/>
    <n v="1"/>
    <n v="1"/>
  </r>
  <r>
    <x v="4404"/>
    <n v="-1"/>
    <n v="60"/>
    <n v="59"/>
    <n v="21"/>
    <n v="25"/>
    <x v="32"/>
    <n v="20"/>
    <n v="4"/>
    <n v="56"/>
    <n v="0.4"/>
    <n v="0"/>
    <n v="0"/>
  </r>
  <r>
    <x v="4405"/>
    <n v="4"/>
    <n v="56"/>
    <n v="60"/>
    <n v="20"/>
    <n v="11"/>
    <x v="26"/>
    <n v="17"/>
    <n v="-2"/>
    <n v="65"/>
    <n v="0"/>
    <n v="1"/>
    <n v="2"/>
  </r>
  <r>
    <x v="4406"/>
    <n v="-2"/>
    <n v="65"/>
    <n v="63"/>
    <n v="17"/>
    <n v="24"/>
    <x v="28"/>
    <n v="29"/>
    <n v="-7"/>
    <n v="58"/>
    <n v="0"/>
    <n v="1"/>
    <n v="7"/>
  </r>
  <r>
    <x v="4407"/>
    <n v="-7"/>
    <n v="58"/>
    <n v="51"/>
    <n v="29"/>
    <n v="21"/>
    <x v="7"/>
    <n v="21"/>
    <n v="-7"/>
    <n v="66"/>
    <n v="0"/>
    <n v="1"/>
    <n v="7"/>
  </r>
  <r>
    <x v="4408"/>
    <n v="-7"/>
    <n v="66"/>
    <n v="59"/>
    <n v="21"/>
    <n v="20"/>
    <x v="21"/>
    <n v="20"/>
    <n v="-7"/>
    <n v="67"/>
    <n v="0"/>
    <n v="1"/>
    <n v="7"/>
  </r>
  <r>
    <x v="4409"/>
    <n v="-7"/>
    <n v="67"/>
    <n v="60"/>
    <n v="20"/>
    <n v="17"/>
    <x v="6"/>
    <n v="20"/>
    <n v="-10"/>
    <n v="70"/>
    <n v="0"/>
    <n v="1"/>
    <n v="10"/>
  </r>
  <r>
    <x v="4410"/>
    <n v="-10"/>
    <n v="70"/>
    <n v="60"/>
    <n v="20"/>
    <n v="29"/>
    <x v="23"/>
    <n v="23"/>
    <n v="-4"/>
    <n v="61"/>
    <n v="0"/>
    <n v="1"/>
    <n v="4"/>
  </r>
  <r>
    <x v="4411"/>
    <n v="-4"/>
    <n v="61"/>
    <n v="57"/>
    <n v="23"/>
    <n v="21"/>
    <x v="22"/>
    <n v="13"/>
    <n v="4"/>
    <n v="63"/>
    <n v="0.4"/>
    <n v="0"/>
    <n v="0"/>
  </r>
  <r>
    <x v="4412"/>
    <n v="4"/>
    <n v="63"/>
    <n v="67"/>
    <n v="13"/>
    <n v="20"/>
    <x v="32"/>
    <n v="22"/>
    <n v="2"/>
    <n v="56"/>
    <n v="0.2"/>
    <n v="0"/>
    <n v="0"/>
  </r>
  <r>
    <x v="4413"/>
    <n v="2"/>
    <n v="56"/>
    <n v="58"/>
    <n v="22"/>
    <n v="20"/>
    <x v="28"/>
    <n v="19"/>
    <n v="3"/>
    <n v="58"/>
    <n v="0.30000000000000004"/>
    <n v="0"/>
    <n v="0"/>
  </r>
  <r>
    <x v="4414"/>
    <n v="3"/>
    <n v="58"/>
    <n v="61"/>
    <n v="19"/>
    <n v="23"/>
    <x v="16"/>
    <n v="19"/>
    <n v="7"/>
    <n v="54"/>
    <n v="0.70000000000000007"/>
    <n v="0"/>
    <n v="0"/>
  </r>
  <r>
    <x v="4415"/>
    <n v="7"/>
    <n v="54"/>
    <n v="61"/>
    <n v="19"/>
    <n v="13"/>
    <x v="4"/>
    <n v="21"/>
    <n v="-1"/>
    <n v="60"/>
    <n v="0"/>
    <n v="1"/>
    <n v="1"/>
  </r>
  <r>
    <x v="4416"/>
    <n v="-1"/>
    <n v="60"/>
    <n v="59"/>
    <n v="21"/>
    <n v="22"/>
    <x v="5"/>
    <n v="15"/>
    <n v="6"/>
    <n v="59"/>
    <n v="0.60000000000000009"/>
    <n v="0"/>
    <n v="0"/>
  </r>
  <r>
    <x v="4417"/>
    <n v="6"/>
    <n v="59"/>
    <n v="65"/>
    <n v="15"/>
    <n v="19"/>
    <x v="27"/>
    <n v="15"/>
    <n v="10"/>
    <n v="55"/>
    <n v="1"/>
    <n v="0"/>
    <n v="0"/>
  </r>
  <r>
    <x v="4418"/>
    <n v="10"/>
    <n v="55"/>
    <n v="65"/>
    <n v="15"/>
    <n v="19"/>
    <x v="9"/>
    <n v="18"/>
    <n v="11"/>
    <n v="51"/>
    <n v="1.1000000000000001"/>
    <n v="0"/>
    <n v="0"/>
  </r>
  <r>
    <x v="4419"/>
    <n v="11"/>
    <n v="51"/>
    <n v="62"/>
    <n v="18"/>
    <n v="21"/>
    <x v="15"/>
    <n v="14"/>
    <n v="18"/>
    <n v="48"/>
    <n v="1.8"/>
    <n v="0"/>
    <n v="0"/>
  </r>
  <r>
    <x v="4420"/>
    <n v="18"/>
    <n v="48"/>
    <n v="66"/>
    <n v="14"/>
    <n v="15"/>
    <x v="14"/>
    <n v="17"/>
    <n v="16"/>
    <n v="47"/>
    <n v="1.6"/>
    <n v="0"/>
    <n v="0"/>
  </r>
  <r>
    <x v="4421"/>
    <n v="16"/>
    <n v="47"/>
    <n v="63"/>
    <n v="17"/>
    <n v="15"/>
    <x v="10"/>
    <n v="24"/>
    <n v="7"/>
    <n v="49"/>
    <n v="0.70000000000000007"/>
    <n v="0"/>
    <n v="0"/>
  </r>
  <r>
    <x v="4422"/>
    <n v="7"/>
    <n v="49"/>
    <n v="56"/>
    <n v="24"/>
    <n v="18"/>
    <x v="27"/>
    <n v="15"/>
    <n v="10"/>
    <n v="55"/>
    <n v="1"/>
    <n v="0"/>
    <n v="0"/>
  </r>
  <r>
    <x v="4423"/>
    <n v="10"/>
    <n v="55"/>
    <n v="65"/>
    <n v="15"/>
    <n v="14"/>
    <x v="32"/>
    <n v="18"/>
    <n v="6"/>
    <n v="56"/>
    <n v="0.60000000000000009"/>
    <n v="0"/>
    <n v="0"/>
  </r>
  <r>
    <x v="4424"/>
    <n v="6"/>
    <n v="56"/>
    <n v="62"/>
    <n v="18"/>
    <n v="17"/>
    <x v="24"/>
    <n v="15"/>
    <n v="8"/>
    <n v="57"/>
    <n v="0.8"/>
    <n v="0"/>
    <n v="0"/>
  </r>
  <r>
    <x v="4425"/>
    <n v="8"/>
    <n v="57"/>
    <n v="65"/>
    <n v="15"/>
    <n v="24"/>
    <x v="15"/>
    <n v="13"/>
    <n v="19"/>
    <n v="48"/>
    <n v="1.9000000000000001"/>
    <n v="0"/>
    <n v="0"/>
  </r>
  <r>
    <x v="4426"/>
    <n v="19"/>
    <n v="48"/>
    <n v="67"/>
    <n v="13"/>
    <n v="15"/>
    <x v="38"/>
    <n v="18"/>
    <n v="16"/>
    <n v="46"/>
    <n v="1.6"/>
    <n v="0"/>
    <n v="0"/>
  </r>
  <r>
    <x v="4427"/>
    <n v="16"/>
    <n v="46"/>
    <n v="62"/>
    <n v="18"/>
    <n v="18"/>
    <x v="38"/>
    <n v="17"/>
    <n v="17"/>
    <n v="46"/>
    <n v="1.7000000000000002"/>
    <n v="0"/>
    <n v="0"/>
  </r>
  <r>
    <x v="4428"/>
    <n v="17"/>
    <n v="46"/>
    <n v="63"/>
    <n v="17"/>
    <n v="15"/>
    <x v="15"/>
    <n v="15"/>
    <n v="17"/>
    <n v="48"/>
    <n v="1.7000000000000002"/>
    <n v="0"/>
    <n v="0"/>
  </r>
  <r>
    <x v="4429"/>
    <n v="17"/>
    <n v="48"/>
    <n v="65"/>
    <n v="15"/>
    <n v="13"/>
    <x v="13"/>
    <n v="24"/>
    <n v="6"/>
    <n v="50"/>
    <n v="0.60000000000000009"/>
    <n v="0"/>
    <n v="0"/>
  </r>
  <r>
    <x v="4430"/>
    <n v="6"/>
    <n v="50"/>
    <n v="56"/>
    <n v="24"/>
    <n v="18"/>
    <x v="32"/>
    <n v="17"/>
    <n v="7"/>
    <n v="56"/>
    <n v="0.70000000000000007"/>
    <n v="0"/>
    <n v="0"/>
  </r>
  <r>
    <x v="4431"/>
    <n v="7"/>
    <n v="56"/>
    <n v="63"/>
    <n v="17"/>
    <n v="17"/>
    <x v="32"/>
    <n v="17"/>
    <n v="7"/>
    <n v="56"/>
    <n v="0.70000000000000007"/>
    <n v="0"/>
    <n v="0"/>
  </r>
  <r>
    <x v="4432"/>
    <n v="7"/>
    <n v="56"/>
    <n v="63"/>
    <n v="17"/>
    <n v="15"/>
    <x v="28"/>
    <n v="22"/>
    <n v="0"/>
    <n v="58"/>
    <n v="0"/>
    <n v="0"/>
    <n v="0"/>
  </r>
  <r>
    <x v="4433"/>
    <n v="0"/>
    <n v="58"/>
    <n v="58"/>
    <n v="22"/>
    <n v="24"/>
    <x v="32"/>
    <n v="15"/>
    <n v="9"/>
    <n v="56"/>
    <n v="0.9"/>
    <n v="0"/>
    <n v="0"/>
  </r>
  <r>
    <x v="4434"/>
    <n v="9"/>
    <n v="56"/>
    <n v="65"/>
    <n v="15"/>
    <n v="17"/>
    <x v="16"/>
    <n v="16"/>
    <n v="10"/>
    <n v="54"/>
    <n v="1"/>
    <n v="0"/>
    <n v="0"/>
  </r>
  <r>
    <x v="4435"/>
    <n v="10"/>
    <n v="54"/>
    <n v="64"/>
    <n v="16"/>
    <n v="17"/>
    <x v="12"/>
    <n v="12"/>
    <n v="15"/>
    <n v="53"/>
    <n v="1.5"/>
    <n v="0"/>
    <n v="0"/>
  </r>
  <r>
    <x v="4436"/>
    <n v="15"/>
    <n v="53"/>
    <n v="68"/>
    <n v="12"/>
    <n v="22"/>
    <x v="51"/>
    <n v="20"/>
    <n v="17"/>
    <n v="43"/>
    <n v="1.7000000000000002"/>
    <n v="0"/>
    <n v="0"/>
  </r>
  <r>
    <x v="4437"/>
    <n v="17"/>
    <n v="43"/>
    <n v="60"/>
    <n v="20"/>
    <n v="15"/>
    <x v="15"/>
    <n v="27"/>
    <n v="5"/>
    <n v="48"/>
    <n v="0.5"/>
    <n v="0"/>
    <n v="0"/>
  </r>
  <r>
    <x v="4438"/>
    <n v="5"/>
    <n v="48"/>
    <n v="53"/>
    <n v="27"/>
    <n v="16"/>
    <x v="5"/>
    <n v="16"/>
    <n v="5"/>
    <n v="59"/>
    <n v="0.5"/>
    <n v="0"/>
    <n v="0"/>
  </r>
  <r>
    <x v="4439"/>
    <n v="5"/>
    <n v="59"/>
    <n v="64"/>
    <n v="16"/>
    <n v="12"/>
    <x v="22"/>
    <n v="27"/>
    <n v="-10"/>
    <n v="63"/>
    <n v="0"/>
    <n v="1"/>
    <n v="10"/>
  </r>
  <r>
    <x v="4440"/>
    <n v="-10"/>
    <n v="63"/>
    <n v="53"/>
    <n v="27"/>
    <n v="20"/>
    <x v="6"/>
    <n v="21"/>
    <n v="-11"/>
    <n v="70"/>
    <n v="0"/>
    <n v="1"/>
    <n v="11"/>
  </r>
  <r>
    <x v="4441"/>
    <n v="-11"/>
    <n v="70"/>
    <n v="59"/>
    <n v="21"/>
    <n v="27"/>
    <x v="8"/>
    <n v="21"/>
    <n v="-5"/>
    <n v="64"/>
    <n v="0"/>
    <n v="1"/>
    <n v="5"/>
  </r>
  <r>
    <x v="4442"/>
    <n v="-5"/>
    <n v="64"/>
    <n v="59"/>
    <n v="21"/>
    <n v="16"/>
    <x v="30"/>
    <n v="23"/>
    <n v="-12"/>
    <n v="69"/>
    <n v="0"/>
    <n v="1"/>
    <n v="12"/>
  </r>
  <r>
    <x v="4443"/>
    <n v="-12"/>
    <n v="69"/>
    <n v="57"/>
    <n v="23"/>
    <n v="27"/>
    <x v="26"/>
    <n v="22"/>
    <n v="-7"/>
    <n v="65"/>
    <n v="0"/>
    <n v="1"/>
    <n v="7"/>
  </r>
  <r>
    <x v="4444"/>
    <n v="-7"/>
    <n v="65"/>
    <n v="58"/>
    <n v="22"/>
    <n v="21"/>
    <x v="7"/>
    <n v="11"/>
    <n v="3"/>
    <n v="66"/>
    <n v="0.30000000000000004"/>
    <n v="0"/>
    <n v="0"/>
  </r>
  <r>
    <x v="4445"/>
    <n v="3"/>
    <n v="66"/>
    <n v="69"/>
    <n v="11"/>
    <n v="21"/>
    <x v="32"/>
    <n v="27"/>
    <n v="-3"/>
    <n v="56"/>
    <n v="0"/>
    <n v="1"/>
    <n v="3"/>
  </r>
  <r>
    <x v="4446"/>
    <n v="-3"/>
    <n v="56"/>
    <n v="53"/>
    <n v="27"/>
    <n v="23"/>
    <x v="4"/>
    <n v="15"/>
    <n v="5"/>
    <n v="60"/>
    <n v="0.5"/>
    <n v="0"/>
    <n v="0"/>
  </r>
  <r>
    <x v="4447"/>
    <n v="5"/>
    <n v="60"/>
    <n v="65"/>
    <n v="15"/>
    <n v="22"/>
    <x v="12"/>
    <n v="28"/>
    <n v="-1"/>
    <n v="53"/>
    <n v="0"/>
    <n v="1"/>
    <n v="1"/>
  </r>
  <r>
    <x v="4448"/>
    <n v="-1"/>
    <n v="53"/>
    <n v="52"/>
    <n v="28"/>
    <n v="11"/>
    <x v="6"/>
    <n v="14"/>
    <n v="-4"/>
    <n v="70"/>
    <n v="0"/>
    <n v="1"/>
    <n v="4"/>
  </r>
  <r>
    <x v="4449"/>
    <n v="-4"/>
    <n v="70"/>
    <n v="66"/>
    <n v="14"/>
    <n v="27"/>
    <x v="24"/>
    <n v="19"/>
    <n v="4"/>
    <n v="57"/>
    <n v="0.4"/>
    <n v="0"/>
    <n v="0"/>
  </r>
  <r>
    <x v="4450"/>
    <n v="4"/>
    <n v="57"/>
    <n v="61"/>
    <n v="19"/>
    <n v="15"/>
    <x v="23"/>
    <n v="18"/>
    <n v="1"/>
    <n v="61"/>
    <n v="0.1"/>
    <n v="0"/>
    <n v="0"/>
  </r>
  <r>
    <x v="4451"/>
    <n v="1"/>
    <n v="61"/>
    <n v="62"/>
    <n v="18"/>
    <n v="28"/>
    <x v="9"/>
    <n v="17"/>
    <n v="12"/>
    <n v="51"/>
    <n v="1.2000000000000002"/>
    <n v="0"/>
    <n v="0"/>
  </r>
  <r>
    <x v="4452"/>
    <n v="12"/>
    <n v="51"/>
    <n v="63"/>
    <n v="17"/>
    <n v="14"/>
    <x v="16"/>
    <n v="16"/>
    <n v="10"/>
    <n v="54"/>
    <n v="1"/>
    <n v="0"/>
    <n v="0"/>
  </r>
  <r>
    <x v="4453"/>
    <n v="10"/>
    <n v="54"/>
    <n v="64"/>
    <n v="16"/>
    <n v="19"/>
    <x v="9"/>
    <n v="19"/>
    <n v="10"/>
    <n v="51"/>
    <n v="1"/>
    <n v="0"/>
    <n v="0"/>
  </r>
  <r>
    <x v="4454"/>
    <n v="10"/>
    <n v="51"/>
    <n v="61"/>
    <n v="19"/>
    <n v="18"/>
    <x v="25"/>
    <n v="23"/>
    <n v="5"/>
    <n v="52"/>
    <n v="0.5"/>
    <n v="0"/>
    <n v="0"/>
  </r>
  <r>
    <x v="4455"/>
    <n v="5"/>
    <n v="52"/>
    <n v="57"/>
    <n v="23"/>
    <n v="17"/>
    <x v="28"/>
    <n v="18"/>
    <n v="4"/>
    <n v="58"/>
    <n v="0.4"/>
    <n v="0"/>
    <n v="0"/>
  </r>
  <r>
    <x v="4456"/>
    <n v="4"/>
    <n v="58"/>
    <n v="62"/>
    <n v="18"/>
    <n v="16"/>
    <x v="4"/>
    <n v="16"/>
    <n v="4"/>
    <n v="60"/>
    <n v="0.4"/>
    <n v="0"/>
    <n v="0"/>
  </r>
  <r>
    <x v="4457"/>
    <n v="4"/>
    <n v="60"/>
    <n v="64"/>
    <n v="16"/>
    <n v="19"/>
    <x v="24"/>
    <n v="24"/>
    <n v="-1"/>
    <n v="57"/>
    <n v="0"/>
    <n v="1"/>
    <n v="1"/>
  </r>
  <r>
    <x v="4458"/>
    <n v="-1"/>
    <n v="57"/>
    <n v="56"/>
    <n v="24"/>
    <n v="23"/>
    <x v="28"/>
    <n v="23"/>
    <n v="-1"/>
    <n v="58"/>
    <n v="0"/>
    <n v="1"/>
    <n v="1"/>
  </r>
  <r>
    <x v="4459"/>
    <n v="-1"/>
    <n v="58"/>
    <n v="57"/>
    <n v="23"/>
    <n v="18"/>
    <x v="22"/>
    <n v="16"/>
    <n v="1"/>
    <n v="63"/>
    <n v="0.1"/>
    <n v="0"/>
    <n v="0"/>
  </r>
  <r>
    <x v="4460"/>
    <n v="1"/>
    <n v="63"/>
    <n v="64"/>
    <n v="16"/>
    <n v="16"/>
    <x v="22"/>
    <n v="20"/>
    <n v="-3"/>
    <n v="63"/>
    <n v="0"/>
    <n v="1"/>
    <n v="3"/>
  </r>
  <r>
    <x v="4461"/>
    <n v="-3"/>
    <n v="63"/>
    <n v="60"/>
    <n v="20"/>
    <n v="24"/>
    <x v="5"/>
    <n v="14"/>
    <n v="7"/>
    <n v="59"/>
    <n v="0.70000000000000007"/>
    <n v="0"/>
    <n v="0"/>
  </r>
  <r>
    <x v="4462"/>
    <n v="7"/>
    <n v="59"/>
    <n v="66"/>
    <n v="14"/>
    <n v="23"/>
    <x v="13"/>
    <n v="17"/>
    <n v="13"/>
    <n v="50"/>
    <n v="1.3"/>
    <n v="0"/>
    <n v="0"/>
  </r>
  <r>
    <x v="4463"/>
    <n v="13"/>
    <n v="50"/>
    <n v="63"/>
    <n v="17"/>
    <n v="16"/>
    <x v="9"/>
    <n v="21"/>
    <n v="8"/>
    <n v="51"/>
    <n v="0.8"/>
    <n v="0"/>
    <n v="0"/>
  </r>
  <r>
    <x v="4464"/>
    <n v="8"/>
    <n v="51"/>
    <n v="59"/>
    <n v="21"/>
    <n v="20"/>
    <x v="25"/>
    <n v="29"/>
    <n v="-1"/>
    <n v="52"/>
    <n v="0"/>
    <n v="1"/>
    <n v="1"/>
  </r>
  <r>
    <x v="4465"/>
    <n v="-1"/>
    <n v="52"/>
    <n v="51"/>
    <n v="29"/>
    <n v="14"/>
    <x v="21"/>
    <n v="17"/>
    <n v="-4"/>
    <n v="67"/>
    <n v="0"/>
    <n v="1"/>
    <n v="4"/>
  </r>
  <r>
    <x v="4466"/>
    <n v="-4"/>
    <n v="67"/>
    <n v="63"/>
    <n v="17"/>
    <n v="17"/>
    <x v="21"/>
    <n v="20"/>
    <n v="-7"/>
    <n v="67"/>
    <n v="0"/>
    <n v="1"/>
    <n v="7"/>
  </r>
  <r>
    <x v="4467"/>
    <n v="-7"/>
    <n v="67"/>
    <n v="60"/>
    <n v="20"/>
    <n v="21"/>
    <x v="7"/>
    <n v="13"/>
    <n v="1"/>
    <n v="66"/>
    <n v="0.1"/>
    <n v="0"/>
    <n v="0"/>
  </r>
  <r>
    <x v="4468"/>
    <n v="1"/>
    <n v="66"/>
    <n v="67"/>
    <n v="13"/>
    <n v="29"/>
    <x v="13"/>
    <n v="11"/>
    <n v="19"/>
    <n v="50"/>
    <n v="1.9000000000000001"/>
    <n v="0"/>
    <n v="0"/>
  </r>
  <r>
    <x v="4469"/>
    <n v="19"/>
    <n v="50"/>
    <n v="69"/>
    <n v="11"/>
    <n v="17"/>
    <x v="45"/>
    <n v="17"/>
    <n v="19"/>
    <n v="44"/>
    <n v="1.9000000000000001"/>
    <n v="0"/>
    <n v="0"/>
  </r>
  <r>
    <x v="4470"/>
    <n v="19"/>
    <n v="44"/>
    <n v="63"/>
    <n v="17"/>
    <n v="20"/>
    <x v="52"/>
    <n v="20"/>
    <n v="19"/>
    <n v="41"/>
    <n v="1.9000000000000001"/>
    <n v="0"/>
    <n v="0"/>
  </r>
  <r>
    <x v="4471"/>
    <n v="19"/>
    <n v="41"/>
    <n v="60"/>
    <n v="20"/>
    <n v="13"/>
    <x v="15"/>
    <n v="17"/>
    <n v="15"/>
    <n v="48"/>
    <n v="1.5"/>
    <n v="0"/>
    <n v="0"/>
  </r>
  <r>
    <x v="4472"/>
    <n v="15"/>
    <n v="48"/>
    <n v="63"/>
    <n v="17"/>
    <n v="11"/>
    <x v="16"/>
    <n v="16"/>
    <n v="10"/>
    <n v="54"/>
    <n v="1"/>
    <n v="0"/>
    <n v="0"/>
  </r>
  <r>
    <x v="4473"/>
    <n v="10"/>
    <n v="54"/>
    <n v="64"/>
    <n v="16"/>
    <n v="17"/>
    <x v="12"/>
    <n v="23"/>
    <n v="4"/>
    <n v="53"/>
    <n v="0.4"/>
    <n v="0"/>
    <n v="0"/>
  </r>
  <r>
    <x v="4474"/>
    <n v="4"/>
    <n v="53"/>
    <n v="57"/>
    <n v="23"/>
    <n v="20"/>
    <x v="32"/>
    <n v="14"/>
    <n v="10"/>
    <n v="56"/>
    <n v="1"/>
    <n v="0"/>
    <n v="0"/>
  </r>
  <r>
    <x v="4475"/>
    <n v="10"/>
    <n v="56"/>
    <n v="66"/>
    <n v="14"/>
    <n v="17"/>
    <x v="12"/>
    <n v="26"/>
    <n v="1"/>
    <n v="53"/>
    <n v="0.1"/>
    <n v="0"/>
    <n v="0"/>
  </r>
  <r>
    <x v="4476"/>
    <n v="1"/>
    <n v="53"/>
    <n v="54"/>
    <n v="26"/>
    <n v="16"/>
    <x v="22"/>
    <n v="15"/>
    <n v="2"/>
    <n v="63"/>
    <n v="0.2"/>
    <n v="0"/>
    <n v="0"/>
  </r>
  <r>
    <x v="4477"/>
    <n v="2"/>
    <n v="63"/>
    <n v="65"/>
    <n v="15"/>
    <n v="23"/>
    <x v="27"/>
    <n v="24"/>
    <n v="1"/>
    <n v="55"/>
    <n v="0.1"/>
    <n v="0"/>
    <n v="0"/>
  </r>
  <r>
    <x v="4478"/>
    <n v="1"/>
    <n v="55"/>
    <n v="56"/>
    <n v="24"/>
    <n v="14"/>
    <x v="26"/>
    <n v="21"/>
    <n v="-6"/>
    <n v="65"/>
    <n v="0"/>
    <n v="1"/>
    <n v="6"/>
  </r>
  <r>
    <x v="4479"/>
    <n v="-6"/>
    <n v="65"/>
    <n v="59"/>
    <n v="21"/>
    <n v="26"/>
    <x v="4"/>
    <n v="17"/>
    <n v="3"/>
    <n v="60"/>
    <n v="0.30000000000000004"/>
    <n v="0"/>
    <n v="0"/>
  </r>
  <r>
    <x v="4480"/>
    <n v="3"/>
    <n v="60"/>
    <n v="63"/>
    <n v="17"/>
    <n v="15"/>
    <x v="33"/>
    <n v="20"/>
    <n v="-2"/>
    <n v="62"/>
    <n v="0"/>
    <n v="1"/>
    <n v="2"/>
  </r>
  <r>
    <x v="4481"/>
    <n v="-2"/>
    <n v="62"/>
    <n v="60"/>
    <n v="20"/>
    <n v="24"/>
    <x v="28"/>
    <n v="27"/>
    <n v="-5"/>
    <n v="58"/>
    <n v="0"/>
    <n v="1"/>
    <n v="5"/>
  </r>
  <r>
    <x v="4482"/>
    <n v="-5"/>
    <n v="58"/>
    <n v="53"/>
    <n v="27"/>
    <n v="21"/>
    <x v="8"/>
    <n v="22"/>
    <n v="-6"/>
    <n v="64"/>
    <n v="0"/>
    <n v="1"/>
    <n v="6"/>
  </r>
  <r>
    <x v="4483"/>
    <n v="-6"/>
    <n v="64"/>
    <n v="58"/>
    <n v="22"/>
    <n v="17"/>
    <x v="30"/>
    <n v="19"/>
    <n v="-8"/>
    <n v="69"/>
    <n v="0"/>
    <n v="1"/>
    <n v="8"/>
  </r>
  <r>
    <x v="4484"/>
    <n v="-8"/>
    <n v="69"/>
    <n v="61"/>
    <n v="19"/>
    <n v="20"/>
    <x v="17"/>
    <n v="19"/>
    <n v="-7"/>
    <n v="68"/>
    <n v="0"/>
    <n v="1"/>
    <n v="7"/>
  </r>
  <r>
    <x v="4485"/>
    <n v="-7"/>
    <n v="68"/>
    <n v="61"/>
    <n v="19"/>
    <n v="27"/>
    <x v="4"/>
    <n v="22"/>
    <n v="-2"/>
    <n v="60"/>
    <n v="0"/>
    <n v="1"/>
    <n v="2"/>
  </r>
  <r>
    <x v="4486"/>
    <n v="-2"/>
    <n v="60"/>
    <n v="58"/>
    <n v="22"/>
    <n v="22"/>
    <x v="4"/>
    <n v="22"/>
    <n v="-2"/>
    <n v="60"/>
    <n v="0"/>
    <n v="1"/>
    <n v="2"/>
  </r>
  <r>
    <x v="4487"/>
    <n v="-2"/>
    <n v="60"/>
    <n v="58"/>
    <n v="22"/>
    <n v="19"/>
    <x v="22"/>
    <n v="19"/>
    <n v="-2"/>
    <n v="63"/>
    <n v="0"/>
    <n v="1"/>
    <n v="2"/>
  </r>
  <r>
    <x v="4488"/>
    <n v="-2"/>
    <n v="63"/>
    <n v="61"/>
    <n v="19"/>
    <n v="19"/>
    <x v="22"/>
    <n v="18"/>
    <n v="-1"/>
    <n v="63"/>
    <n v="0"/>
    <n v="1"/>
    <n v="1"/>
  </r>
  <r>
    <x v="4489"/>
    <n v="-1"/>
    <n v="63"/>
    <n v="62"/>
    <n v="18"/>
    <n v="22"/>
    <x v="5"/>
    <n v="25"/>
    <n v="-4"/>
    <n v="59"/>
    <n v="0"/>
    <n v="1"/>
    <n v="4"/>
  </r>
  <r>
    <x v="4490"/>
    <n v="-4"/>
    <n v="59"/>
    <n v="55"/>
    <n v="25"/>
    <n v="22"/>
    <x v="33"/>
    <n v="22"/>
    <n v="-4"/>
    <n v="62"/>
    <n v="0"/>
    <n v="1"/>
    <n v="4"/>
  </r>
  <r>
    <x v="4491"/>
    <n v="-4"/>
    <n v="62"/>
    <n v="58"/>
    <n v="22"/>
    <n v="19"/>
    <x v="26"/>
    <n v="23"/>
    <n v="-8"/>
    <n v="65"/>
    <n v="0"/>
    <n v="1"/>
    <n v="8"/>
  </r>
  <r>
    <x v="4492"/>
    <n v="-8"/>
    <n v="65"/>
    <n v="57"/>
    <n v="23"/>
    <n v="18"/>
    <x v="6"/>
    <n v="19"/>
    <n v="-9"/>
    <n v="70"/>
    <n v="0"/>
    <n v="1"/>
    <n v="9"/>
  </r>
  <r>
    <x v="4493"/>
    <n v="-9"/>
    <n v="70"/>
    <n v="61"/>
    <n v="19"/>
    <n v="25"/>
    <x v="8"/>
    <n v="23"/>
    <n v="-7"/>
    <n v="64"/>
    <n v="0"/>
    <n v="1"/>
    <n v="7"/>
  </r>
  <r>
    <x v="4494"/>
    <n v="-7"/>
    <n v="64"/>
    <n v="57"/>
    <n v="23"/>
    <n v="22"/>
    <x v="26"/>
    <n v="21"/>
    <n v="-6"/>
    <n v="65"/>
    <n v="0"/>
    <n v="1"/>
    <n v="6"/>
  </r>
  <r>
    <x v="4495"/>
    <n v="-6"/>
    <n v="65"/>
    <n v="59"/>
    <n v="21"/>
    <n v="23"/>
    <x v="22"/>
    <n v="17"/>
    <n v="0"/>
    <n v="63"/>
    <n v="0"/>
    <n v="0"/>
    <n v="0"/>
  </r>
  <r>
    <x v="4496"/>
    <n v="0"/>
    <n v="63"/>
    <n v="63"/>
    <n v="17"/>
    <n v="19"/>
    <x v="23"/>
    <n v="17"/>
    <n v="2"/>
    <n v="61"/>
    <n v="0.2"/>
    <n v="0"/>
    <n v="0"/>
  </r>
  <r>
    <x v="4497"/>
    <n v="2"/>
    <n v="61"/>
    <n v="63"/>
    <n v="17"/>
    <n v="23"/>
    <x v="27"/>
    <n v="17"/>
    <n v="8"/>
    <n v="55"/>
    <n v="0.8"/>
    <n v="0"/>
    <n v="0"/>
  </r>
  <r>
    <x v="4498"/>
    <n v="8"/>
    <n v="55"/>
    <n v="63"/>
    <n v="17"/>
    <n v="21"/>
    <x v="9"/>
    <n v="15"/>
    <n v="14"/>
    <n v="51"/>
    <n v="1.4000000000000001"/>
    <n v="0"/>
    <n v="0"/>
  </r>
  <r>
    <x v="4499"/>
    <n v="14"/>
    <n v="51"/>
    <n v="65"/>
    <n v="15"/>
    <n v="17"/>
    <x v="10"/>
    <n v="13"/>
    <n v="18"/>
    <n v="49"/>
    <n v="1.8"/>
    <n v="0"/>
    <n v="0"/>
  </r>
  <r>
    <x v="4500"/>
    <n v="18"/>
    <n v="49"/>
    <n v="67"/>
    <n v="13"/>
    <n v="17"/>
    <x v="11"/>
    <n v="21"/>
    <n v="14"/>
    <n v="45"/>
    <n v="1.4000000000000001"/>
    <n v="0"/>
    <n v="0"/>
  </r>
  <r>
    <x v="4501"/>
    <n v="14"/>
    <n v="45"/>
    <n v="59"/>
    <n v="21"/>
    <n v="17"/>
    <x v="10"/>
    <n v="17"/>
    <n v="14"/>
    <n v="49"/>
    <n v="1.4000000000000001"/>
    <n v="0"/>
    <n v="0"/>
  </r>
  <r>
    <x v="4502"/>
    <n v="14"/>
    <n v="49"/>
    <n v="63"/>
    <n v="17"/>
    <n v="15"/>
    <x v="9"/>
    <n v="25"/>
    <n v="4"/>
    <n v="51"/>
    <n v="0.4"/>
    <n v="0"/>
    <n v="0"/>
  </r>
  <r>
    <x v="4503"/>
    <n v="4"/>
    <n v="51"/>
    <n v="55"/>
    <n v="25"/>
    <n v="13"/>
    <x v="22"/>
    <n v="14"/>
    <n v="3"/>
    <n v="63"/>
    <n v="0.30000000000000004"/>
    <n v="0"/>
    <n v="0"/>
  </r>
  <r>
    <x v="4504"/>
    <n v="3"/>
    <n v="63"/>
    <n v="66"/>
    <n v="14"/>
    <n v="21"/>
    <x v="32"/>
    <n v="19"/>
    <n v="5"/>
    <n v="56"/>
    <n v="0.5"/>
    <n v="0"/>
    <n v="0"/>
  </r>
  <r>
    <x v="4505"/>
    <n v="5"/>
    <n v="56"/>
    <n v="61"/>
    <n v="19"/>
    <n v="17"/>
    <x v="28"/>
    <n v="26"/>
    <n v="-4"/>
    <n v="58"/>
    <n v="0"/>
    <n v="1"/>
    <n v="4"/>
  </r>
  <r>
    <x v="4506"/>
    <n v="-4"/>
    <n v="58"/>
    <n v="54"/>
    <n v="26"/>
    <n v="25"/>
    <x v="5"/>
    <n v="29"/>
    <n v="-8"/>
    <n v="59"/>
    <n v="0"/>
    <n v="1"/>
    <n v="8"/>
  </r>
  <r>
    <x v="4507"/>
    <n v="-8"/>
    <n v="59"/>
    <n v="51"/>
    <n v="29"/>
    <n v="14"/>
    <x v="39"/>
    <n v="18"/>
    <n v="-12"/>
    <n v="74"/>
    <n v="0"/>
    <n v="1"/>
    <n v="12"/>
  </r>
  <r>
    <x v="4508"/>
    <n v="-12"/>
    <n v="74"/>
    <n v="62"/>
    <n v="18"/>
    <n v="19"/>
    <x v="31"/>
    <n v="23"/>
    <n v="-16"/>
    <n v="73"/>
    <n v="0"/>
    <n v="1"/>
    <n v="16"/>
  </r>
  <r>
    <x v="4509"/>
    <n v="-16"/>
    <n v="73"/>
    <n v="57"/>
    <n v="23"/>
    <n v="26"/>
    <x v="6"/>
    <n v="18"/>
    <n v="-8"/>
    <n v="70"/>
    <n v="0"/>
    <n v="1"/>
    <n v="8"/>
  </r>
  <r>
    <x v="4510"/>
    <n v="-8"/>
    <n v="70"/>
    <n v="62"/>
    <n v="18"/>
    <n v="29"/>
    <x v="5"/>
    <n v="23"/>
    <n v="-2"/>
    <n v="59"/>
    <n v="0"/>
    <n v="1"/>
    <n v="2"/>
  </r>
  <r>
    <x v="4511"/>
    <n v="-2"/>
    <n v="59"/>
    <n v="57"/>
    <n v="23"/>
    <n v="18"/>
    <x v="8"/>
    <n v="22"/>
    <n v="-6"/>
    <n v="64"/>
    <n v="0"/>
    <n v="1"/>
    <n v="6"/>
  </r>
  <r>
    <x v="4512"/>
    <n v="-6"/>
    <n v="64"/>
    <n v="58"/>
    <n v="22"/>
    <n v="23"/>
    <x v="22"/>
    <n v="16"/>
    <n v="1"/>
    <n v="63"/>
    <n v="0.1"/>
    <n v="0"/>
    <n v="0"/>
  </r>
  <r>
    <x v="4513"/>
    <n v="1"/>
    <n v="63"/>
    <n v="64"/>
    <n v="16"/>
    <n v="18"/>
    <x v="23"/>
    <n v="19"/>
    <n v="0"/>
    <n v="61"/>
    <n v="0"/>
    <n v="0"/>
    <n v="0"/>
  </r>
  <r>
    <x v="4514"/>
    <n v="0"/>
    <n v="61"/>
    <n v="61"/>
    <n v="19"/>
    <n v="23"/>
    <x v="24"/>
    <n v="16"/>
    <n v="7"/>
    <n v="57"/>
    <n v="0.70000000000000007"/>
    <n v="0"/>
    <n v="0"/>
  </r>
  <r>
    <x v="4515"/>
    <n v="7"/>
    <n v="57"/>
    <n v="64"/>
    <n v="16"/>
    <n v="22"/>
    <x v="9"/>
    <n v="17"/>
    <n v="12"/>
    <n v="51"/>
    <n v="1.2000000000000002"/>
    <n v="0"/>
    <n v="0"/>
  </r>
  <r>
    <x v="4516"/>
    <n v="12"/>
    <n v="51"/>
    <n v="63"/>
    <n v="17"/>
    <n v="16"/>
    <x v="25"/>
    <n v="19"/>
    <n v="9"/>
    <n v="52"/>
    <n v="0.9"/>
    <n v="0"/>
    <n v="0"/>
  </r>
  <r>
    <x v="4517"/>
    <n v="9"/>
    <n v="52"/>
    <n v="61"/>
    <n v="19"/>
    <n v="19"/>
    <x v="25"/>
    <n v="26"/>
    <n v="2"/>
    <n v="52"/>
    <n v="0.2"/>
    <n v="0"/>
    <n v="0"/>
  </r>
  <r>
    <x v="4518"/>
    <n v="2"/>
    <n v="52"/>
    <n v="54"/>
    <n v="26"/>
    <n v="16"/>
    <x v="33"/>
    <n v="22"/>
    <n v="-4"/>
    <n v="62"/>
    <n v="0"/>
    <n v="1"/>
    <n v="4"/>
  </r>
  <r>
    <x v="4519"/>
    <n v="-4"/>
    <n v="62"/>
    <n v="58"/>
    <n v="22"/>
    <n v="17"/>
    <x v="21"/>
    <n v="14"/>
    <n v="-1"/>
    <n v="67"/>
    <n v="0"/>
    <n v="1"/>
    <n v="1"/>
  </r>
  <r>
    <x v="4520"/>
    <n v="-1"/>
    <n v="67"/>
    <n v="66"/>
    <n v="14"/>
    <n v="19"/>
    <x v="33"/>
    <n v="24"/>
    <n v="-6"/>
    <n v="62"/>
    <n v="0"/>
    <n v="1"/>
    <n v="6"/>
  </r>
  <r>
    <x v="4521"/>
    <n v="-6"/>
    <n v="62"/>
    <n v="56"/>
    <n v="24"/>
    <n v="26"/>
    <x v="4"/>
    <n v="22"/>
    <n v="-2"/>
    <n v="60"/>
    <n v="0"/>
    <n v="1"/>
    <n v="2"/>
  </r>
  <r>
    <x v="4522"/>
    <n v="-2"/>
    <n v="60"/>
    <n v="58"/>
    <n v="22"/>
    <n v="22"/>
    <x v="4"/>
    <n v="17"/>
    <n v="3"/>
    <n v="60"/>
    <n v="0.30000000000000004"/>
    <n v="0"/>
    <n v="0"/>
  </r>
  <r>
    <x v="4523"/>
    <n v="3"/>
    <n v="60"/>
    <n v="63"/>
    <n v="17"/>
    <n v="14"/>
    <x v="22"/>
    <n v="24"/>
    <n v="-7"/>
    <n v="63"/>
    <n v="0"/>
    <n v="1"/>
    <n v="7"/>
  </r>
  <r>
    <x v="4524"/>
    <n v="-7"/>
    <n v="63"/>
    <n v="56"/>
    <n v="24"/>
    <n v="24"/>
    <x v="22"/>
    <n v="24"/>
    <n v="-7"/>
    <n v="63"/>
    <n v="0"/>
    <n v="1"/>
    <n v="7"/>
  </r>
  <r>
    <x v="4525"/>
    <n v="-7"/>
    <n v="63"/>
    <n v="56"/>
    <n v="24"/>
    <n v="22"/>
    <x v="26"/>
    <n v="22"/>
    <n v="-7"/>
    <n v="65"/>
    <n v="0"/>
    <n v="1"/>
    <n v="7"/>
  </r>
  <r>
    <x v="4526"/>
    <n v="-7"/>
    <n v="65"/>
    <n v="58"/>
    <n v="22"/>
    <n v="17"/>
    <x v="6"/>
    <n v="14"/>
    <n v="-4"/>
    <n v="70"/>
    <n v="0"/>
    <n v="1"/>
    <n v="4"/>
  </r>
  <r>
    <x v="4527"/>
    <n v="-4"/>
    <n v="70"/>
    <n v="66"/>
    <n v="14"/>
    <n v="24"/>
    <x v="4"/>
    <n v="9"/>
    <n v="11"/>
    <n v="60"/>
    <n v="1.1000000000000001"/>
    <n v="0"/>
    <n v="0"/>
  </r>
  <r>
    <x v="4528"/>
    <n v="11"/>
    <n v="60"/>
    <n v="71"/>
    <n v="9"/>
    <n v="24"/>
    <x v="11"/>
    <n v="20"/>
    <n v="15"/>
    <n v="45"/>
    <n v="1.5"/>
    <n v="0"/>
    <n v="0"/>
  </r>
  <r>
    <x v="4529"/>
    <n v="15"/>
    <n v="45"/>
    <n v="60"/>
    <n v="20"/>
    <n v="22"/>
    <x v="51"/>
    <n v="21"/>
    <n v="16"/>
    <n v="43"/>
    <n v="1.6"/>
    <n v="0"/>
    <n v="0"/>
  </r>
  <r>
    <x v="4530"/>
    <n v="16"/>
    <n v="43"/>
    <n v="59"/>
    <n v="21"/>
    <n v="14"/>
    <x v="13"/>
    <n v="19"/>
    <n v="11"/>
    <n v="50"/>
    <n v="1.1000000000000001"/>
    <n v="0"/>
    <n v="0"/>
  </r>
  <r>
    <x v="4531"/>
    <n v="11"/>
    <n v="50"/>
    <n v="61"/>
    <n v="19"/>
    <n v="9"/>
    <x v="4"/>
    <n v="19"/>
    <n v="1"/>
    <n v="60"/>
    <n v="0.1"/>
    <n v="0"/>
    <n v="0"/>
  </r>
  <r>
    <x v="4532"/>
    <n v="1"/>
    <n v="60"/>
    <n v="61"/>
    <n v="19"/>
    <n v="20"/>
    <x v="5"/>
    <n v="13"/>
    <n v="8"/>
    <n v="59"/>
    <n v="0.8"/>
    <n v="0"/>
    <n v="0"/>
  </r>
  <r>
    <x v="4533"/>
    <n v="8"/>
    <n v="59"/>
    <n v="67"/>
    <n v="13"/>
    <n v="21"/>
    <x v="9"/>
    <n v="21"/>
    <n v="8"/>
    <n v="51"/>
    <n v="0.8"/>
    <n v="0"/>
    <n v="0"/>
  </r>
  <r>
    <x v="4534"/>
    <n v="8"/>
    <n v="51"/>
    <n v="59"/>
    <n v="21"/>
    <n v="19"/>
    <x v="12"/>
    <n v="25"/>
    <n v="2"/>
    <n v="53"/>
    <n v="0.2"/>
    <n v="0"/>
    <n v="0"/>
  </r>
  <r>
    <x v="4535"/>
    <n v="2"/>
    <n v="53"/>
    <n v="55"/>
    <n v="25"/>
    <n v="19"/>
    <x v="5"/>
    <n v="18"/>
    <n v="3"/>
    <n v="59"/>
    <n v="0.30000000000000004"/>
    <n v="0"/>
    <n v="0"/>
  </r>
  <r>
    <x v="4536"/>
    <n v="3"/>
    <n v="59"/>
    <n v="62"/>
    <n v="18"/>
    <n v="13"/>
    <x v="8"/>
    <n v="13"/>
    <n v="3"/>
    <n v="64"/>
    <n v="0.30000000000000004"/>
    <n v="0"/>
    <n v="0"/>
  </r>
  <r>
    <x v="4537"/>
    <n v="3"/>
    <n v="64"/>
    <n v="67"/>
    <n v="13"/>
    <n v="21"/>
    <x v="32"/>
    <n v="19"/>
    <n v="5"/>
    <n v="56"/>
    <n v="0.5"/>
    <n v="0"/>
    <n v="0"/>
  </r>
  <r>
    <x v="4538"/>
    <n v="5"/>
    <n v="56"/>
    <n v="61"/>
    <n v="19"/>
    <n v="25"/>
    <x v="13"/>
    <n v="28"/>
    <n v="2"/>
    <n v="50"/>
    <n v="0.2"/>
    <n v="0"/>
    <n v="0"/>
  </r>
  <r>
    <x v="4539"/>
    <n v="2"/>
    <n v="50"/>
    <n v="52"/>
    <n v="28"/>
    <n v="18"/>
    <x v="4"/>
    <n v="23"/>
    <n v="-3"/>
    <n v="60"/>
    <n v="0"/>
    <n v="1"/>
    <n v="3"/>
  </r>
  <r>
    <x v="4540"/>
    <n v="-3"/>
    <n v="60"/>
    <n v="57"/>
    <n v="23"/>
    <n v="13"/>
    <x v="6"/>
    <n v="18"/>
    <n v="-8"/>
    <n v="70"/>
    <n v="0"/>
    <n v="1"/>
    <n v="8"/>
  </r>
  <r>
    <x v="4541"/>
    <n v="-8"/>
    <n v="70"/>
    <n v="62"/>
    <n v="18"/>
    <n v="19"/>
    <x v="30"/>
    <n v="24"/>
    <n v="-13"/>
    <n v="69"/>
    <n v="0"/>
    <n v="1"/>
    <n v="13"/>
  </r>
  <r>
    <x v="4542"/>
    <n v="-13"/>
    <n v="69"/>
    <n v="56"/>
    <n v="24"/>
    <n v="28"/>
    <x v="26"/>
    <n v="20"/>
    <n v="-5"/>
    <n v="65"/>
    <n v="0"/>
    <n v="1"/>
    <n v="5"/>
  </r>
  <r>
    <x v="4543"/>
    <n v="-5"/>
    <n v="65"/>
    <n v="60"/>
    <n v="20"/>
    <n v="23"/>
    <x v="33"/>
    <n v="12"/>
    <n v="6"/>
    <n v="62"/>
    <n v="0.60000000000000009"/>
    <n v="0"/>
    <n v="0"/>
  </r>
  <r>
    <x v="4544"/>
    <n v="6"/>
    <n v="62"/>
    <n v="68"/>
    <n v="12"/>
    <n v="18"/>
    <x v="32"/>
    <n v="20"/>
    <n v="4"/>
    <n v="56"/>
    <n v="0.4"/>
    <n v="0"/>
    <n v="0"/>
  </r>
  <r>
    <x v="4545"/>
    <n v="4"/>
    <n v="56"/>
    <n v="60"/>
    <n v="20"/>
    <n v="24"/>
    <x v="25"/>
    <n v="21"/>
    <n v="7"/>
    <n v="52"/>
    <n v="0.70000000000000007"/>
    <n v="0"/>
    <n v="0"/>
  </r>
  <r>
    <x v="4546"/>
    <n v="7"/>
    <n v="52"/>
    <n v="59"/>
    <n v="21"/>
    <n v="20"/>
    <x v="12"/>
    <n v="19"/>
    <n v="8"/>
    <n v="53"/>
    <n v="0.8"/>
    <n v="0"/>
    <n v="0"/>
  </r>
  <r>
    <x v="4547"/>
    <n v="8"/>
    <n v="53"/>
    <n v="61"/>
    <n v="19"/>
    <n v="12"/>
    <x v="4"/>
    <n v="23"/>
    <n v="-3"/>
    <n v="60"/>
    <n v="0"/>
    <n v="1"/>
    <n v="3"/>
  </r>
  <r>
    <x v="4548"/>
    <n v="-3"/>
    <n v="60"/>
    <n v="57"/>
    <n v="23"/>
    <n v="20"/>
    <x v="22"/>
    <n v="22"/>
    <n v="-5"/>
    <n v="63"/>
    <n v="0"/>
    <n v="1"/>
    <n v="5"/>
  </r>
  <r>
    <x v="4549"/>
    <n v="-5"/>
    <n v="63"/>
    <n v="58"/>
    <n v="22"/>
    <n v="21"/>
    <x v="8"/>
    <n v="16"/>
    <n v="0"/>
    <n v="64"/>
    <n v="0"/>
    <n v="0"/>
    <n v="0"/>
  </r>
  <r>
    <x v="4550"/>
    <n v="0"/>
    <n v="64"/>
    <n v="64"/>
    <n v="16"/>
    <n v="19"/>
    <x v="23"/>
    <n v="19"/>
    <n v="0"/>
    <n v="61"/>
    <n v="0"/>
    <n v="0"/>
    <n v="0"/>
  </r>
  <r>
    <x v="4551"/>
    <n v="0"/>
    <n v="61"/>
    <n v="61"/>
    <n v="19"/>
    <n v="23"/>
    <x v="24"/>
    <n v="17"/>
    <n v="6"/>
    <n v="57"/>
    <n v="0.60000000000000009"/>
    <n v="0"/>
    <n v="0"/>
  </r>
  <r>
    <x v="4552"/>
    <n v="6"/>
    <n v="57"/>
    <n v="63"/>
    <n v="17"/>
    <n v="22"/>
    <x v="25"/>
    <n v="22"/>
    <n v="6"/>
    <n v="52"/>
    <n v="0.60000000000000009"/>
    <n v="0"/>
    <n v="0"/>
  </r>
  <r>
    <x v="4553"/>
    <n v="6"/>
    <n v="52"/>
    <n v="58"/>
    <n v="22"/>
    <n v="16"/>
    <x v="28"/>
    <n v="14"/>
    <n v="8"/>
    <n v="58"/>
    <n v="0.8"/>
    <n v="0"/>
    <n v="0"/>
  </r>
  <r>
    <x v="4554"/>
    <n v="8"/>
    <n v="58"/>
    <n v="66"/>
    <n v="14"/>
    <n v="19"/>
    <x v="12"/>
    <n v="22"/>
    <n v="5"/>
    <n v="53"/>
    <n v="0.5"/>
    <n v="0"/>
    <n v="0"/>
  </r>
  <r>
    <x v="4555"/>
    <n v="5"/>
    <n v="53"/>
    <n v="58"/>
    <n v="22"/>
    <n v="17"/>
    <x v="28"/>
    <n v="18"/>
    <n v="4"/>
    <n v="58"/>
    <n v="0.4"/>
    <n v="0"/>
    <n v="0"/>
  </r>
  <r>
    <x v="4556"/>
    <n v="4"/>
    <n v="58"/>
    <n v="62"/>
    <n v="18"/>
    <n v="22"/>
    <x v="16"/>
    <n v="19"/>
    <n v="7"/>
    <n v="54"/>
    <n v="0.70000000000000007"/>
    <n v="0"/>
    <n v="0"/>
  </r>
  <r>
    <x v="4557"/>
    <n v="7"/>
    <n v="54"/>
    <n v="61"/>
    <n v="19"/>
    <n v="14"/>
    <x v="5"/>
    <n v="13"/>
    <n v="8"/>
    <n v="59"/>
    <n v="0.8"/>
    <n v="0"/>
    <n v="0"/>
  </r>
  <r>
    <x v="4558"/>
    <n v="8"/>
    <n v="59"/>
    <n v="67"/>
    <n v="13"/>
    <n v="22"/>
    <x v="13"/>
    <n v="22"/>
    <n v="8"/>
    <n v="50"/>
    <n v="0.8"/>
    <n v="0"/>
    <n v="0"/>
  </r>
  <r>
    <x v="4559"/>
    <n v="8"/>
    <n v="50"/>
    <n v="58"/>
    <n v="22"/>
    <n v="18"/>
    <x v="16"/>
    <n v="22"/>
    <n v="4"/>
    <n v="54"/>
    <n v="0.4"/>
    <n v="0"/>
    <n v="0"/>
  </r>
  <r>
    <x v="4560"/>
    <n v="4"/>
    <n v="54"/>
    <n v="58"/>
    <n v="22"/>
    <n v="19"/>
    <x v="24"/>
    <n v="16"/>
    <n v="7"/>
    <n v="57"/>
    <n v="0.70000000000000007"/>
    <n v="0"/>
    <n v="0"/>
  </r>
  <r>
    <x v="4561"/>
    <n v="7"/>
    <n v="57"/>
    <n v="64"/>
    <n v="16"/>
    <n v="13"/>
    <x v="4"/>
    <n v="16"/>
    <n v="4"/>
    <n v="60"/>
    <n v="0.4"/>
    <n v="0"/>
    <n v="0"/>
  </r>
  <r>
    <x v="4562"/>
    <n v="4"/>
    <n v="60"/>
    <n v="64"/>
    <n v="16"/>
    <n v="22"/>
    <x v="16"/>
    <n v="15"/>
    <n v="11"/>
    <n v="54"/>
    <n v="1.1000000000000001"/>
    <n v="0"/>
    <n v="0"/>
  </r>
  <r>
    <x v="4563"/>
    <n v="11"/>
    <n v="54"/>
    <n v="65"/>
    <n v="15"/>
    <n v="22"/>
    <x v="14"/>
    <n v="19"/>
    <n v="14"/>
    <n v="47"/>
    <n v="1.4000000000000001"/>
    <n v="0"/>
    <n v="0"/>
  </r>
  <r>
    <x v="4564"/>
    <n v="14"/>
    <n v="47"/>
    <n v="61"/>
    <n v="19"/>
    <n v="16"/>
    <x v="13"/>
    <n v="15"/>
    <n v="15"/>
    <n v="50"/>
    <n v="1.5"/>
    <n v="0"/>
    <n v="0"/>
  </r>
  <r>
    <x v="4565"/>
    <n v="15"/>
    <n v="50"/>
    <n v="65"/>
    <n v="15"/>
    <n v="16"/>
    <x v="10"/>
    <n v="24"/>
    <n v="7"/>
    <n v="49"/>
    <n v="0.70000000000000007"/>
    <n v="0"/>
    <n v="0"/>
  </r>
  <r>
    <x v="4566"/>
    <n v="7"/>
    <n v="49"/>
    <n v="56"/>
    <n v="24"/>
    <n v="15"/>
    <x v="28"/>
    <n v="18"/>
    <n v="4"/>
    <n v="58"/>
    <n v="0.4"/>
    <n v="0"/>
    <n v="0"/>
  </r>
  <r>
    <x v="4567"/>
    <n v="4"/>
    <n v="58"/>
    <n v="62"/>
    <n v="18"/>
    <n v="19"/>
    <x v="24"/>
    <n v="23"/>
    <n v="0"/>
    <n v="57"/>
    <n v="0"/>
    <n v="0"/>
    <n v="0"/>
  </r>
  <r>
    <x v="4568"/>
    <n v="0"/>
    <n v="57"/>
    <n v="57"/>
    <n v="23"/>
    <n v="15"/>
    <x v="26"/>
    <n v="22"/>
    <n v="-7"/>
    <n v="65"/>
    <n v="0"/>
    <n v="1"/>
    <n v="7"/>
  </r>
  <r>
    <x v="4569"/>
    <n v="-7"/>
    <n v="65"/>
    <n v="58"/>
    <n v="22"/>
    <n v="24"/>
    <x v="22"/>
    <n v="20"/>
    <n v="-3"/>
    <n v="63"/>
    <n v="0"/>
    <n v="1"/>
    <n v="3"/>
  </r>
  <r>
    <x v="4570"/>
    <n v="-3"/>
    <n v="63"/>
    <n v="60"/>
    <n v="20"/>
    <n v="18"/>
    <x v="26"/>
    <n v="22"/>
    <n v="-7"/>
    <n v="65"/>
    <n v="0"/>
    <n v="1"/>
    <n v="7"/>
  </r>
  <r>
    <x v="4571"/>
    <n v="-7"/>
    <n v="65"/>
    <n v="58"/>
    <n v="22"/>
    <n v="23"/>
    <x v="8"/>
    <n v="18"/>
    <n v="-2"/>
    <n v="64"/>
    <n v="0"/>
    <n v="1"/>
    <n v="2"/>
  </r>
  <r>
    <x v="4572"/>
    <n v="-2"/>
    <n v="64"/>
    <n v="62"/>
    <n v="18"/>
    <n v="22"/>
    <x v="4"/>
    <n v="18"/>
    <n v="2"/>
    <n v="60"/>
    <n v="0.2"/>
    <n v="0"/>
    <n v="0"/>
  </r>
  <r>
    <x v="4573"/>
    <n v="2"/>
    <n v="60"/>
    <n v="62"/>
    <n v="18"/>
    <n v="20"/>
    <x v="28"/>
    <n v="23"/>
    <n v="-1"/>
    <n v="58"/>
    <n v="0"/>
    <n v="1"/>
    <n v="1"/>
  </r>
  <r>
    <x v="4574"/>
    <n v="-1"/>
    <n v="58"/>
    <n v="57"/>
    <n v="23"/>
    <n v="22"/>
    <x v="5"/>
    <n v="18"/>
    <n v="3"/>
    <n v="59"/>
    <n v="0.30000000000000004"/>
    <n v="0"/>
    <n v="0"/>
  </r>
  <r>
    <x v="4575"/>
    <n v="3"/>
    <n v="59"/>
    <n v="62"/>
    <n v="18"/>
    <n v="18"/>
    <x v="5"/>
    <n v="25"/>
    <n v="-4"/>
    <n v="59"/>
    <n v="0"/>
    <n v="1"/>
    <n v="4"/>
  </r>
  <r>
    <x v="4576"/>
    <n v="-4"/>
    <n v="59"/>
    <n v="55"/>
    <n v="25"/>
    <n v="18"/>
    <x v="7"/>
    <n v="15"/>
    <n v="-1"/>
    <n v="66"/>
    <n v="0"/>
    <n v="1"/>
    <n v="1"/>
  </r>
  <r>
    <x v="4577"/>
    <n v="-1"/>
    <n v="66"/>
    <n v="65"/>
    <n v="15"/>
    <n v="23"/>
    <x v="28"/>
    <n v="23"/>
    <n v="-1"/>
    <n v="58"/>
    <n v="0"/>
    <n v="1"/>
    <n v="1"/>
  </r>
  <r>
    <x v="4578"/>
    <n v="-1"/>
    <n v="58"/>
    <n v="57"/>
    <n v="23"/>
    <n v="18"/>
    <x v="22"/>
    <n v="20"/>
    <n v="-3"/>
    <n v="63"/>
    <n v="0"/>
    <n v="1"/>
    <n v="3"/>
  </r>
  <r>
    <x v="4579"/>
    <n v="-3"/>
    <n v="63"/>
    <n v="60"/>
    <n v="20"/>
    <n v="25"/>
    <x v="28"/>
    <n v="21"/>
    <n v="1"/>
    <n v="58"/>
    <n v="0.1"/>
    <n v="0"/>
    <n v="0"/>
  </r>
  <r>
    <x v="4580"/>
    <n v="1"/>
    <n v="58"/>
    <n v="59"/>
    <n v="21"/>
    <n v="15"/>
    <x v="8"/>
    <n v="14"/>
    <n v="2"/>
    <n v="64"/>
    <n v="0.2"/>
    <n v="0"/>
    <n v="0"/>
  </r>
  <r>
    <x v="4581"/>
    <n v="2"/>
    <n v="64"/>
    <n v="66"/>
    <n v="14"/>
    <n v="23"/>
    <x v="27"/>
    <n v="28"/>
    <n v="-3"/>
    <n v="55"/>
    <n v="0"/>
    <n v="1"/>
    <n v="3"/>
  </r>
  <r>
    <x v="4582"/>
    <n v="-3"/>
    <n v="55"/>
    <n v="52"/>
    <n v="28"/>
    <n v="20"/>
    <x v="22"/>
    <n v="12"/>
    <n v="5"/>
    <n v="63"/>
    <n v="0.5"/>
    <n v="0"/>
    <n v="0"/>
  </r>
  <r>
    <x v="4583"/>
    <n v="5"/>
    <n v="63"/>
    <n v="68"/>
    <n v="12"/>
    <n v="21"/>
    <x v="16"/>
    <n v="21"/>
    <n v="5"/>
    <n v="54"/>
    <n v="0.5"/>
    <n v="0"/>
    <n v="0"/>
  </r>
  <r>
    <x v="4584"/>
    <n v="5"/>
    <n v="54"/>
    <n v="59"/>
    <n v="21"/>
    <n v="14"/>
    <x v="23"/>
    <n v="16"/>
    <n v="3"/>
    <n v="61"/>
    <n v="0.30000000000000004"/>
    <n v="0"/>
    <n v="0"/>
  </r>
  <r>
    <x v="4585"/>
    <n v="3"/>
    <n v="61"/>
    <n v="64"/>
    <n v="16"/>
    <n v="28"/>
    <x v="10"/>
    <n v="23"/>
    <n v="8"/>
    <n v="49"/>
    <n v="0.8"/>
    <n v="0"/>
    <n v="0"/>
  </r>
  <r>
    <x v="4586"/>
    <n v="8"/>
    <n v="49"/>
    <n v="57"/>
    <n v="23"/>
    <n v="12"/>
    <x v="4"/>
    <n v="21"/>
    <n v="-1"/>
    <n v="60"/>
    <n v="0"/>
    <n v="1"/>
    <n v="1"/>
  </r>
  <r>
    <x v="4587"/>
    <n v="-1"/>
    <n v="60"/>
    <n v="59"/>
    <n v="21"/>
    <n v="21"/>
    <x v="4"/>
    <n v="17"/>
    <n v="3"/>
    <n v="60"/>
    <n v="0.30000000000000004"/>
    <n v="0"/>
    <n v="0"/>
  </r>
  <r>
    <x v="4588"/>
    <n v="3"/>
    <n v="60"/>
    <n v="63"/>
    <n v="17"/>
    <n v="16"/>
    <x v="23"/>
    <n v="22"/>
    <n v="-3"/>
    <n v="61"/>
    <n v="0"/>
    <n v="1"/>
    <n v="3"/>
  </r>
  <r>
    <x v="4589"/>
    <n v="-3"/>
    <n v="61"/>
    <n v="58"/>
    <n v="22"/>
    <n v="23"/>
    <x v="4"/>
    <n v="17"/>
    <n v="3"/>
    <n v="60"/>
    <n v="0.30000000000000004"/>
    <n v="0"/>
    <n v="0"/>
  </r>
  <r>
    <x v="4590"/>
    <n v="3"/>
    <n v="60"/>
    <n v="63"/>
    <n v="17"/>
    <n v="21"/>
    <x v="32"/>
    <n v="21"/>
    <n v="3"/>
    <n v="56"/>
    <n v="0.30000000000000004"/>
    <n v="0"/>
    <n v="0"/>
  </r>
  <r>
    <x v="4591"/>
    <n v="3"/>
    <n v="56"/>
    <n v="59"/>
    <n v="21"/>
    <n v="17"/>
    <x v="4"/>
    <n v="22"/>
    <n v="-2"/>
    <n v="60"/>
    <n v="0"/>
    <n v="1"/>
    <n v="2"/>
  </r>
  <r>
    <x v="4592"/>
    <n v="-2"/>
    <n v="60"/>
    <n v="58"/>
    <n v="22"/>
    <n v="22"/>
    <x v="4"/>
    <n v="24"/>
    <n v="-4"/>
    <n v="60"/>
    <n v="0"/>
    <n v="1"/>
    <n v="4"/>
  </r>
  <r>
    <x v="4593"/>
    <n v="-4"/>
    <n v="60"/>
    <n v="56"/>
    <n v="24"/>
    <n v="17"/>
    <x v="21"/>
    <n v="17"/>
    <n v="-4"/>
    <n v="67"/>
    <n v="0"/>
    <n v="1"/>
    <n v="4"/>
  </r>
  <r>
    <x v="4594"/>
    <n v="-4"/>
    <n v="67"/>
    <n v="63"/>
    <n v="17"/>
    <n v="21"/>
    <x v="22"/>
    <n v="16"/>
    <n v="1"/>
    <n v="63"/>
    <n v="0.1"/>
    <n v="0"/>
    <n v="0"/>
  </r>
  <r>
    <x v="4595"/>
    <n v="1"/>
    <n v="63"/>
    <n v="64"/>
    <n v="16"/>
    <n v="22"/>
    <x v="24"/>
    <n v="17"/>
    <n v="6"/>
    <n v="57"/>
    <n v="0.60000000000000009"/>
    <n v="0"/>
    <n v="0"/>
  </r>
  <r>
    <x v="4596"/>
    <n v="6"/>
    <n v="57"/>
    <n v="63"/>
    <n v="17"/>
    <n v="24"/>
    <x v="13"/>
    <n v="21"/>
    <n v="9"/>
    <n v="50"/>
    <n v="0.9"/>
    <n v="0"/>
    <n v="0"/>
  </r>
  <r>
    <x v="4597"/>
    <n v="9"/>
    <n v="50"/>
    <n v="59"/>
    <n v="21"/>
    <n v="17"/>
    <x v="16"/>
    <n v="18"/>
    <n v="8"/>
    <n v="54"/>
    <n v="0.8"/>
    <n v="0"/>
    <n v="0"/>
  </r>
  <r>
    <x v="4598"/>
    <n v="8"/>
    <n v="54"/>
    <n v="62"/>
    <n v="18"/>
    <n v="16"/>
    <x v="32"/>
    <n v="16"/>
    <n v="8"/>
    <n v="56"/>
    <n v="0.8"/>
    <n v="0"/>
    <n v="0"/>
  </r>
  <r>
    <x v="4599"/>
    <n v="8"/>
    <n v="56"/>
    <n v="64"/>
    <n v="16"/>
    <n v="17"/>
    <x v="27"/>
    <n v="27"/>
    <n v="-2"/>
    <n v="55"/>
    <n v="0"/>
    <n v="1"/>
    <n v="2"/>
  </r>
  <r>
    <x v="4600"/>
    <n v="-2"/>
    <n v="55"/>
    <n v="53"/>
    <n v="27"/>
    <n v="21"/>
    <x v="23"/>
    <n v="22"/>
    <n v="-3"/>
    <n v="61"/>
    <n v="0"/>
    <n v="1"/>
    <n v="3"/>
  </r>
  <r>
    <x v="4601"/>
    <n v="-3"/>
    <n v="61"/>
    <n v="58"/>
    <n v="22"/>
    <n v="18"/>
    <x v="26"/>
    <n v="18"/>
    <n v="-3"/>
    <n v="65"/>
    <n v="0"/>
    <n v="1"/>
    <n v="3"/>
  </r>
  <r>
    <x v="4602"/>
    <n v="-3"/>
    <n v="65"/>
    <n v="62"/>
    <n v="18"/>
    <n v="16"/>
    <x v="21"/>
    <n v="24"/>
    <n v="-11"/>
    <n v="67"/>
    <n v="0"/>
    <n v="1"/>
    <n v="11"/>
  </r>
  <r>
    <x v="4603"/>
    <n v="-11"/>
    <n v="67"/>
    <n v="56"/>
    <n v="24"/>
    <n v="27"/>
    <x v="8"/>
    <n v="17"/>
    <n v="-1"/>
    <n v="64"/>
    <n v="0"/>
    <n v="1"/>
    <n v="1"/>
  </r>
  <r>
    <x v="4604"/>
    <n v="-1"/>
    <n v="64"/>
    <n v="63"/>
    <n v="17"/>
    <n v="22"/>
    <x v="5"/>
    <n v="20"/>
    <n v="1"/>
    <n v="59"/>
    <n v="0.1"/>
    <n v="0"/>
    <n v="0"/>
  </r>
  <r>
    <x v="4605"/>
    <n v="1"/>
    <n v="59"/>
    <n v="60"/>
    <n v="20"/>
    <n v="18"/>
    <x v="23"/>
    <n v="14"/>
    <n v="5"/>
    <n v="61"/>
    <n v="0.5"/>
    <n v="0"/>
    <n v="0"/>
  </r>
  <r>
    <x v="4606"/>
    <n v="5"/>
    <n v="61"/>
    <n v="66"/>
    <n v="14"/>
    <n v="24"/>
    <x v="9"/>
    <n v="20"/>
    <n v="9"/>
    <n v="51"/>
    <n v="0.9"/>
    <n v="0"/>
    <n v="0"/>
  </r>
  <r>
    <x v="4607"/>
    <n v="9"/>
    <n v="51"/>
    <n v="60"/>
    <n v="20"/>
    <n v="17"/>
    <x v="16"/>
    <n v="19"/>
    <n v="7"/>
    <n v="54"/>
    <n v="0.70000000000000007"/>
    <n v="0"/>
    <n v="0"/>
  </r>
  <r>
    <x v="4608"/>
    <n v="7"/>
    <n v="54"/>
    <n v="61"/>
    <n v="19"/>
    <n v="20"/>
    <x v="12"/>
    <n v="18"/>
    <n v="9"/>
    <n v="53"/>
    <n v="0.9"/>
    <n v="0"/>
    <n v="0"/>
  </r>
  <r>
    <x v="4609"/>
    <n v="9"/>
    <n v="53"/>
    <n v="62"/>
    <n v="18"/>
    <n v="14"/>
    <x v="24"/>
    <n v="24"/>
    <n v="-1"/>
    <n v="57"/>
    <n v="0"/>
    <n v="1"/>
    <n v="1"/>
  </r>
  <r>
    <x v="4610"/>
    <n v="-1"/>
    <n v="57"/>
    <n v="56"/>
    <n v="24"/>
    <n v="20"/>
    <x v="23"/>
    <n v="24"/>
    <n v="-5"/>
    <n v="61"/>
    <n v="0"/>
    <n v="1"/>
    <n v="5"/>
  </r>
  <r>
    <x v="4611"/>
    <n v="-5"/>
    <n v="61"/>
    <n v="56"/>
    <n v="24"/>
    <n v="19"/>
    <x v="7"/>
    <n v="17"/>
    <n v="-3"/>
    <n v="66"/>
    <n v="0"/>
    <n v="1"/>
    <n v="3"/>
  </r>
  <r>
    <x v="4612"/>
    <n v="-3"/>
    <n v="66"/>
    <n v="63"/>
    <n v="17"/>
    <n v="18"/>
    <x v="26"/>
    <n v="15"/>
    <n v="0"/>
    <n v="65"/>
    <n v="0"/>
    <n v="0"/>
    <n v="0"/>
  </r>
  <r>
    <x v="4613"/>
    <n v="0"/>
    <n v="65"/>
    <n v="65"/>
    <n v="15"/>
    <n v="24"/>
    <x v="32"/>
    <n v="17"/>
    <n v="7"/>
    <n v="56"/>
    <n v="0.70000000000000007"/>
    <n v="0"/>
    <n v="0"/>
  </r>
  <r>
    <x v="4614"/>
    <n v="7"/>
    <n v="56"/>
    <n v="63"/>
    <n v="17"/>
    <n v="24"/>
    <x v="10"/>
    <n v="19"/>
    <n v="12"/>
    <n v="49"/>
    <n v="1.2000000000000002"/>
    <n v="0"/>
    <n v="0"/>
  </r>
  <r>
    <x v="4615"/>
    <n v="12"/>
    <n v="49"/>
    <n v="61"/>
    <n v="19"/>
    <n v="17"/>
    <x v="9"/>
    <n v="22"/>
    <n v="7"/>
    <n v="51"/>
    <n v="0.70000000000000007"/>
    <n v="0"/>
    <n v="0"/>
  </r>
  <r>
    <x v="4616"/>
    <n v="7"/>
    <n v="51"/>
    <n v="58"/>
    <n v="22"/>
    <n v="15"/>
    <x v="28"/>
    <n v="18"/>
    <n v="4"/>
    <n v="58"/>
    <n v="0.4"/>
    <n v="0"/>
    <n v="0"/>
  </r>
  <r>
    <x v="4617"/>
    <n v="4"/>
    <n v="58"/>
    <n v="62"/>
    <n v="18"/>
    <n v="17"/>
    <x v="5"/>
    <n v="27"/>
    <n v="-6"/>
    <n v="59"/>
    <n v="0"/>
    <n v="1"/>
    <n v="6"/>
  </r>
  <r>
    <x v="4618"/>
    <n v="-6"/>
    <n v="59"/>
    <n v="53"/>
    <n v="27"/>
    <n v="19"/>
    <x v="21"/>
    <n v="24"/>
    <n v="-11"/>
    <n v="67"/>
    <n v="0"/>
    <n v="1"/>
    <n v="11"/>
  </r>
  <r>
    <x v="4619"/>
    <n v="-11"/>
    <n v="67"/>
    <n v="56"/>
    <n v="24"/>
    <n v="22"/>
    <x v="30"/>
    <n v="18"/>
    <n v="-7"/>
    <n v="69"/>
    <n v="0"/>
    <n v="1"/>
    <n v="7"/>
  </r>
  <r>
    <x v="4620"/>
    <n v="-7"/>
    <n v="69"/>
    <n v="62"/>
    <n v="18"/>
    <n v="18"/>
    <x v="30"/>
    <n v="19"/>
    <n v="-8"/>
    <n v="69"/>
    <n v="0"/>
    <n v="1"/>
    <n v="8"/>
  </r>
  <r>
    <x v="4621"/>
    <n v="-8"/>
    <n v="69"/>
    <n v="61"/>
    <n v="19"/>
    <n v="27"/>
    <x v="23"/>
    <n v="22"/>
    <n v="-3"/>
    <n v="61"/>
    <n v="0"/>
    <n v="1"/>
    <n v="3"/>
  </r>
  <r>
    <x v="4622"/>
    <n v="-3"/>
    <n v="61"/>
    <n v="58"/>
    <n v="22"/>
    <n v="24"/>
    <x v="5"/>
    <n v="28"/>
    <n v="-7"/>
    <n v="59"/>
    <n v="0"/>
    <n v="1"/>
    <n v="7"/>
  </r>
  <r>
    <x v="4623"/>
    <n v="-7"/>
    <n v="59"/>
    <n v="52"/>
    <n v="28"/>
    <n v="18"/>
    <x v="30"/>
    <n v="17"/>
    <n v="-6"/>
    <n v="69"/>
    <n v="0"/>
    <n v="1"/>
    <n v="6"/>
  </r>
  <r>
    <x v="4624"/>
    <n v="-6"/>
    <n v="69"/>
    <n v="63"/>
    <n v="17"/>
    <n v="19"/>
    <x v="21"/>
    <n v="20"/>
    <n v="-7"/>
    <n v="67"/>
    <n v="0"/>
    <n v="1"/>
    <n v="7"/>
  </r>
  <r>
    <x v="4625"/>
    <n v="-7"/>
    <n v="67"/>
    <n v="60"/>
    <n v="20"/>
    <n v="22"/>
    <x v="26"/>
    <n v="18"/>
    <n v="-3"/>
    <n v="65"/>
    <n v="0"/>
    <n v="1"/>
    <n v="3"/>
  </r>
  <r>
    <x v="4626"/>
    <n v="-3"/>
    <n v="65"/>
    <n v="62"/>
    <n v="18"/>
    <n v="28"/>
    <x v="27"/>
    <n v="18"/>
    <n v="7"/>
    <n v="55"/>
    <n v="0.70000000000000007"/>
    <n v="0"/>
    <n v="0"/>
  </r>
  <r>
    <x v="4627"/>
    <n v="7"/>
    <n v="55"/>
    <n v="62"/>
    <n v="18"/>
    <n v="17"/>
    <x v="32"/>
    <n v="21"/>
    <n v="3"/>
    <n v="56"/>
    <n v="0.30000000000000004"/>
    <n v="0"/>
    <n v="0"/>
  </r>
  <r>
    <x v="4628"/>
    <n v="3"/>
    <n v="56"/>
    <n v="59"/>
    <n v="21"/>
    <n v="20"/>
    <x v="24"/>
    <n v="20"/>
    <n v="3"/>
    <n v="57"/>
    <n v="0.30000000000000004"/>
    <n v="0"/>
    <n v="0"/>
  </r>
  <r>
    <x v="4629"/>
    <n v="3"/>
    <n v="57"/>
    <n v="60"/>
    <n v="20"/>
    <n v="18"/>
    <x v="5"/>
    <n v="19"/>
    <n v="2"/>
    <n v="59"/>
    <n v="0.2"/>
    <n v="0"/>
    <n v="0"/>
  </r>
  <r>
    <x v="4630"/>
    <n v="2"/>
    <n v="59"/>
    <n v="61"/>
    <n v="19"/>
    <n v="18"/>
    <x v="4"/>
    <n v="24"/>
    <n v="-4"/>
    <n v="60"/>
    <n v="0"/>
    <n v="1"/>
    <n v="4"/>
  </r>
  <r>
    <x v="4631"/>
    <n v="-4"/>
    <n v="60"/>
    <n v="56"/>
    <n v="24"/>
    <n v="21"/>
    <x v="22"/>
    <n v="23"/>
    <n v="-6"/>
    <n v="63"/>
    <n v="0"/>
    <n v="1"/>
    <n v="6"/>
  </r>
  <r>
    <x v="4632"/>
    <n v="-6"/>
    <n v="63"/>
    <n v="57"/>
    <n v="23"/>
    <n v="20"/>
    <x v="7"/>
    <n v="25"/>
    <n v="-11"/>
    <n v="66"/>
    <n v="0"/>
    <n v="1"/>
    <n v="11"/>
  </r>
  <r>
    <x v="4633"/>
    <n v="-11"/>
    <n v="66"/>
    <n v="55"/>
    <n v="25"/>
    <n v="19"/>
    <x v="29"/>
    <n v="20"/>
    <n v="-12"/>
    <n v="72"/>
    <n v="0"/>
    <n v="1"/>
    <n v="12"/>
  </r>
  <r>
    <x v="4634"/>
    <n v="-12"/>
    <n v="72"/>
    <n v="60"/>
    <n v="20"/>
    <n v="24"/>
    <x v="17"/>
    <n v="28"/>
    <n v="-16"/>
    <n v="68"/>
    <n v="0"/>
    <n v="1"/>
    <n v="16"/>
  </r>
  <r>
    <x v="4635"/>
    <n v="-16"/>
    <n v="68"/>
    <n v="52"/>
    <n v="28"/>
    <n v="23"/>
    <x v="31"/>
    <n v="21"/>
    <n v="-14"/>
    <n v="73"/>
    <n v="0"/>
    <n v="1"/>
    <n v="14"/>
  </r>
  <r>
    <x v="4636"/>
    <n v="-14"/>
    <n v="73"/>
    <n v="59"/>
    <n v="21"/>
    <n v="25"/>
    <x v="30"/>
    <n v="19"/>
    <n v="-8"/>
    <n v="69"/>
    <n v="0"/>
    <n v="1"/>
    <n v="8"/>
  </r>
  <r>
    <x v="4637"/>
    <n v="-8"/>
    <n v="69"/>
    <n v="61"/>
    <n v="19"/>
    <n v="20"/>
    <x v="17"/>
    <n v="20"/>
    <n v="-8"/>
    <n v="68"/>
    <n v="0"/>
    <n v="1"/>
    <n v="8"/>
  </r>
  <r>
    <x v="4638"/>
    <n v="-8"/>
    <n v="68"/>
    <n v="60"/>
    <n v="20"/>
    <n v="28"/>
    <x v="4"/>
    <n v="16"/>
    <n v="4"/>
    <n v="60"/>
    <n v="0.4"/>
    <n v="0"/>
    <n v="0"/>
  </r>
  <r>
    <x v="4639"/>
    <n v="4"/>
    <n v="60"/>
    <n v="64"/>
    <n v="16"/>
    <n v="21"/>
    <x v="27"/>
    <n v="9"/>
    <n v="16"/>
    <n v="55"/>
    <n v="1.6"/>
    <n v="0"/>
    <n v="0"/>
  </r>
  <r>
    <x v="4640"/>
    <n v="16"/>
    <n v="55"/>
    <n v="71"/>
    <n v="9"/>
    <n v="19"/>
    <x v="11"/>
    <n v="14"/>
    <n v="21"/>
    <n v="45"/>
    <n v="2.1"/>
    <n v="0"/>
    <n v="0"/>
  </r>
  <r>
    <x v="4641"/>
    <n v="21"/>
    <n v="45"/>
    <n v="66"/>
    <n v="14"/>
    <n v="20"/>
    <x v="34"/>
    <n v="28"/>
    <n v="13"/>
    <n v="39"/>
    <n v="1.3"/>
    <n v="0"/>
    <n v="0"/>
  </r>
  <r>
    <x v="4642"/>
    <n v="13"/>
    <n v="39"/>
    <n v="52"/>
    <n v="28"/>
    <n v="16"/>
    <x v="9"/>
    <n v="20"/>
    <n v="9"/>
    <n v="51"/>
    <n v="0.9"/>
    <n v="0"/>
    <n v="0"/>
  </r>
  <r>
    <x v="4643"/>
    <n v="9"/>
    <n v="51"/>
    <n v="60"/>
    <n v="20"/>
    <n v="9"/>
    <x v="33"/>
    <n v="20"/>
    <n v="-2"/>
    <n v="62"/>
    <n v="0"/>
    <n v="1"/>
    <n v="2"/>
  </r>
  <r>
    <x v="4644"/>
    <n v="-2"/>
    <n v="62"/>
    <n v="60"/>
    <n v="20"/>
    <n v="14"/>
    <x v="17"/>
    <n v="24"/>
    <n v="-12"/>
    <n v="68"/>
    <n v="0"/>
    <n v="1"/>
    <n v="12"/>
  </r>
  <r>
    <x v="4645"/>
    <n v="-12"/>
    <n v="68"/>
    <n v="56"/>
    <n v="24"/>
    <n v="28"/>
    <x v="8"/>
    <n v="25"/>
    <n v="-9"/>
    <n v="64"/>
    <n v="0"/>
    <n v="1"/>
    <n v="9"/>
  </r>
  <r>
    <x v="4646"/>
    <n v="-9"/>
    <n v="64"/>
    <n v="55"/>
    <n v="25"/>
    <n v="20"/>
    <x v="30"/>
    <n v="13"/>
    <n v="-2"/>
    <n v="69"/>
    <n v="0"/>
    <n v="1"/>
    <n v="2"/>
  </r>
  <r>
    <x v="4647"/>
    <n v="-2"/>
    <n v="69"/>
    <n v="67"/>
    <n v="13"/>
    <n v="20"/>
    <x v="33"/>
    <n v="19"/>
    <n v="-1"/>
    <n v="62"/>
    <n v="0"/>
    <n v="1"/>
    <n v="1"/>
  </r>
  <r>
    <x v="4648"/>
    <n v="-1"/>
    <n v="62"/>
    <n v="61"/>
    <n v="19"/>
    <n v="24"/>
    <x v="24"/>
    <n v="27"/>
    <n v="-4"/>
    <n v="57"/>
    <n v="0"/>
    <n v="1"/>
    <n v="4"/>
  </r>
  <r>
    <x v="4649"/>
    <n v="-4"/>
    <n v="57"/>
    <n v="53"/>
    <n v="27"/>
    <n v="25"/>
    <x v="5"/>
    <n v="28"/>
    <n v="-7"/>
    <n v="59"/>
    <n v="0"/>
    <n v="1"/>
    <n v="7"/>
  </r>
  <r>
    <x v="4650"/>
    <n v="-7"/>
    <n v="59"/>
    <n v="52"/>
    <n v="28"/>
    <n v="13"/>
    <x v="39"/>
    <n v="27"/>
    <n v="-21"/>
    <n v="74"/>
    <n v="0"/>
    <n v="1"/>
    <n v="21"/>
  </r>
  <r>
    <x v="4651"/>
    <n v="-21"/>
    <n v="74"/>
    <n v="53"/>
    <n v="27"/>
    <n v="19"/>
    <x v="19"/>
    <n v="24"/>
    <n v="-26"/>
    <n v="82"/>
    <n v="0"/>
    <n v="1"/>
    <n v="24"/>
  </r>
  <r>
    <x v="4652"/>
    <n v="-26"/>
    <n v="82"/>
    <n v="56"/>
    <n v="24"/>
    <n v="27"/>
    <x v="43"/>
    <n v="17"/>
    <n v="-16"/>
    <n v="79"/>
    <n v="0"/>
    <n v="1"/>
    <n v="16"/>
  </r>
  <r>
    <x v="4653"/>
    <n v="-16"/>
    <n v="79"/>
    <n v="63"/>
    <n v="17"/>
    <n v="28"/>
    <x v="17"/>
    <n v="18"/>
    <n v="-6"/>
    <n v="68"/>
    <n v="0"/>
    <n v="1"/>
    <n v="6"/>
  </r>
  <r>
    <x v="4654"/>
    <n v="-6"/>
    <n v="68"/>
    <n v="62"/>
    <n v="18"/>
    <n v="27"/>
    <x v="5"/>
    <n v="20"/>
    <n v="1"/>
    <n v="59"/>
    <n v="0.1"/>
    <n v="0"/>
    <n v="0"/>
  </r>
  <r>
    <x v="4655"/>
    <n v="1"/>
    <n v="59"/>
    <n v="60"/>
    <n v="20"/>
    <n v="24"/>
    <x v="27"/>
    <n v="16"/>
    <n v="9"/>
    <n v="55"/>
    <n v="0.9"/>
    <n v="0"/>
    <n v="0"/>
  </r>
  <r>
    <x v="4656"/>
    <n v="9"/>
    <n v="55"/>
    <n v="64"/>
    <n v="16"/>
    <n v="17"/>
    <x v="16"/>
    <n v="22"/>
    <n v="4"/>
    <n v="54"/>
    <n v="0.4"/>
    <n v="0"/>
    <n v="0"/>
  </r>
  <r>
    <x v="4657"/>
    <n v="4"/>
    <n v="54"/>
    <n v="58"/>
    <n v="22"/>
    <n v="18"/>
    <x v="28"/>
    <n v="24"/>
    <n v="-2"/>
    <n v="58"/>
    <n v="0"/>
    <n v="1"/>
    <n v="2"/>
  </r>
  <r>
    <x v="4658"/>
    <n v="-2"/>
    <n v="58"/>
    <n v="56"/>
    <n v="24"/>
    <n v="20"/>
    <x v="33"/>
    <n v="15"/>
    <n v="3"/>
    <n v="62"/>
    <n v="0.30000000000000004"/>
    <n v="0"/>
    <n v="0"/>
  </r>
  <r>
    <x v="4659"/>
    <n v="3"/>
    <n v="62"/>
    <n v="65"/>
    <n v="15"/>
    <n v="16"/>
    <x v="23"/>
    <n v="13"/>
    <n v="6"/>
    <n v="61"/>
    <n v="0.60000000000000009"/>
    <n v="0"/>
    <n v="0"/>
  </r>
  <r>
    <x v="4660"/>
    <n v="6"/>
    <n v="61"/>
    <n v="67"/>
    <n v="13"/>
    <n v="22"/>
    <x v="25"/>
    <n v="26"/>
    <n v="2"/>
    <n v="52"/>
    <n v="0.2"/>
    <n v="0"/>
    <n v="0"/>
  </r>
  <r>
    <x v="4661"/>
    <n v="2"/>
    <n v="52"/>
    <n v="54"/>
    <n v="26"/>
    <n v="24"/>
    <x v="16"/>
    <n v="15"/>
    <n v="11"/>
    <n v="54"/>
    <n v="1.1000000000000001"/>
    <n v="0"/>
    <n v="0"/>
  </r>
  <r>
    <x v="4662"/>
    <n v="11"/>
    <n v="54"/>
    <n v="65"/>
    <n v="15"/>
    <n v="15"/>
    <x v="16"/>
    <n v="25"/>
    <n v="1"/>
    <n v="54"/>
    <n v="0.1"/>
    <n v="0"/>
    <n v="0"/>
  </r>
  <r>
    <x v="4663"/>
    <n v="1"/>
    <n v="54"/>
    <n v="55"/>
    <n v="25"/>
    <n v="13"/>
    <x v="7"/>
    <n v="26"/>
    <n v="-12"/>
    <n v="66"/>
    <n v="0"/>
    <n v="1"/>
    <n v="12"/>
  </r>
  <r>
    <x v="4664"/>
    <n v="-12"/>
    <n v="66"/>
    <n v="54"/>
    <n v="26"/>
    <n v="26"/>
    <x v="7"/>
    <n v="15"/>
    <n v="-1"/>
    <n v="66"/>
    <n v="0"/>
    <n v="1"/>
    <n v="1"/>
  </r>
  <r>
    <x v="4665"/>
    <n v="-1"/>
    <n v="66"/>
    <n v="65"/>
    <n v="15"/>
    <n v="15"/>
    <x v="7"/>
    <n v="18"/>
    <n v="-4"/>
    <n v="66"/>
    <n v="0"/>
    <n v="1"/>
    <n v="4"/>
  </r>
  <r>
    <x v="4666"/>
    <n v="-4"/>
    <n v="66"/>
    <n v="62"/>
    <n v="18"/>
    <n v="25"/>
    <x v="5"/>
    <n v="17"/>
    <n v="4"/>
    <n v="59"/>
    <n v="0.4"/>
    <n v="0"/>
    <n v="0"/>
  </r>
  <r>
    <x v="4667"/>
    <n v="4"/>
    <n v="59"/>
    <n v="63"/>
    <n v="17"/>
    <n v="26"/>
    <x v="13"/>
    <n v="19"/>
    <n v="11"/>
    <n v="50"/>
    <n v="1.1000000000000001"/>
    <n v="0"/>
    <n v="0"/>
  </r>
  <r>
    <x v="4668"/>
    <n v="11"/>
    <n v="50"/>
    <n v="61"/>
    <n v="19"/>
    <n v="15"/>
    <x v="16"/>
    <n v="24"/>
    <n v="2"/>
    <n v="54"/>
    <n v="0.2"/>
    <n v="0"/>
    <n v="0"/>
  </r>
  <r>
    <x v="4669"/>
    <n v="2"/>
    <n v="54"/>
    <n v="56"/>
    <n v="24"/>
    <n v="18"/>
    <x v="4"/>
    <n v="8"/>
    <n v="12"/>
    <n v="60"/>
    <n v="1.2000000000000002"/>
    <n v="0"/>
    <n v="0"/>
  </r>
  <r>
    <x v="4670"/>
    <n v="12"/>
    <n v="60"/>
    <n v="72"/>
    <n v="8"/>
    <n v="17"/>
    <x v="9"/>
    <n v="20"/>
    <n v="9"/>
    <n v="51"/>
    <n v="0.9"/>
    <n v="0"/>
    <n v="0"/>
  </r>
  <r>
    <x v="4671"/>
    <n v="9"/>
    <n v="51"/>
    <n v="60"/>
    <n v="20"/>
    <n v="19"/>
    <x v="25"/>
    <n v="14"/>
    <n v="14"/>
    <n v="52"/>
    <n v="1.4000000000000001"/>
    <n v="0"/>
    <n v="0"/>
  </r>
  <r>
    <x v="4672"/>
    <n v="14"/>
    <n v="52"/>
    <n v="66"/>
    <n v="14"/>
    <n v="24"/>
    <x v="40"/>
    <n v="15"/>
    <n v="23"/>
    <n v="42"/>
    <n v="2.3000000000000003"/>
    <n v="0"/>
    <n v="0"/>
  </r>
  <r>
    <x v="4673"/>
    <n v="23"/>
    <n v="42"/>
    <n v="65"/>
    <n v="15"/>
    <n v="8"/>
    <x v="10"/>
    <n v="18"/>
    <n v="13"/>
    <n v="49"/>
    <n v="1.3"/>
    <n v="0"/>
    <n v="0"/>
  </r>
  <r>
    <x v="4674"/>
    <n v="13"/>
    <n v="49"/>
    <n v="62"/>
    <n v="18"/>
    <n v="20"/>
    <x v="14"/>
    <n v="19"/>
    <n v="14"/>
    <n v="47"/>
    <n v="1.4000000000000001"/>
    <n v="0"/>
    <n v="0"/>
  </r>
  <r>
    <x v="4675"/>
    <n v="14"/>
    <n v="47"/>
    <n v="61"/>
    <n v="19"/>
    <n v="14"/>
    <x v="25"/>
    <n v="24"/>
    <n v="4"/>
    <n v="52"/>
    <n v="0.4"/>
    <n v="0"/>
    <n v="0"/>
  </r>
  <r>
    <x v="4676"/>
    <n v="4"/>
    <n v="52"/>
    <n v="56"/>
    <n v="24"/>
    <n v="15"/>
    <x v="23"/>
    <n v="27"/>
    <n v="-8"/>
    <n v="61"/>
    <n v="0"/>
    <n v="1"/>
    <n v="8"/>
  </r>
  <r>
    <x v="4677"/>
    <n v="-8"/>
    <n v="61"/>
    <n v="53"/>
    <n v="27"/>
    <n v="18"/>
    <x v="6"/>
    <n v="17"/>
    <n v="-7"/>
    <n v="70"/>
    <n v="0"/>
    <n v="1"/>
    <n v="7"/>
  </r>
  <r>
    <x v="4678"/>
    <n v="-7"/>
    <n v="70"/>
    <n v="63"/>
    <n v="17"/>
    <n v="19"/>
    <x v="17"/>
    <n v="23"/>
    <n v="-11"/>
    <n v="68"/>
    <n v="0"/>
    <n v="1"/>
    <n v="11"/>
  </r>
  <r>
    <x v="4679"/>
    <n v="-11"/>
    <n v="68"/>
    <n v="57"/>
    <n v="23"/>
    <n v="24"/>
    <x v="21"/>
    <n v="26"/>
    <n v="-13"/>
    <n v="67"/>
    <n v="0"/>
    <n v="1"/>
    <n v="13"/>
  </r>
  <r>
    <x v="4680"/>
    <n v="-13"/>
    <n v="67"/>
    <n v="54"/>
    <n v="26"/>
    <n v="27"/>
    <x v="7"/>
    <n v="19"/>
    <n v="-5"/>
    <n v="66"/>
    <n v="0"/>
    <n v="1"/>
    <n v="5"/>
  </r>
  <r>
    <x v="4681"/>
    <n v="-5"/>
    <n v="66"/>
    <n v="61"/>
    <n v="19"/>
    <n v="17"/>
    <x v="17"/>
    <n v="25"/>
    <n v="-13"/>
    <n v="68"/>
    <n v="0"/>
    <n v="1"/>
    <n v="13"/>
  </r>
  <r>
    <x v="4682"/>
    <n v="-13"/>
    <n v="68"/>
    <n v="55"/>
    <n v="25"/>
    <n v="23"/>
    <x v="6"/>
    <n v="25"/>
    <n v="-15"/>
    <n v="70"/>
    <n v="0"/>
    <n v="1"/>
    <n v="15"/>
  </r>
  <r>
    <x v="4683"/>
    <n v="-15"/>
    <n v="70"/>
    <n v="55"/>
    <n v="25"/>
    <n v="26"/>
    <x v="30"/>
    <n v="15"/>
    <n v="-4"/>
    <n v="69"/>
    <n v="0"/>
    <n v="1"/>
    <n v="4"/>
  </r>
  <r>
    <x v="4684"/>
    <n v="-4"/>
    <n v="69"/>
    <n v="65"/>
    <n v="15"/>
    <n v="19"/>
    <x v="26"/>
    <n v="23"/>
    <n v="-8"/>
    <n v="65"/>
    <n v="0"/>
    <n v="1"/>
    <n v="8"/>
  </r>
  <r>
    <x v="4685"/>
    <n v="-8"/>
    <n v="65"/>
    <n v="57"/>
    <n v="23"/>
    <n v="25"/>
    <x v="22"/>
    <n v="19"/>
    <n v="-2"/>
    <n v="63"/>
    <n v="0"/>
    <n v="1"/>
    <n v="2"/>
  </r>
  <r>
    <x v="4686"/>
    <n v="-2"/>
    <n v="63"/>
    <n v="61"/>
    <n v="19"/>
    <n v="25"/>
    <x v="24"/>
    <n v="23"/>
    <n v="0"/>
    <n v="57"/>
    <n v="0"/>
    <n v="0"/>
    <n v="0"/>
  </r>
  <r>
    <x v="4687"/>
    <n v="0"/>
    <n v="57"/>
    <n v="57"/>
    <n v="23"/>
    <n v="15"/>
    <x v="26"/>
    <n v="18"/>
    <n v="-3"/>
    <n v="65"/>
    <n v="0"/>
    <n v="1"/>
    <n v="3"/>
  </r>
  <r>
    <x v="4688"/>
    <n v="-3"/>
    <n v="65"/>
    <n v="62"/>
    <n v="18"/>
    <n v="23"/>
    <x v="4"/>
    <n v="24"/>
    <n v="-4"/>
    <n v="60"/>
    <n v="0"/>
    <n v="1"/>
    <n v="4"/>
  </r>
  <r>
    <x v="4689"/>
    <n v="-4"/>
    <n v="60"/>
    <n v="56"/>
    <n v="24"/>
    <n v="19"/>
    <x v="26"/>
    <n v="22"/>
    <n v="-7"/>
    <n v="65"/>
    <n v="0"/>
    <n v="1"/>
    <n v="7"/>
  </r>
  <r>
    <x v="4690"/>
    <n v="-7"/>
    <n v="65"/>
    <n v="58"/>
    <n v="22"/>
    <n v="23"/>
    <x v="8"/>
    <n v="22"/>
    <n v="-6"/>
    <n v="64"/>
    <n v="0"/>
    <n v="1"/>
    <n v="6"/>
  </r>
  <r>
    <x v="4691"/>
    <n v="-6"/>
    <n v="64"/>
    <n v="58"/>
    <n v="22"/>
    <n v="18"/>
    <x v="17"/>
    <n v="26"/>
    <n v="-14"/>
    <n v="68"/>
    <n v="0"/>
    <n v="1"/>
    <n v="14"/>
  </r>
  <r>
    <x v="4692"/>
    <n v="-14"/>
    <n v="68"/>
    <n v="54"/>
    <n v="26"/>
    <n v="24"/>
    <x v="6"/>
    <n v="23"/>
    <n v="-13"/>
    <n v="70"/>
    <n v="0"/>
    <n v="1"/>
    <n v="13"/>
  </r>
  <r>
    <x v="4693"/>
    <n v="-13"/>
    <n v="70"/>
    <n v="57"/>
    <n v="23"/>
    <n v="22"/>
    <x v="20"/>
    <n v="16"/>
    <n v="-7"/>
    <n v="71"/>
    <n v="0"/>
    <n v="1"/>
    <n v="7"/>
  </r>
  <r>
    <x v="4694"/>
    <n v="-7"/>
    <n v="71"/>
    <n v="64"/>
    <n v="16"/>
    <n v="22"/>
    <x v="26"/>
    <n v="18"/>
    <n v="-3"/>
    <n v="65"/>
    <n v="0"/>
    <n v="1"/>
    <n v="3"/>
  </r>
  <r>
    <x v="4695"/>
    <n v="-3"/>
    <n v="65"/>
    <n v="62"/>
    <n v="18"/>
    <n v="26"/>
    <x v="24"/>
    <n v="24"/>
    <n v="-1"/>
    <n v="57"/>
    <n v="0"/>
    <n v="1"/>
    <n v="1"/>
  </r>
  <r>
    <x v="4696"/>
    <n v="-1"/>
    <n v="57"/>
    <n v="56"/>
    <n v="24"/>
    <n v="23"/>
    <x v="28"/>
    <n v="18"/>
    <n v="4"/>
    <n v="58"/>
    <n v="0.4"/>
    <n v="0"/>
    <n v="0"/>
  </r>
  <r>
    <x v="4697"/>
    <n v="4"/>
    <n v="58"/>
    <n v="62"/>
    <n v="18"/>
    <n v="16"/>
    <x v="4"/>
    <n v="28"/>
    <n v="-8"/>
    <n v="60"/>
    <n v="0"/>
    <n v="1"/>
    <n v="8"/>
  </r>
  <r>
    <x v="4698"/>
    <n v="-8"/>
    <n v="60"/>
    <n v="52"/>
    <n v="28"/>
    <n v="18"/>
    <x v="6"/>
    <n v="16"/>
    <n v="-6"/>
    <n v="70"/>
    <n v="0"/>
    <n v="1"/>
    <n v="6"/>
  </r>
  <r>
    <x v="4699"/>
    <n v="-6"/>
    <n v="70"/>
    <n v="64"/>
    <n v="16"/>
    <n v="24"/>
    <x v="33"/>
    <n v="22"/>
    <n v="-4"/>
    <n v="62"/>
    <n v="0"/>
    <n v="1"/>
    <n v="4"/>
  </r>
  <r>
    <x v="4700"/>
    <n v="-4"/>
    <n v="62"/>
    <n v="58"/>
    <n v="22"/>
    <n v="18"/>
    <x v="7"/>
    <n v="18"/>
    <n v="-4"/>
    <n v="66"/>
    <n v="0"/>
    <n v="1"/>
    <n v="4"/>
  </r>
  <r>
    <x v="4701"/>
    <n v="-4"/>
    <n v="66"/>
    <n v="62"/>
    <n v="18"/>
    <n v="28"/>
    <x v="32"/>
    <n v="21"/>
    <n v="3"/>
    <n v="56"/>
    <n v="0.30000000000000004"/>
    <n v="0"/>
    <n v="0"/>
  </r>
  <r>
    <x v="4702"/>
    <n v="3"/>
    <n v="56"/>
    <n v="59"/>
    <n v="21"/>
    <n v="16"/>
    <x v="23"/>
    <n v="24"/>
    <n v="-5"/>
    <n v="61"/>
    <n v="0"/>
    <n v="1"/>
    <n v="5"/>
  </r>
  <r>
    <x v="4703"/>
    <n v="-5"/>
    <n v="61"/>
    <n v="56"/>
    <n v="24"/>
    <n v="22"/>
    <x v="22"/>
    <n v="17"/>
    <n v="0"/>
    <n v="63"/>
    <n v="0"/>
    <n v="0"/>
    <n v="0"/>
  </r>
  <r>
    <x v="4704"/>
    <n v="0"/>
    <n v="63"/>
    <n v="63"/>
    <n v="17"/>
    <n v="18"/>
    <x v="33"/>
    <n v="18"/>
    <n v="0"/>
    <n v="62"/>
    <n v="0"/>
    <n v="0"/>
    <n v="0"/>
  </r>
  <r>
    <x v="4705"/>
    <n v="0"/>
    <n v="62"/>
    <n v="62"/>
    <n v="18"/>
    <n v="21"/>
    <x v="5"/>
    <n v="16"/>
    <n v="5"/>
    <n v="59"/>
    <n v="0.5"/>
    <n v="0"/>
    <n v="0"/>
  </r>
  <r>
    <x v="4706"/>
    <n v="5"/>
    <n v="59"/>
    <n v="64"/>
    <n v="16"/>
    <n v="24"/>
    <x v="9"/>
    <n v="18"/>
    <n v="11"/>
    <n v="51"/>
    <n v="1.1000000000000001"/>
    <n v="0"/>
    <n v="0"/>
  </r>
  <r>
    <x v="4707"/>
    <n v="11"/>
    <n v="51"/>
    <n v="62"/>
    <n v="18"/>
    <n v="17"/>
    <x v="25"/>
    <n v="21"/>
    <n v="7"/>
    <n v="52"/>
    <n v="0.70000000000000007"/>
    <n v="0"/>
    <n v="0"/>
  </r>
  <r>
    <x v="4708"/>
    <n v="7"/>
    <n v="52"/>
    <n v="59"/>
    <n v="21"/>
    <n v="18"/>
    <x v="27"/>
    <n v="20"/>
    <n v="5"/>
    <n v="55"/>
    <n v="0.5"/>
    <n v="0"/>
    <n v="0"/>
  </r>
  <r>
    <x v="4709"/>
    <n v="5"/>
    <n v="55"/>
    <n v="60"/>
    <n v="20"/>
    <n v="16"/>
    <x v="5"/>
    <n v="21"/>
    <n v="0"/>
    <n v="59"/>
    <n v="0"/>
    <n v="0"/>
    <n v="0"/>
  </r>
  <r>
    <x v="4710"/>
    <n v="0"/>
    <n v="59"/>
    <n v="59"/>
    <n v="21"/>
    <n v="18"/>
    <x v="33"/>
    <n v="17"/>
    <n v="1"/>
    <n v="62"/>
    <n v="0.1"/>
    <n v="0"/>
    <n v="0"/>
  </r>
  <r>
    <x v="4711"/>
    <n v="1"/>
    <n v="62"/>
    <n v="63"/>
    <n v="17"/>
    <n v="21"/>
    <x v="28"/>
    <n v="23"/>
    <n v="-1"/>
    <n v="58"/>
    <n v="0"/>
    <n v="1"/>
    <n v="1"/>
  </r>
  <r>
    <x v="4712"/>
    <n v="-1"/>
    <n v="58"/>
    <n v="57"/>
    <n v="23"/>
    <n v="20"/>
    <x v="23"/>
    <n v="26"/>
    <n v="-7"/>
    <n v="61"/>
    <n v="0"/>
    <n v="1"/>
    <n v="7"/>
  </r>
  <r>
    <x v="4713"/>
    <n v="-7"/>
    <n v="61"/>
    <n v="54"/>
    <n v="26"/>
    <n v="21"/>
    <x v="7"/>
    <n v="29"/>
    <n v="-15"/>
    <n v="66"/>
    <n v="0"/>
    <n v="1"/>
    <n v="15"/>
  </r>
  <r>
    <x v="4714"/>
    <n v="-15"/>
    <n v="66"/>
    <n v="51"/>
    <n v="29"/>
    <n v="17"/>
    <x v="35"/>
    <n v="18"/>
    <n v="-16"/>
    <n v="78"/>
    <n v="0"/>
    <n v="1"/>
    <n v="16"/>
  </r>
  <r>
    <x v="4715"/>
    <n v="-16"/>
    <n v="78"/>
    <n v="62"/>
    <n v="18"/>
    <n v="23"/>
    <x v="31"/>
    <n v="18"/>
    <n v="-11"/>
    <n v="73"/>
    <n v="0"/>
    <n v="1"/>
    <n v="11"/>
  </r>
  <r>
    <x v="4716"/>
    <n v="-11"/>
    <n v="73"/>
    <n v="62"/>
    <n v="18"/>
    <n v="26"/>
    <x v="26"/>
    <n v="28"/>
    <n v="-13"/>
    <n v="65"/>
    <n v="0"/>
    <n v="1"/>
    <n v="13"/>
  </r>
  <r>
    <x v="4717"/>
    <n v="-13"/>
    <n v="65"/>
    <n v="52"/>
    <n v="28"/>
    <n v="29"/>
    <x v="8"/>
    <n v="22"/>
    <n v="-6"/>
    <n v="64"/>
    <n v="0"/>
    <n v="1"/>
    <n v="6"/>
  </r>
  <r>
    <x v="4718"/>
    <n v="-6"/>
    <n v="64"/>
    <n v="58"/>
    <n v="22"/>
    <n v="18"/>
    <x v="17"/>
    <n v="22"/>
    <n v="-10"/>
    <n v="68"/>
    <n v="0"/>
    <n v="1"/>
    <n v="10"/>
  </r>
  <r>
    <x v="4719"/>
    <n v="-10"/>
    <n v="68"/>
    <n v="58"/>
    <n v="22"/>
    <n v="18"/>
    <x v="29"/>
    <n v="23"/>
    <n v="-15"/>
    <n v="72"/>
    <n v="0"/>
    <n v="1"/>
    <n v="15"/>
  </r>
  <r>
    <x v="4720"/>
    <n v="-15"/>
    <n v="72"/>
    <n v="57"/>
    <n v="23"/>
    <n v="28"/>
    <x v="21"/>
    <n v="21"/>
    <n v="-8"/>
    <n v="67"/>
    <n v="0"/>
    <n v="1"/>
    <n v="8"/>
  </r>
  <r>
    <x v="4721"/>
    <n v="-8"/>
    <n v="67"/>
    <n v="59"/>
    <n v="21"/>
    <n v="22"/>
    <x v="7"/>
    <n v="22"/>
    <n v="-8"/>
    <n v="66"/>
    <n v="0"/>
    <n v="1"/>
    <n v="8"/>
  </r>
  <r>
    <x v="4722"/>
    <n v="-8"/>
    <n v="66"/>
    <n v="58"/>
    <n v="22"/>
    <n v="22"/>
    <x v="7"/>
    <n v="22"/>
    <n v="-8"/>
    <n v="66"/>
    <n v="0"/>
    <n v="1"/>
    <n v="8"/>
  </r>
  <r>
    <x v="4723"/>
    <n v="-8"/>
    <n v="66"/>
    <n v="58"/>
    <n v="22"/>
    <n v="23"/>
    <x v="26"/>
    <n v="16"/>
    <n v="-1"/>
    <n v="65"/>
    <n v="0"/>
    <n v="1"/>
    <n v="1"/>
  </r>
  <r>
    <x v="4724"/>
    <n v="-1"/>
    <n v="65"/>
    <n v="64"/>
    <n v="16"/>
    <n v="21"/>
    <x v="4"/>
    <n v="18"/>
    <n v="2"/>
    <n v="60"/>
    <n v="0.2"/>
    <n v="0"/>
    <n v="0"/>
  </r>
  <r>
    <x v="4725"/>
    <n v="2"/>
    <n v="60"/>
    <n v="62"/>
    <n v="18"/>
    <n v="22"/>
    <x v="32"/>
    <n v="29"/>
    <n v="-5"/>
    <n v="56"/>
    <n v="0"/>
    <n v="1"/>
    <n v="5"/>
  </r>
  <r>
    <x v="4726"/>
    <n v="-5"/>
    <n v="56"/>
    <n v="51"/>
    <n v="29"/>
    <n v="22"/>
    <x v="22"/>
    <n v="15"/>
    <n v="2"/>
    <n v="63"/>
    <n v="0.2"/>
    <n v="0"/>
    <n v="0"/>
  </r>
  <r>
    <x v="4727"/>
    <n v="2"/>
    <n v="63"/>
    <n v="65"/>
    <n v="15"/>
    <n v="16"/>
    <x v="33"/>
    <n v="18"/>
    <n v="0"/>
    <n v="62"/>
    <n v="0"/>
    <n v="0"/>
    <n v="0"/>
  </r>
  <r>
    <x v="4728"/>
    <n v="0"/>
    <n v="62"/>
    <n v="62"/>
    <n v="18"/>
    <n v="18"/>
    <x v="33"/>
    <n v="24"/>
    <n v="-6"/>
    <n v="62"/>
    <n v="0"/>
    <n v="1"/>
    <n v="6"/>
  </r>
  <r>
    <x v="4729"/>
    <n v="-6"/>
    <n v="62"/>
    <n v="56"/>
    <n v="24"/>
    <n v="29"/>
    <x v="24"/>
    <n v="19"/>
    <n v="4"/>
    <n v="57"/>
    <n v="0.4"/>
    <n v="0"/>
    <n v="0"/>
  </r>
  <r>
    <x v="4730"/>
    <n v="4"/>
    <n v="57"/>
    <n v="61"/>
    <n v="19"/>
    <n v="15"/>
    <x v="23"/>
    <n v="20"/>
    <n v="-1"/>
    <n v="61"/>
    <n v="0"/>
    <n v="1"/>
    <n v="1"/>
  </r>
  <r>
    <x v="4731"/>
    <n v="-1"/>
    <n v="61"/>
    <n v="60"/>
    <n v="20"/>
    <n v="18"/>
    <x v="22"/>
    <n v="26"/>
    <n v="-9"/>
    <n v="63"/>
    <n v="0"/>
    <n v="1"/>
    <n v="9"/>
  </r>
  <r>
    <x v="4732"/>
    <n v="-9"/>
    <n v="63"/>
    <n v="54"/>
    <n v="26"/>
    <n v="24"/>
    <x v="26"/>
    <n v="17"/>
    <n v="-2"/>
    <n v="65"/>
    <n v="0"/>
    <n v="1"/>
    <n v="2"/>
  </r>
  <r>
    <x v="4733"/>
    <n v="-2"/>
    <n v="65"/>
    <n v="63"/>
    <n v="17"/>
    <n v="19"/>
    <x v="22"/>
    <n v="20"/>
    <n v="-3"/>
    <n v="63"/>
    <n v="0"/>
    <n v="1"/>
    <n v="3"/>
  </r>
  <r>
    <x v="4734"/>
    <n v="-3"/>
    <n v="63"/>
    <n v="60"/>
    <n v="20"/>
    <n v="20"/>
    <x v="22"/>
    <n v="18"/>
    <n v="-1"/>
    <n v="63"/>
    <n v="0"/>
    <n v="1"/>
    <n v="1"/>
  </r>
  <r>
    <x v="4735"/>
    <n v="-1"/>
    <n v="63"/>
    <n v="62"/>
    <n v="18"/>
    <n v="26"/>
    <x v="27"/>
    <n v="20"/>
    <n v="5"/>
    <n v="55"/>
    <n v="0.5"/>
    <n v="0"/>
    <n v="0"/>
  </r>
  <r>
    <x v="4736"/>
    <n v="5"/>
    <n v="55"/>
    <n v="60"/>
    <n v="20"/>
    <n v="17"/>
    <x v="28"/>
    <n v="30"/>
    <n v="-8"/>
    <n v="58"/>
    <n v="0"/>
    <n v="1"/>
    <n v="8"/>
  </r>
  <r>
    <x v="4737"/>
    <n v="-8"/>
    <n v="58"/>
    <n v="50"/>
    <n v="30"/>
    <n v="20"/>
    <x v="17"/>
    <n v="18"/>
    <n v="-6"/>
    <n v="68"/>
    <n v="0"/>
    <n v="1"/>
    <n v="6"/>
  </r>
  <r>
    <x v="4738"/>
    <n v="-6"/>
    <n v="68"/>
    <n v="62"/>
    <n v="18"/>
    <n v="18"/>
    <x v="17"/>
    <n v="25"/>
    <n v="-13"/>
    <n v="68"/>
    <n v="0"/>
    <n v="1"/>
    <n v="13"/>
  </r>
  <r>
    <x v="4739"/>
    <n v="-13"/>
    <n v="68"/>
    <n v="55"/>
    <n v="25"/>
    <n v="20"/>
    <x v="31"/>
    <n v="24"/>
    <n v="-17"/>
    <n v="73"/>
    <n v="0"/>
    <n v="1"/>
    <n v="17"/>
  </r>
  <r>
    <x v="4740"/>
    <n v="-17"/>
    <n v="73"/>
    <n v="56"/>
    <n v="24"/>
    <n v="30"/>
    <x v="21"/>
    <n v="20"/>
    <n v="-7"/>
    <n v="67"/>
    <n v="0"/>
    <n v="1"/>
    <n v="7"/>
  </r>
  <r>
    <x v="4741"/>
    <n v="-7"/>
    <n v="67"/>
    <n v="60"/>
    <n v="20"/>
    <n v="18"/>
    <x v="30"/>
    <n v="20"/>
    <n v="-9"/>
    <n v="69"/>
    <n v="0"/>
    <n v="1"/>
    <n v="9"/>
  </r>
  <r>
    <x v="4742"/>
    <n v="-9"/>
    <n v="69"/>
    <n v="60"/>
    <n v="20"/>
    <n v="25"/>
    <x v="8"/>
    <n v="19"/>
    <n v="-3"/>
    <n v="64"/>
    <n v="0"/>
    <n v="1"/>
    <n v="3"/>
  </r>
  <r>
    <x v="4743"/>
    <n v="-3"/>
    <n v="64"/>
    <n v="61"/>
    <n v="19"/>
    <n v="24"/>
    <x v="5"/>
    <n v="18"/>
    <n v="3"/>
    <n v="59"/>
    <n v="0.30000000000000004"/>
    <n v="0"/>
    <n v="0"/>
  </r>
  <r>
    <x v="4744"/>
    <n v="3"/>
    <n v="59"/>
    <n v="62"/>
    <n v="18"/>
    <n v="20"/>
    <x v="24"/>
    <n v="20"/>
    <n v="3"/>
    <n v="57"/>
    <n v="0.30000000000000004"/>
    <n v="0"/>
    <n v="0"/>
  </r>
  <r>
    <x v="4745"/>
    <n v="3"/>
    <n v="57"/>
    <n v="60"/>
    <n v="20"/>
    <n v="20"/>
    <x v="24"/>
    <n v="30"/>
    <n v="-7"/>
    <n v="57"/>
    <n v="0"/>
    <n v="1"/>
    <n v="7"/>
  </r>
  <r>
    <x v="4746"/>
    <n v="-7"/>
    <n v="57"/>
    <n v="50"/>
    <n v="30"/>
    <n v="19"/>
    <x v="17"/>
    <n v="20"/>
    <n v="-8"/>
    <n v="68"/>
    <n v="0"/>
    <n v="1"/>
    <n v="8"/>
  </r>
  <r>
    <x v="4747"/>
    <n v="-8"/>
    <n v="68"/>
    <n v="60"/>
    <n v="20"/>
    <n v="18"/>
    <x v="6"/>
    <n v="14"/>
    <n v="-4"/>
    <n v="70"/>
    <n v="0"/>
    <n v="1"/>
    <n v="4"/>
  </r>
  <r>
    <x v="4748"/>
    <n v="-4"/>
    <n v="70"/>
    <n v="66"/>
    <n v="14"/>
    <n v="20"/>
    <x v="8"/>
    <n v="20"/>
    <n v="-4"/>
    <n v="64"/>
    <n v="0"/>
    <n v="1"/>
    <n v="4"/>
  </r>
  <r>
    <x v="4749"/>
    <n v="-4"/>
    <n v="64"/>
    <n v="60"/>
    <n v="20"/>
    <n v="30"/>
    <x v="16"/>
    <n v="16"/>
    <n v="10"/>
    <n v="54"/>
    <n v="1"/>
    <n v="0"/>
    <n v="0"/>
  </r>
  <r>
    <x v="4750"/>
    <n v="10"/>
    <n v="54"/>
    <n v="64"/>
    <n v="16"/>
    <n v="20"/>
    <x v="13"/>
    <n v="15"/>
    <n v="15"/>
    <n v="50"/>
    <n v="1.5"/>
    <n v="0"/>
    <n v="0"/>
  </r>
  <r>
    <x v="4751"/>
    <n v="15"/>
    <n v="50"/>
    <n v="65"/>
    <n v="15"/>
    <n v="14"/>
    <x v="9"/>
    <n v="19"/>
    <n v="10"/>
    <n v="51"/>
    <n v="1"/>
    <n v="0"/>
    <n v="0"/>
  </r>
  <r>
    <x v="4752"/>
    <n v="10"/>
    <n v="51"/>
    <n v="61"/>
    <n v="19"/>
    <n v="20"/>
    <x v="13"/>
    <n v="18"/>
    <n v="12"/>
    <n v="50"/>
    <n v="1.2000000000000002"/>
    <n v="0"/>
    <n v="0"/>
  </r>
  <r>
    <x v="4753"/>
    <n v="12"/>
    <n v="50"/>
    <n v="62"/>
    <n v="18"/>
    <n v="16"/>
    <x v="25"/>
    <n v="21"/>
    <n v="7"/>
    <n v="52"/>
    <n v="0.70000000000000007"/>
    <n v="0"/>
    <n v="0"/>
  </r>
  <r>
    <x v="4754"/>
    <n v="7"/>
    <n v="52"/>
    <n v="59"/>
    <n v="21"/>
    <n v="15"/>
    <x v="28"/>
    <n v="25"/>
    <n v="-3"/>
    <n v="58"/>
    <n v="0"/>
    <n v="1"/>
    <n v="3"/>
  </r>
  <r>
    <x v="4755"/>
    <n v="-3"/>
    <n v="58"/>
    <n v="55"/>
    <n v="25"/>
    <n v="19"/>
    <x v="8"/>
    <n v="18"/>
    <n v="-2"/>
    <n v="64"/>
    <n v="0"/>
    <n v="1"/>
    <n v="2"/>
  </r>
  <r>
    <x v="4756"/>
    <n v="-2"/>
    <n v="64"/>
    <n v="62"/>
    <n v="18"/>
    <n v="18"/>
    <x v="8"/>
    <n v="31"/>
    <n v="-15"/>
    <n v="64"/>
    <n v="0"/>
    <n v="1"/>
    <n v="15"/>
  </r>
  <r>
    <x v="4757"/>
    <n v="-15"/>
    <n v="64"/>
    <n v="49"/>
    <n v="31"/>
    <n v="21"/>
    <x v="39"/>
    <n v="25"/>
    <n v="-19"/>
    <n v="74"/>
    <n v="0"/>
    <n v="1"/>
    <n v="19"/>
  </r>
  <r>
    <x v="4758"/>
    <n v="-19"/>
    <n v="74"/>
    <n v="55"/>
    <n v="25"/>
    <n v="25"/>
    <x v="39"/>
    <n v="20"/>
    <n v="-14"/>
    <n v="74"/>
    <n v="0"/>
    <n v="1"/>
    <n v="14"/>
  </r>
  <r>
    <x v="4759"/>
    <n v="-14"/>
    <n v="74"/>
    <n v="60"/>
    <n v="20"/>
    <n v="18"/>
    <x v="37"/>
    <n v="16"/>
    <n v="-12"/>
    <n v="76"/>
    <n v="0"/>
    <n v="1"/>
    <n v="12"/>
  </r>
  <r>
    <x v="4760"/>
    <n v="-12"/>
    <n v="76"/>
    <n v="64"/>
    <n v="16"/>
    <n v="31"/>
    <x v="23"/>
    <n v="24"/>
    <n v="-5"/>
    <n v="61"/>
    <n v="0"/>
    <n v="1"/>
    <n v="5"/>
  </r>
  <r>
    <x v="4761"/>
    <n v="-5"/>
    <n v="61"/>
    <n v="56"/>
    <n v="24"/>
    <n v="25"/>
    <x v="4"/>
    <n v="21"/>
    <n v="-1"/>
    <n v="60"/>
    <n v="0"/>
    <n v="1"/>
    <n v="1"/>
  </r>
  <r>
    <x v="4762"/>
    <n v="-1"/>
    <n v="60"/>
    <n v="59"/>
    <n v="21"/>
    <n v="20"/>
    <x v="23"/>
    <n v="24"/>
    <n v="-5"/>
    <n v="61"/>
    <n v="0"/>
    <n v="1"/>
    <n v="5"/>
  </r>
  <r>
    <x v="4763"/>
    <n v="-5"/>
    <n v="61"/>
    <n v="56"/>
    <n v="24"/>
    <n v="16"/>
    <x v="30"/>
    <n v="19"/>
    <n v="-8"/>
    <n v="69"/>
    <n v="0"/>
    <n v="1"/>
    <n v="8"/>
  </r>
  <r>
    <x v="4764"/>
    <n v="-8"/>
    <n v="69"/>
    <n v="61"/>
    <n v="19"/>
    <n v="24"/>
    <x v="8"/>
    <n v="17"/>
    <n v="-1"/>
    <n v="64"/>
    <n v="0"/>
    <n v="1"/>
    <n v="1"/>
  </r>
  <r>
    <x v="4765"/>
    <n v="-1"/>
    <n v="64"/>
    <n v="63"/>
    <n v="17"/>
    <n v="21"/>
    <x v="4"/>
    <n v="20"/>
    <n v="0"/>
    <n v="60"/>
    <n v="0"/>
    <n v="0"/>
    <n v="0"/>
  </r>
  <r>
    <x v="4766"/>
    <n v="0"/>
    <n v="60"/>
    <n v="60"/>
    <n v="20"/>
    <n v="24"/>
    <x v="32"/>
    <n v="29"/>
    <n v="-5"/>
    <n v="56"/>
    <n v="0"/>
    <n v="1"/>
    <n v="5"/>
  </r>
  <r>
    <x v="4767"/>
    <n v="-5"/>
    <n v="56"/>
    <n v="51"/>
    <n v="29"/>
    <n v="19"/>
    <x v="7"/>
    <n v="16"/>
    <n v="-2"/>
    <n v="66"/>
    <n v="0"/>
    <n v="1"/>
    <n v="2"/>
  </r>
  <r>
    <x v="4768"/>
    <n v="-2"/>
    <n v="66"/>
    <n v="64"/>
    <n v="16"/>
    <n v="17"/>
    <x v="26"/>
    <n v="24"/>
    <n v="-9"/>
    <n v="65"/>
    <n v="0"/>
    <n v="1"/>
    <n v="9"/>
  </r>
  <r>
    <x v="4769"/>
    <n v="-9"/>
    <n v="65"/>
    <n v="56"/>
    <n v="24"/>
    <n v="20"/>
    <x v="30"/>
    <n v="12"/>
    <n v="-1"/>
    <n v="69"/>
    <n v="0"/>
    <n v="1"/>
    <n v="1"/>
  </r>
  <r>
    <x v="4770"/>
    <n v="-1"/>
    <n v="69"/>
    <n v="68"/>
    <n v="12"/>
    <n v="29"/>
    <x v="25"/>
    <n v="20"/>
    <n v="8"/>
    <n v="52"/>
    <n v="0.8"/>
    <n v="0"/>
    <n v="0"/>
  </r>
  <r>
    <x v="4771"/>
    <n v="8"/>
    <n v="52"/>
    <n v="60"/>
    <n v="20"/>
    <n v="16"/>
    <x v="32"/>
    <n v="27"/>
    <n v="-3"/>
    <n v="56"/>
    <n v="0"/>
    <n v="1"/>
    <n v="3"/>
  </r>
  <r>
    <x v="4772"/>
    <n v="-3"/>
    <n v="56"/>
    <n v="53"/>
    <n v="27"/>
    <n v="24"/>
    <x v="5"/>
    <n v="13"/>
    <n v="8"/>
    <n v="59"/>
    <n v="0.8"/>
    <n v="0"/>
    <n v="0"/>
  </r>
  <r>
    <x v="4773"/>
    <n v="8"/>
    <n v="59"/>
    <n v="67"/>
    <n v="13"/>
    <n v="12"/>
    <x v="4"/>
    <n v="19"/>
    <n v="1"/>
    <n v="60"/>
    <n v="0.1"/>
    <n v="0"/>
    <n v="0"/>
  </r>
  <r>
    <x v="4774"/>
    <n v="1"/>
    <n v="60"/>
    <n v="61"/>
    <n v="19"/>
    <n v="20"/>
    <x v="5"/>
    <n v="17"/>
    <n v="4"/>
    <n v="59"/>
    <n v="0.4"/>
    <n v="0"/>
    <n v="0"/>
  </r>
  <r>
    <x v="4775"/>
    <n v="4"/>
    <n v="59"/>
    <n v="63"/>
    <n v="17"/>
    <n v="27"/>
    <x v="10"/>
    <n v="22"/>
    <n v="9"/>
    <n v="49"/>
    <n v="0.9"/>
    <n v="0"/>
    <n v="0"/>
  </r>
  <r>
    <x v="4776"/>
    <n v="9"/>
    <n v="49"/>
    <n v="58"/>
    <n v="22"/>
    <n v="13"/>
    <x v="28"/>
    <n v="25"/>
    <n v="-3"/>
    <n v="58"/>
    <n v="0"/>
    <n v="1"/>
    <n v="3"/>
  </r>
  <r>
    <x v="4777"/>
    <n v="-3"/>
    <n v="58"/>
    <n v="55"/>
    <n v="25"/>
    <n v="19"/>
    <x v="8"/>
    <n v="26"/>
    <n v="-10"/>
    <n v="64"/>
    <n v="0"/>
    <n v="1"/>
    <n v="10"/>
  </r>
  <r>
    <x v="4778"/>
    <n v="-10"/>
    <n v="64"/>
    <n v="54"/>
    <n v="26"/>
    <n v="17"/>
    <x v="31"/>
    <n v="19"/>
    <n v="-12"/>
    <n v="73"/>
    <n v="0"/>
    <n v="1"/>
    <n v="12"/>
  </r>
  <r>
    <x v="4779"/>
    <n v="-12"/>
    <n v="73"/>
    <n v="61"/>
    <n v="19"/>
    <n v="22"/>
    <x v="6"/>
    <n v="20"/>
    <n v="-10"/>
    <n v="70"/>
    <n v="0"/>
    <n v="1"/>
    <n v="10"/>
  </r>
  <r>
    <x v="4780"/>
    <n v="-10"/>
    <n v="70"/>
    <n v="60"/>
    <n v="20"/>
    <n v="25"/>
    <x v="26"/>
    <n v="19"/>
    <n v="-4"/>
    <n v="65"/>
    <n v="0"/>
    <n v="1"/>
    <n v="4"/>
  </r>
  <r>
    <x v="4781"/>
    <n v="-4"/>
    <n v="65"/>
    <n v="61"/>
    <n v="19"/>
    <n v="26"/>
    <x v="28"/>
    <n v="17"/>
    <n v="5"/>
    <n v="58"/>
    <n v="0.5"/>
    <n v="0"/>
    <n v="0"/>
  </r>
  <r>
    <x v="4782"/>
    <n v="5"/>
    <n v="58"/>
    <n v="63"/>
    <n v="17"/>
    <n v="19"/>
    <x v="32"/>
    <n v="20"/>
    <n v="4"/>
    <n v="56"/>
    <n v="0.4"/>
    <n v="0"/>
    <n v="0"/>
  </r>
  <r>
    <x v="4783"/>
    <n v="4"/>
    <n v="56"/>
    <n v="60"/>
    <n v="20"/>
    <n v="20"/>
    <x v="32"/>
    <n v="18"/>
    <n v="6"/>
    <n v="56"/>
    <n v="0.60000000000000009"/>
    <n v="0"/>
    <n v="0"/>
  </r>
  <r>
    <x v="4784"/>
    <n v="6"/>
    <n v="56"/>
    <n v="62"/>
    <n v="18"/>
    <n v="19"/>
    <x v="27"/>
    <n v="19"/>
    <n v="6"/>
    <n v="55"/>
    <n v="0.60000000000000009"/>
    <n v="0"/>
    <n v="0"/>
  </r>
  <r>
    <x v="4785"/>
    <n v="6"/>
    <n v="55"/>
    <n v="61"/>
    <n v="19"/>
    <n v="17"/>
    <x v="24"/>
    <n v="18"/>
    <n v="5"/>
    <n v="57"/>
    <n v="0.5"/>
    <n v="0"/>
    <n v="0"/>
  </r>
  <r>
    <x v="4786"/>
    <n v="5"/>
    <n v="57"/>
    <n v="62"/>
    <n v="18"/>
    <n v="20"/>
    <x v="27"/>
    <n v="21"/>
    <n v="4"/>
    <n v="55"/>
    <n v="0.4"/>
    <n v="0"/>
    <n v="0"/>
  </r>
  <r>
    <x v="4787"/>
    <n v="4"/>
    <n v="55"/>
    <n v="59"/>
    <n v="21"/>
    <n v="18"/>
    <x v="28"/>
    <n v="17"/>
    <n v="5"/>
    <n v="58"/>
    <n v="0.5"/>
    <n v="0"/>
    <n v="0"/>
  </r>
  <r>
    <x v="4788"/>
    <n v="5"/>
    <n v="58"/>
    <n v="63"/>
    <n v="17"/>
    <n v="19"/>
    <x v="32"/>
    <n v="20"/>
    <n v="4"/>
    <n v="56"/>
    <n v="0.4"/>
    <n v="0"/>
    <n v="0"/>
  </r>
  <r>
    <x v="4789"/>
    <n v="4"/>
    <n v="56"/>
    <n v="60"/>
    <n v="20"/>
    <n v="18"/>
    <x v="28"/>
    <n v="34"/>
    <n v="-12"/>
    <n v="58"/>
    <n v="0"/>
    <n v="1"/>
    <n v="12"/>
  </r>
  <r>
    <x v="4790"/>
    <n v="-12"/>
    <n v="58"/>
    <n v="46"/>
    <n v="34"/>
    <n v="21"/>
    <x v="20"/>
    <n v="14"/>
    <n v="-5"/>
    <n v="71"/>
    <n v="0"/>
    <n v="1"/>
    <n v="5"/>
  </r>
  <r>
    <x v="4791"/>
    <n v="-5"/>
    <n v="71"/>
    <n v="66"/>
    <n v="14"/>
    <n v="17"/>
    <x v="17"/>
    <n v="25"/>
    <n v="-13"/>
    <n v="68"/>
    <n v="0"/>
    <n v="1"/>
    <n v="13"/>
  </r>
  <r>
    <x v="4792"/>
    <n v="-13"/>
    <n v="68"/>
    <n v="55"/>
    <n v="25"/>
    <n v="20"/>
    <x v="31"/>
    <n v="24"/>
    <n v="-17"/>
    <n v="73"/>
    <n v="0"/>
    <n v="1"/>
    <n v="17"/>
  </r>
  <r>
    <x v="4793"/>
    <n v="-17"/>
    <n v="73"/>
    <n v="56"/>
    <n v="24"/>
    <n v="34"/>
    <x v="22"/>
    <n v="18"/>
    <n v="-1"/>
    <n v="63"/>
    <n v="0"/>
    <n v="1"/>
    <n v="1"/>
  </r>
  <r>
    <x v="4794"/>
    <n v="-1"/>
    <n v="63"/>
    <n v="62"/>
    <n v="18"/>
    <n v="14"/>
    <x v="21"/>
    <n v="16"/>
    <n v="-3"/>
    <n v="67"/>
    <n v="0"/>
    <n v="1"/>
    <n v="3"/>
  </r>
  <r>
    <x v="4795"/>
    <n v="-3"/>
    <n v="67"/>
    <n v="64"/>
    <n v="16"/>
    <n v="25"/>
    <x v="28"/>
    <n v="16"/>
    <n v="6"/>
    <n v="58"/>
    <n v="0.60000000000000009"/>
    <n v="0"/>
    <n v="0"/>
  </r>
  <r>
    <x v="4796"/>
    <n v="6"/>
    <n v="58"/>
    <n v="64"/>
    <n v="16"/>
    <n v="24"/>
    <x v="13"/>
    <n v="18"/>
    <n v="12"/>
    <n v="50"/>
    <n v="1.2000000000000002"/>
    <n v="0"/>
    <n v="0"/>
  </r>
  <r>
    <x v="4797"/>
    <n v="12"/>
    <n v="50"/>
    <n v="62"/>
    <n v="18"/>
    <n v="18"/>
    <x v="13"/>
    <n v="9"/>
    <n v="21"/>
    <n v="50"/>
    <n v="2.1"/>
    <n v="0"/>
    <n v="0"/>
  </r>
  <r>
    <x v="4798"/>
    <n v="21"/>
    <n v="50"/>
    <n v="71"/>
    <n v="9"/>
    <n v="16"/>
    <x v="51"/>
    <n v="27"/>
    <n v="10"/>
    <n v="43"/>
    <n v="1"/>
    <n v="0"/>
    <n v="0"/>
  </r>
  <r>
    <x v="4799"/>
    <n v="10"/>
    <n v="43"/>
    <n v="53"/>
    <n v="27"/>
    <n v="16"/>
    <x v="16"/>
    <n v="16"/>
    <n v="10"/>
    <n v="54"/>
    <n v="1"/>
    <n v="0"/>
    <n v="0"/>
  </r>
  <r>
    <x v="4800"/>
    <n v="10"/>
    <n v="54"/>
    <n v="64"/>
    <n v="16"/>
    <n v="18"/>
    <x v="25"/>
    <n v="25"/>
    <n v="3"/>
    <n v="52"/>
    <n v="0.30000000000000004"/>
    <n v="0"/>
    <n v="0"/>
  </r>
  <r>
    <x v="4801"/>
    <n v="3"/>
    <n v="52"/>
    <n v="55"/>
    <n v="25"/>
    <n v="9"/>
    <x v="17"/>
    <n v="24"/>
    <n v="-12"/>
    <n v="68"/>
    <n v="0"/>
    <n v="1"/>
    <n v="12"/>
  </r>
  <r>
    <x v="4802"/>
    <n v="-12"/>
    <n v="68"/>
    <n v="56"/>
    <n v="24"/>
    <n v="27"/>
    <x v="26"/>
    <n v="24"/>
    <n v="-9"/>
    <n v="65"/>
    <n v="0"/>
    <n v="1"/>
    <n v="9"/>
  </r>
  <r>
    <x v="4803"/>
    <n v="-9"/>
    <n v="65"/>
    <n v="56"/>
    <n v="24"/>
    <n v="16"/>
    <x v="31"/>
    <n v="17"/>
    <n v="-10"/>
    <n v="73"/>
    <n v="0"/>
    <n v="1"/>
    <n v="10"/>
  </r>
  <r>
    <x v="4804"/>
    <n v="-10"/>
    <n v="73"/>
    <n v="63"/>
    <n v="17"/>
    <n v="25"/>
    <x v="26"/>
    <n v="15"/>
    <n v="0"/>
    <n v="65"/>
    <n v="0"/>
    <n v="0"/>
    <n v="0"/>
  </r>
  <r>
    <x v="4805"/>
    <n v="0"/>
    <n v="65"/>
    <n v="65"/>
    <n v="15"/>
    <n v="24"/>
    <x v="32"/>
    <n v="20"/>
    <n v="4"/>
    <n v="56"/>
    <n v="0.4"/>
    <n v="0"/>
    <n v="0"/>
  </r>
  <r>
    <x v="4806"/>
    <n v="4"/>
    <n v="56"/>
    <n v="60"/>
    <n v="20"/>
    <n v="24"/>
    <x v="25"/>
    <n v="21"/>
    <n v="7"/>
    <n v="52"/>
    <n v="0.70000000000000007"/>
    <n v="0"/>
    <n v="0"/>
  </r>
  <r>
    <x v="4807"/>
    <n v="7"/>
    <n v="52"/>
    <n v="59"/>
    <n v="21"/>
    <n v="17"/>
    <x v="32"/>
    <n v="16"/>
    <n v="8"/>
    <n v="56"/>
    <n v="0.8"/>
    <n v="0"/>
    <n v="0"/>
  </r>
  <r>
    <x v="4808"/>
    <n v="8"/>
    <n v="56"/>
    <n v="64"/>
    <n v="16"/>
    <n v="15"/>
    <x v="24"/>
    <n v="14"/>
    <n v="9"/>
    <n v="57"/>
    <n v="0.9"/>
    <n v="0"/>
    <n v="0"/>
  </r>
  <r>
    <x v="4809"/>
    <n v="9"/>
    <n v="57"/>
    <n v="66"/>
    <n v="14"/>
    <n v="20"/>
    <x v="9"/>
    <n v="20"/>
    <n v="9"/>
    <n v="51"/>
    <n v="0.9"/>
    <n v="0"/>
    <n v="0"/>
  </r>
  <r>
    <x v="4810"/>
    <n v="9"/>
    <n v="51"/>
    <n v="60"/>
    <n v="20"/>
    <n v="21"/>
    <x v="13"/>
    <n v="31"/>
    <n v="-1"/>
    <n v="50"/>
    <n v="0"/>
    <n v="1"/>
    <n v="1"/>
  </r>
  <r>
    <x v="4811"/>
    <n v="-1"/>
    <n v="50"/>
    <n v="49"/>
    <n v="31"/>
    <n v="16"/>
    <x v="26"/>
    <n v="21"/>
    <n v="-6"/>
    <n v="65"/>
    <n v="0"/>
    <n v="1"/>
    <n v="6"/>
  </r>
  <r>
    <x v="4812"/>
    <n v="-6"/>
    <n v="65"/>
    <n v="59"/>
    <n v="21"/>
    <n v="14"/>
    <x v="29"/>
    <n v="24"/>
    <n v="-16"/>
    <n v="72"/>
    <n v="0"/>
    <n v="1"/>
    <n v="16"/>
  </r>
  <r>
    <x v="4813"/>
    <n v="-16"/>
    <n v="72"/>
    <n v="56"/>
    <n v="24"/>
    <n v="20"/>
    <x v="37"/>
    <n v="25"/>
    <n v="-21"/>
    <n v="76"/>
    <n v="0"/>
    <n v="1"/>
    <n v="21"/>
  </r>
  <r>
    <x v="4814"/>
    <n v="-21"/>
    <n v="76"/>
    <n v="55"/>
    <n v="25"/>
    <n v="31"/>
    <x v="6"/>
    <n v="13"/>
    <n v="-3"/>
    <n v="70"/>
    <n v="0"/>
    <n v="1"/>
    <n v="3"/>
  </r>
  <r>
    <x v="4815"/>
    <n v="-3"/>
    <n v="70"/>
    <n v="67"/>
    <n v="13"/>
    <n v="21"/>
    <x v="33"/>
    <n v="20"/>
    <n v="-2"/>
    <n v="62"/>
    <n v="0"/>
    <n v="1"/>
    <n v="2"/>
  </r>
  <r>
    <x v="4816"/>
    <n v="-2"/>
    <n v="62"/>
    <n v="60"/>
    <n v="20"/>
    <n v="24"/>
    <x v="28"/>
    <n v="18"/>
    <n v="4"/>
    <n v="58"/>
    <n v="0.4"/>
    <n v="0"/>
    <n v="0"/>
  </r>
  <r>
    <x v="4817"/>
    <n v="4"/>
    <n v="58"/>
    <n v="62"/>
    <n v="18"/>
    <n v="25"/>
    <x v="9"/>
    <n v="12"/>
    <n v="17"/>
    <n v="51"/>
    <n v="1.7000000000000002"/>
    <n v="0"/>
    <n v="0"/>
  </r>
  <r>
    <x v="4818"/>
    <n v="17"/>
    <n v="51"/>
    <n v="68"/>
    <n v="12"/>
    <n v="13"/>
    <x v="13"/>
    <n v="19"/>
    <n v="11"/>
    <n v="50"/>
    <n v="1.1000000000000001"/>
    <n v="0"/>
    <n v="0"/>
  </r>
  <r>
    <x v="4819"/>
    <n v="11"/>
    <n v="50"/>
    <n v="61"/>
    <n v="19"/>
    <n v="20"/>
    <x v="10"/>
    <n v="15"/>
    <n v="16"/>
    <n v="49"/>
    <n v="1.6"/>
    <n v="0"/>
    <n v="0"/>
  </r>
  <r>
    <x v="4820"/>
    <n v="16"/>
    <n v="49"/>
    <n v="65"/>
    <n v="15"/>
    <n v="18"/>
    <x v="38"/>
    <n v="15"/>
    <n v="19"/>
    <n v="46"/>
    <n v="1.9000000000000001"/>
    <n v="0"/>
    <n v="0"/>
  </r>
  <r>
    <x v="4821"/>
    <n v="19"/>
    <n v="46"/>
    <n v="65"/>
    <n v="15"/>
    <n v="12"/>
    <x v="10"/>
    <n v="15"/>
    <n v="16"/>
    <n v="49"/>
    <n v="1.6"/>
    <n v="0"/>
    <n v="0"/>
  </r>
  <r>
    <x v="4822"/>
    <n v="16"/>
    <n v="49"/>
    <n v="65"/>
    <n v="15"/>
    <n v="19"/>
    <x v="11"/>
    <n v="16"/>
    <n v="19"/>
    <n v="45"/>
    <n v="1.9000000000000001"/>
    <n v="0"/>
    <n v="0"/>
  </r>
  <r>
    <x v="4823"/>
    <n v="19"/>
    <n v="45"/>
    <n v="64"/>
    <n v="16"/>
    <n v="15"/>
    <x v="38"/>
    <n v="27"/>
    <n v="7"/>
    <n v="46"/>
    <n v="0.70000000000000007"/>
    <n v="0"/>
    <n v="0"/>
  </r>
  <r>
    <x v="4824"/>
    <n v="7"/>
    <n v="46"/>
    <n v="53"/>
    <n v="27"/>
    <n v="15"/>
    <x v="28"/>
    <n v="18"/>
    <n v="4"/>
    <n v="58"/>
    <n v="0.4"/>
    <n v="0"/>
    <n v="0"/>
  </r>
  <r>
    <x v="4825"/>
    <n v="4"/>
    <n v="58"/>
    <n v="62"/>
    <n v="18"/>
    <n v="15"/>
    <x v="23"/>
    <n v="20"/>
    <n v="-1"/>
    <n v="61"/>
    <n v="0"/>
    <n v="1"/>
    <n v="1"/>
  </r>
  <r>
    <x v="4826"/>
    <n v="-1"/>
    <n v="61"/>
    <n v="60"/>
    <n v="20"/>
    <n v="16"/>
    <x v="26"/>
    <n v="10"/>
    <n v="5"/>
    <n v="65"/>
    <n v="0.5"/>
    <n v="0"/>
    <n v="0"/>
  </r>
  <r>
    <x v="4827"/>
    <n v="5"/>
    <n v="65"/>
    <n v="70"/>
    <n v="10"/>
    <n v="27"/>
    <x v="15"/>
    <n v="24"/>
    <n v="8"/>
    <n v="48"/>
    <n v="0.8"/>
    <n v="0"/>
    <n v="0"/>
  </r>
  <r>
    <x v="4828"/>
    <n v="8"/>
    <n v="48"/>
    <n v="56"/>
    <n v="24"/>
    <n v="18"/>
    <x v="16"/>
    <n v="24"/>
    <n v="2"/>
    <n v="54"/>
    <n v="0.2"/>
    <n v="0"/>
    <n v="0"/>
  </r>
  <r>
    <x v="4829"/>
    <n v="2"/>
    <n v="54"/>
    <n v="56"/>
    <n v="24"/>
    <n v="20"/>
    <x v="28"/>
    <n v="21"/>
    <n v="1"/>
    <n v="58"/>
    <n v="0.1"/>
    <n v="0"/>
    <n v="0"/>
  </r>
  <r>
    <x v="4830"/>
    <n v="1"/>
    <n v="58"/>
    <n v="59"/>
    <n v="21"/>
    <n v="10"/>
    <x v="30"/>
    <n v="20"/>
    <n v="-9"/>
    <n v="69"/>
    <n v="0"/>
    <n v="1"/>
    <n v="9"/>
  </r>
  <r>
    <x v="4831"/>
    <n v="-9"/>
    <n v="69"/>
    <n v="60"/>
    <n v="20"/>
    <n v="24"/>
    <x v="26"/>
    <n v="21"/>
    <n v="-6"/>
    <n v="65"/>
    <n v="0"/>
    <n v="1"/>
    <n v="6"/>
  </r>
  <r>
    <x v="4832"/>
    <n v="-6"/>
    <n v="65"/>
    <n v="59"/>
    <n v="21"/>
    <n v="24"/>
    <x v="33"/>
    <n v="20"/>
    <n v="-2"/>
    <n v="62"/>
    <n v="0"/>
    <n v="1"/>
    <n v="2"/>
  </r>
  <r>
    <x v="4833"/>
    <n v="-2"/>
    <n v="62"/>
    <n v="60"/>
    <n v="20"/>
    <n v="21"/>
    <x v="23"/>
    <n v="19"/>
    <n v="0"/>
    <n v="61"/>
    <n v="0"/>
    <n v="0"/>
    <n v="0"/>
  </r>
  <r>
    <x v="4834"/>
    <n v="0"/>
    <n v="61"/>
    <n v="61"/>
    <n v="19"/>
    <n v="20"/>
    <x v="4"/>
    <n v="19"/>
    <n v="1"/>
    <n v="60"/>
    <n v="0.1"/>
    <n v="0"/>
    <n v="0"/>
  </r>
  <r>
    <x v="4835"/>
    <n v="1"/>
    <n v="60"/>
    <n v="61"/>
    <n v="19"/>
    <n v="21"/>
    <x v="28"/>
    <n v="22"/>
    <n v="0"/>
    <n v="58"/>
    <n v="0"/>
    <n v="0"/>
    <n v="0"/>
  </r>
  <r>
    <x v="4836"/>
    <n v="0"/>
    <n v="58"/>
    <n v="58"/>
    <n v="22"/>
    <n v="20"/>
    <x v="4"/>
    <n v="21"/>
    <n v="-1"/>
    <n v="60"/>
    <n v="0"/>
    <n v="1"/>
    <n v="1"/>
  </r>
  <r>
    <x v="4837"/>
    <n v="-1"/>
    <n v="60"/>
    <n v="59"/>
    <n v="21"/>
    <n v="19"/>
    <x v="33"/>
    <n v="13"/>
    <n v="5"/>
    <n v="62"/>
    <n v="0.5"/>
    <n v="0"/>
    <n v="0"/>
  </r>
  <r>
    <x v="4838"/>
    <n v="5"/>
    <n v="62"/>
    <n v="67"/>
    <n v="13"/>
    <n v="19"/>
    <x v="32"/>
    <n v="17"/>
    <n v="7"/>
    <n v="56"/>
    <n v="0.70000000000000007"/>
    <n v="0"/>
    <n v="0"/>
  </r>
  <r>
    <x v="4839"/>
    <n v="7"/>
    <n v="56"/>
    <n v="63"/>
    <n v="17"/>
    <n v="22"/>
    <x v="9"/>
    <n v="21"/>
    <n v="8"/>
    <n v="51"/>
    <n v="0.8"/>
    <n v="0"/>
    <n v="0"/>
  </r>
  <r>
    <x v="4840"/>
    <n v="8"/>
    <n v="51"/>
    <n v="59"/>
    <n v="21"/>
    <n v="21"/>
    <x v="9"/>
    <n v="25"/>
    <n v="4"/>
    <n v="51"/>
    <n v="0.4"/>
    <n v="0"/>
    <n v="0"/>
  </r>
  <r>
    <x v="4841"/>
    <n v="4"/>
    <n v="51"/>
    <n v="55"/>
    <n v="25"/>
    <n v="13"/>
    <x v="22"/>
    <n v="14"/>
    <n v="3"/>
    <n v="63"/>
    <n v="0.30000000000000004"/>
    <n v="0"/>
    <n v="0"/>
  </r>
  <r>
    <x v="4842"/>
    <n v="3"/>
    <n v="63"/>
    <n v="66"/>
    <n v="14"/>
    <n v="17"/>
    <x v="4"/>
    <n v="24"/>
    <n v="-4"/>
    <n v="60"/>
    <n v="0"/>
    <n v="1"/>
    <n v="4"/>
  </r>
  <r>
    <x v="4843"/>
    <n v="-4"/>
    <n v="60"/>
    <n v="56"/>
    <n v="24"/>
    <n v="21"/>
    <x v="22"/>
    <n v="16"/>
    <n v="1"/>
    <n v="63"/>
    <n v="0.1"/>
    <n v="0"/>
    <n v="0"/>
  </r>
  <r>
    <x v="4844"/>
    <n v="1"/>
    <n v="63"/>
    <n v="64"/>
    <n v="16"/>
    <n v="25"/>
    <x v="16"/>
    <n v="27"/>
    <n v="-1"/>
    <n v="54"/>
    <n v="0"/>
    <n v="1"/>
    <n v="1"/>
  </r>
  <r>
    <x v="4845"/>
    <n v="-1"/>
    <n v="54"/>
    <n v="53"/>
    <n v="27"/>
    <n v="14"/>
    <x v="21"/>
    <n v="25"/>
    <n v="-12"/>
    <n v="67"/>
    <n v="0"/>
    <n v="1"/>
    <n v="12"/>
  </r>
  <r>
    <x v="4846"/>
    <n v="-12"/>
    <n v="67"/>
    <n v="55"/>
    <n v="25"/>
    <n v="24"/>
    <x v="17"/>
    <n v="16"/>
    <n v="-4"/>
    <n v="68"/>
    <n v="0"/>
    <n v="1"/>
    <n v="4"/>
  </r>
  <r>
    <x v="4847"/>
    <n v="-4"/>
    <n v="68"/>
    <n v="64"/>
    <n v="16"/>
    <n v="16"/>
    <x v="17"/>
    <n v="21"/>
    <n v="-9"/>
    <n v="68"/>
    <n v="0"/>
    <n v="1"/>
    <n v="9"/>
  </r>
  <r>
    <x v="4848"/>
    <n v="-9"/>
    <n v="68"/>
    <n v="59"/>
    <n v="21"/>
    <n v="27"/>
    <x v="33"/>
    <n v="12"/>
    <n v="6"/>
    <n v="62"/>
    <n v="0.60000000000000009"/>
    <n v="0"/>
    <n v="0"/>
  </r>
  <r>
    <x v="4849"/>
    <n v="6"/>
    <n v="62"/>
    <n v="68"/>
    <n v="12"/>
    <n v="25"/>
    <x v="10"/>
    <n v="30"/>
    <n v="1"/>
    <n v="49"/>
    <n v="0.1"/>
    <n v="0"/>
    <n v="0"/>
  </r>
  <r>
    <x v="4850"/>
    <n v="1"/>
    <n v="49"/>
    <n v="50"/>
    <n v="30"/>
    <n v="16"/>
    <x v="22"/>
    <n v="26"/>
    <n v="-9"/>
    <n v="63"/>
    <n v="0"/>
    <n v="1"/>
    <n v="9"/>
  </r>
  <r>
    <x v="4851"/>
    <n v="-9"/>
    <n v="63"/>
    <n v="54"/>
    <n v="26"/>
    <n v="21"/>
    <x v="17"/>
    <n v="26"/>
    <n v="-14"/>
    <n v="68"/>
    <n v="0"/>
    <n v="1"/>
    <n v="14"/>
  </r>
  <r>
    <x v="4852"/>
    <n v="-14"/>
    <n v="68"/>
    <n v="54"/>
    <n v="26"/>
    <n v="12"/>
    <x v="19"/>
    <n v="20"/>
    <n v="-22"/>
    <n v="82"/>
    <n v="0"/>
    <n v="1"/>
    <n v="20"/>
  </r>
  <r>
    <x v="4853"/>
    <n v="-22"/>
    <n v="82"/>
    <n v="60"/>
    <n v="20"/>
    <n v="30"/>
    <x v="29"/>
    <n v="17"/>
    <n v="-9"/>
    <n v="72"/>
    <n v="0"/>
    <n v="1"/>
    <n v="9"/>
  </r>
  <r>
    <x v="4854"/>
    <n v="-9"/>
    <n v="72"/>
    <n v="63"/>
    <n v="17"/>
    <n v="26"/>
    <x v="22"/>
    <n v="17"/>
    <n v="0"/>
    <n v="63"/>
    <n v="0"/>
    <n v="0"/>
    <n v="0"/>
  </r>
  <r>
    <x v="4855"/>
    <n v="0"/>
    <n v="63"/>
    <n v="63"/>
    <n v="17"/>
    <n v="26"/>
    <x v="16"/>
    <n v="22"/>
    <n v="4"/>
    <n v="54"/>
    <n v="0.4"/>
    <n v="0"/>
    <n v="0"/>
  </r>
  <r>
    <x v="4856"/>
    <n v="4"/>
    <n v="54"/>
    <n v="58"/>
    <n v="22"/>
    <n v="20"/>
    <x v="32"/>
    <n v="15"/>
    <n v="9"/>
    <n v="56"/>
    <n v="0.9"/>
    <n v="0"/>
    <n v="0"/>
  </r>
  <r>
    <x v="4857"/>
    <n v="9"/>
    <n v="56"/>
    <n v="65"/>
    <n v="15"/>
    <n v="17"/>
    <x v="16"/>
    <n v="12"/>
    <n v="14"/>
    <n v="54"/>
    <n v="1.4000000000000001"/>
    <n v="0"/>
    <n v="0"/>
  </r>
  <r>
    <x v="4858"/>
    <n v="14"/>
    <n v="54"/>
    <n v="68"/>
    <n v="12"/>
    <n v="17"/>
    <x v="10"/>
    <n v="25"/>
    <n v="6"/>
    <n v="49"/>
    <n v="0.60000000000000009"/>
    <n v="0"/>
    <n v="0"/>
  </r>
  <r>
    <x v="4859"/>
    <n v="6"/>
    <n v="49"/>
    <n v="55"/>
    <n v="25"/>
    <n v="22"/>
    <x v="25"/>
    <n v="22"/>
    <n v="6"/>
    <n v="52"/>
    <n v="0.60000000000000009"/>
    <n v="0"/>
    <n v="0"/>
  </r>
  <r>
    <x v="4860"/>
    <n v="6"/>
    <n v="52"/>
    <n v="58"/>
    <n v="22"/>
    <n v="15"/>
    <x v="5"/>
    <n v="14"/>
    <n v="7"/>
    <n v="59"/>
    <n v="0.70000000000000007"/>
    <n v="0"/>
    <n v="0"/>
  </r>
  <r>
    <x v="4861"/>
    <n v="7"/>
    <n v="59"/>
    <n v="66"/>
    <n v="14"/>
    <n v="12"/>
    <x v="23"/>
    <n v="14"/>
    <n v="5"/>
    <n v="61"/>
    <n v="0.5"/>
    <n v="0"/>
    <n v="0"/>
  </r>
  <r>
    <x v="4862"/>
    <n v="5"/>
    <n v="61"/>
    <n v="66"/>
    <n v="14"/>
    <n v="25"/>
    <x v="13"/>
    <n v="16"/>
    <n v="14"/>
    <n v="50"/>
    <n v="1.4000000000000001"/>
    <n v="0"/>
    <n v="0"/>
  </r>
  <r>
    <x v="4863"/>
    <n v="14"/>
    <n v="50"/>
    <n v="64"/>
    <n v="16"/>
    <n v="22"/>
    <x v="45"/>
    <n v="24"/>
    <n v="12"/>
    <n v="44"/>
    <n v="1.2000000000000002"/>
    <n v="0"/>
    <n v="0"/>
  </r>
  <r>
    <x v="4864"/>
    <n v="12"/>
    <n v="44"/>
    <n v="56"/>
    <n v="24"/>
    <n v="14"/>
    <x v="16"/>
    <n v="23"/>
    <n v="3"/>
    <n v="54"/>
    <n v="0.30000000000000004"/>
    <n v="0"/>
    <n v="0"/>
  </r>
  <r>
    <x v="4865"/>
    <n v="3"/>
    <n v="54"/>
    <n v="57"/>
    <n v="23"/>
    <n v="14"/>
    <x v="22"/>
    <n v="17"/>
    <n v="0"/>
    <n v="63"/>
    <n v="0"/>
    <n v="0"/>
    <n v="0"/>
  </r>
  <r>
    <x v="4866"/>
    <n v="0"/>
    <n v="63"/>
    <n v="63"/>
    <n v="17"/>
    <n v="16"/>
    <x v="8"/>
    <n v="18"/>
    <n v="-2"/>
    <n v="64"/>
    <n v="0"/>
    <n v="1"/>
    <n v="2"/>
  </r>
  <r>
    <x v="4867"/>
    <n v="-2"/>
    <n v="64"/>
    <n v="62"/>
    <n v="18"/>
    <n v="24"/>
    <x v="28"/>
    <n v="26"/>
    <n v="-4"/>
    <n v="58"/>
    <n v="0"/>
    <n v="1"/>
    <n v="4"/>
  </r>
  <r>
    <x v="4868"/>
    <n v="-4"/>
    <n v="58"/>
    <n v="54"/>
    <n v="26"/>
    <n v="23"/>
    <x v="23"/>
    <n v="16"/>
    <n v="3"/>
    <n v="61"/>
    <n v="0.30000000000000004"/>
    <n v="0"/>
    <n v="0"/>
  </r>
  <r>
    <x v="4869"/>
    <n v="3"/>
    <n v="61"/>
    <n v="64"/>
    <n v="16"/>
    <n v="17"/>
    <x v="4"/>
    <n v="22"/>
    <n v="-2"/>
    <n v="60"/>
    <n v="0"/>
    <n v="1"/>
    <n v="2"/>
  </r>
  <r>
    <x v="4870"/>
    <n v="-2"/>
    <n v="60"/>
    <n v="58"/>
    <n v="22"/>
    <n v="18"/>
    <x v="8"/>
    <n v="13"/>
    <n v="3"/>
    <n v="64"/>
    <n v="0.30000000000000004"/>
    <n v="0"/>
    <n v="0"/>
  </r>
  <r>
    <x v="4871"/>
    <n v="3"/>
    <n v="64"/>
    <n v="67"/>
    <n v="13"/>
    <n v="26"/>
    <x v="9"/>
    <n v="23"/>
    <n v="6"/>
    <n v="51"/>
    <n v="0.60000000000000009"/>
    <n v="0"/>
    <n v="0"/>
  </r>
  <r>
    <x v="4872"/>
    <n v="6"/>
    <n v="51"/>
    <n v="57"/>
    <n v="23"/>
    <n v="16"/>
    <x v="28"/>
    <n v="20"/>
    <n v="2"/>
    <n v="58"/>
    <n v="0.2"/>
    <n v="0"/>
    <n v="0"/>
  </r>
  <r>
    <x v="4873"/>
    <n v="2"/>
    <n v="58"/>
    <n v="60"/>
    <n v="20"/>
    <n v="22"/>
    <x v="32"/>
    <n v="23"/>
    <n v="1"/>
    <n v="56"/>
    <n v="0.1"/>
    <n v="0"/>
    <n v="0"/>
  </r>
  <r>
    <x v="4874"/>
    <n v="1"/>
    <n v="56"/>
    <n v="57"/>
    <n v="23"/>
    <n v="13"/>
    <x v="7"/>
    <n v="21"/>
    <n v="-7"/>
    <n v="66"/>
    <n v="0"/>
    <n v="1"/>
    <n v="7"/>
  </r>
  <r>
    <x v="4875"/>
    <n v="-7"/>
    <n v="66"/>
    <n v="59"/>
    <n v="21"/>
    <n v="23"/>
    <x v="8"/>
    <n v="21"/>
    <n v="-5"/>
    <n v="64"/>
    <n v="0"/>
    <n v="1"/>
    <n v="5"/>
  </r>
  <r>
    <x v="4876"/>
    <n v="-5"/>
    <n v="64"/>
    <n v="59"/>
    <n v="21"/>
    <n v="20"/>
    <x v="26"/>
    <n v="22"/>
    <n v="-7"/>
    <n v="65"/>
    <n v="0"/>
    <n v="1"/>
    <n v="7"/>
  </r>
  <r>
    <x v="4877"/>
    <n v="-7"/>
    <n v="65"/>
    <n v="58"/>
    <n v="22"/>
    <n v="23"/>
    <x v="8"/>
    <n v="25"/>
    <n v="-9"/>
    <n v="64"/>
    <n v="0"/>
    <n v="1"/>
    <n v="9"/>
  </r>
  <r>
    <x v="4878"/>
    <n v="-9"/>
    <n v="64"/>
    <n v="55"/>
    <n v="25"/>
    <n v="21"/>
    <x v="17"/>
    <n v="21"/>
    <n v="-9"/>
    <n v="68"/>
    <n v="0"/>
    <n v="1"/>
    <n v="9"/>
  </r>
  <r>
    <x v="4879"/>
    <n v="-9"/>
    <n v="68"/>
    <n v="59"/>
    <n v="21"/>
    <n v="21"/>
    <x v="17"/>
    <n v="26"/>
    <n v="-14"/>
    <n v="68"/>
    <n v="0"/>
    <n v="1"/>
    <n v="14"/>
  </r>
  <r>
    <x v="4880"/>
    <n v="-14"/>
    <n v="68"/>
    <n v="54"/>
    <n v="26"/>
    <n v="22"/>
    <x v="29"/>
    <n v="23"/>
    <n v="-15"/>
    <n v="72"/>
    <n v="0"/>
    <n v="1"/>
    <n v="15"/>
  </r>
  <r>
    <x v="4881"/>
    <n v="-15"/>
    <n v="72"/>
    <n v="57"/>
    <n v="23"/>
    <n v="25"/>
    <x v="6"/>
    <n v="12"/>
    <n v="-2"/>
    <n v="70"/>
    <n v="0"/>
    <n v="1"/>
    <n v="2"/>
  </r>
  <r>
    <x v="4882"/>
    <n v="-2"/>
    <n v="70"/>
    <n v="68"/>
    <n v="12"/>
    <n v="21"/>
    <x v="23"/>
    <n v="18"/>
    <n v="1"/>
    <n v="61"/>
    <n v="0.1"/>
    <n v="0"/>
    <n v="0"/>
  </r>
  <r>
    <x v="4883"/>
    <n v="1"/>
    <n v="61"/>
    <n v="62"/>
    <n v="18"/>
    <n v="26"/>
    <x v="12"/>
    <n v="20"/>
    <n v="7"/>
    <n v="53"/>
    <n v="0.70000000000000007"/>
    <n v="0"/>
    <n v="0"/>
  </r>
  <r>
    <x v="4884"/>
    <n v="7"/>
    <n v="53"/>
    <n v="60"/>
    <n v="20"/>
    <n v="23"/>
    <x v="13"/>
    <n v="23"/>
    <n v="7"/>
    <n v="50"/>
    <n v="0.70000000000000007"/>
    <n v="0"/>
    <n v="0"/>
  </r>
  <r>
    <x v="4885"/>
    <n v="7"/>
    <n v="50"/>
    <n v="57"/>
    <n v="23"/>
    <n v="12"/>
    <x v="23"/>
    <n v="11"/>
    <n v="8"/>
    <n v="61"/>
    <n v="0.8"/>
    <n v="0"/>
    <n v="0"/>
  </r>
  <r>
    <x v="4886"/>
    <n v="8"/>
    <n v="61"/>
    <n v="69"/>
    <n v="11"/>
    <n v="18"/>
    <x v="16"/>
    <n v="17"/>
    <n v="9"/>
    <n v="54"/>
    <n v="0.9"/>
    <n v="0"/>
    <n v="0"/>
  </r>
  <r>
    <x v="4887"/>
    <n v="9"/>
    <n v="54"/>
    <n v="63"/>
    <n v="17"/>
    <n v="20"/>
    <x v="9"/>
    <n v="27"/>
    <n v="2"/>
    <n v="51"/>
    <n v="0.2"/>
    <n v="0"/>
    <n v="0"/>
  </r>
  <r>
    <x v="4888"/>
    <n v="2"/>
    <n v="51"/>
    <n v="53"/>
    <n v="27"/>
    <n v="23"/>
    <x v="27"/>
    <n v="21"/>
    <n v="4"/>
    <n v="55"/>
    <n v="0.4"/>
    <n v="0"/>
    <n v="0"/>
  </r>
  <r>
    <x v="4889"/>
    <n v="4"/>
    <n v="55"/>
    <n v="59"/>
    <n v="21"/>
    <n v="11"/>
    <x v="26"/>
    <n v="25"/>
    <n v="-10"/>
    <n v="65"/>
    <n v="0"/>
    <n v="1"/>
    <n v="10"/>
  </r>
  <r>
    <x v="4890"/>
    <n v="-10"/>
    <n v="65"/>
    <n v="55"/>
    <n v="25"/>
    <n v="17"/>
    <x v="31"/>
    <n v="21"/>
    <n v="-14"/>
    <n v="73"/>
    <n v="0"/>
    <n v="1"/>
    <n v="14"/>
  </r>
  <r>
    <x v="4891"/>
    <n v="-14"/>
    <n v="73"/>
    <n v="59"/>
    <n v="21"/>
    <n v="27"/>
    <x v="21"/>
    <n v="29"/>
    <n v="-16"/>
    <n v="67"/>
    <n v="0"/>
    <n v="1"/>
    <n v="16"/>
  </r>
  <r>
    <x v="4892"/>
    <n v="-16"/>
    <n v="67"/>
    <n v="51"/>
    <n v="29"/>
    <n v="21"/>
    <x v="44"/>
    <n v="24"/>
    <n v="-19"/>
    <n v="75"/>
    <n v="0"/>
    <n v="1"/>
    <n v="19"/>
  </r>
  <r>
    <x v="4893"/>
    <n v="-19"/>
    <n v="75"/>
    <n v="56"/>
    <n v="24"/>
    <n v="25"/>
    <x v="39"/>
    <n v="20"/>
    <n v="-14"/>
    <n v="74"/>
    <n v="0"/>
    <n v="1"/>
    <n v="14"/>
  </r>
  <r>
    <x v="4894"/>
    <n v="-14"/>
    <n v="74"/>
    <n v="60"/>
    <n v="20"/>
    <n v="21"/>
    <x v="31"/>
    <n v="14"/>
    <n v="-7"/>
    <n v="73"/>
    <n v="0"/>
    <n v="1"/>
    <n v="7"/>
  </r>
  <r>
    <x v="4895"/>
    <n v="-7"/>
    <n v="73"/>
    <n v="66"/>
    <n v="14"/>
    <n v="29"/>
    <x v="28"/>
    <n v="14"/>
    <n v="8"/>
    <n v="58"/>
    <n v="0.8"/>
    <n v="0"/>
    <n v="0"/>
  </r>
  <r>
    <x v="4896"/>
    <n v="8"/>
    <n v="58"/>
    <n v="66"/>
    <n v="14"/>
    <n v="24"/>
    <x v="15"/>
    <n v="23"/>
    <n v="9"/>
    <n v="48"/>
    <n v="0.9"/>
    <n v="0"/>
    <n v="0"/>
  </r>
  <r>
    <x v="4897"/>
    <n v="9"/>
    <n v="48"/>
    <n v="57"/>
    <n v="23"/>
    <n v="20"/>
    <x v="9"/>
    <n v="21"/>
    <n v="8"/>
    <n v="51"/>
    <n v="0.8"/>
    <n v="0"/>
    <n v="0"/>
  </r>
  <r>
    <x v="4898"/>
    <n v="8"/>
    <n v="51"/>
    <n v="59"/>
    <n v="21"/>
    <n v="14"/>
    <x v="28"/>
    <n v="18"/>
    <n v="4"/>
    <n v="58"/>
    <n v="0.4"/>
    <n v="0"/>
    <n v="0"/>
  </r>
  <r>
    <x v="4899"/>
    <n v="4"/>
    <n v="58"/>
    <n v="62"/>
    <n v="18"/>
    <n v="14"/>
    <x v="33"/>
    <n v="22"/>
    <n v="-4"/>
    <n v="62"/>
    <n v="0"/>
    <n v="1"/>
    <n v="4"/>
  </r>
  <r>
    <x v="4900"/>
    <n v="-4"/>
    <n v="62"/>
    <n v="58"/>
    <n v="22"/>
    <n v="23"/>
    <x v="23"/>
    <n v="17"/>
    <n v="2"/>
    <n v="61"/>
    <n v="0.2"/>
    <n v="0"/>
    <n v="0"/>
  </r>
  <r>
    <x v="4901"/>
    <n v="2"/>
    <n v="61"/>
    <n v="63"/>
    <n v="17"/>
    <n v="21"/>
    <x v="24"/>
    <n v="13"/>
    <n v="10"/>
    <n v="57"/>
    <n v="1"/>
    <n v="0"/>
    <n v="0"/>
  </r>
  <r>
    <x v="4902"/>
    <n v="10"/>
    <n v="57"/>
    <n v="67"/>
    <n v="13"/>
    <n v="18"/>
    <x v="25"/>
    <n v="15"/>
    <n v="13"/>
    <n v="52"/>
    <n v="1.3"/>
    <n v="0"/>
    <n v="0"/>
  </r>
  <r>
    <x v="4903"/>
    <n v="13"/>
    <n v="52"/>
    <n v="65"/>
    <n v="15"/>
    <n v="22"/>
    <x v="11"/>
    <n v="20"/>
    <n v="15"/>
    <n v="45"/>
    <n v="1.5"/>
    <n v="0"/>
    <n v="0"/>
  </r>
  <r>
    <x v="4904"/>
    <n v="15"/>
    <n v="45"/>
    <n v="60"/>
    <n v="20"/>
    <n v="17"/>
    <x v="15"/>
    <n v="18"/>
    <n v="14"/>
    <n v="48"/>
    <n v="1.4000000000000001"/>
    <n v="0"/>
    <n v="0"/>
  </r>
  <r>
    <x v="4905"/>
    <n v="14"/>
    <n v="48"/>
    <n v="62"/>
    <n v="18"/>
    <n v="13"/>
    <x v="12"/>
    <n v="19"/>
    <n v="8"/>
    <n v="53"/>
    <n v="0.8"/>
    <n v="0"/>
    <n v="0"/>
  </r>
  <r>
    <x v="4906"/>
    <n v="8"/>
    <n v="53"/>
    <n v="61"/>
    <n v="19"/>
    <n v="15"/>
    <x v="24"/>
    <n v="17"/>
    <n v="6"/>
    <n v="57"/>
    <n v="0.60000000000000009"/>
    <n v="0"/>
    <n v="0"/>
  </r>
  <r>
    <x v="4907"/>
    <n v="6"/>
    <n v="57"/>
    <n v="63"/>
    <n v="17"/>
    <n v="20"/>
    <x v="16"/>
    <n v="20"/>
    <n v="6"/>
    <n v="54"/>
    <n v="0.60000000000000009"/>
    <n v="0"/>
    <n v="0"/>
  </r>
  <r>
    <x v="4908"/>
    <n v="6"/>
    <n v="54"/>
    <n v="60"/>
    <n v="20"/>
    <n v="18"/>
    <x v="32"/>
    <n v="23"/>
    <n v="1"/>
    <n v="56"/>
    <n v="0.1"/>
    <n v="0"/>
    <n v="0"/>
  </r>
  <r>
    <x v="4909"/>
    <n v="1"/>
    <n v="56"/>
    <n v="57"/>
    <n v="23"/>
    <n v="19"/>
    <x v="4"/>
    <n v="20"/>
    <n v="0"/>
    <n v="60"/>
    <n v="0"/>
    <n v="0"/>
    <n v="0"/>
  </r>
  <r>
    <x v="4910"/>
    <n v="0"/>
    <n v="60"/>
    <n v="60"/>
    <n v="20"/>
    <n v="17"/>
    <x v="22"/>
    <n v="19"/>
    <n v="-2"/>
    <n v="63"/>
    <n v="0"/>
    <n v="1"/>
    <n v="2"/>
  </r>
  <r>
    <x v="4911"/>
    <n v="-2"/>
    <n v="63"/>
    <n v="61"/>
    <n v="19"/>
    <n v="20"/>
    <x v="33"/>
    <n v="15"/>
    <n v="3"/>
    <n v="62"/>
    <n v="0.30000000000000004"/>
    <n v="0"/>
    <n v="0"/>
  </r>
  <r>
    <x v="4912"/>
    <n v="3"/>
    <n v="62"/>
    <n v="65"/>
    <n v="15"/>
    <n v="23"/>
    <x v="16"/>
    <n v="15"/>
    <n v="11"/>
    <n v="54"/>
    <n v="1.1000000000000001"/>
    <n v="0"/>
    <n v="0"/>
  </r>
  <r>
    <x v="4913"/>
    <n v="11"/>
    <n v="54"/>
    <n v="65"/>
    <n v="15"/>
    <n v="20"/>
    <x v="10"/>
    <n v="20"/>
    <n v="11"/>
    <n v="49"/>
    <n v="1.1000000000000001"/>
    <n v="0"/>
    <n v="0"/>
  </r>
  <r>
    <x v="4914"/>
    <n v="11"/>
    <n v="49"/>
    <n v="60"/>
    <n v="20"/>
    <n v="19"/>
    <x v="13"/>
    <n v="21"/>
    <n v="9"/>
    <n v="50"/>
    <n v="0.9"/>
    <n v="0"/>
    <n v="0"/>
  </r>
  <r>
    <x v="4915"/>
    <n v="9"/>
    <n v="50"/>
    <n v="59"/>
    <n v="21"/>
    <n v="15"/>
    <x v="32"/>
    <n v="28"/>
    <n v="-4"/>
    <n v="56"/>
    <n v="0"/>
    <n v="1"/>
    <n v="4"/>
  </r>
  <r>
    <x v="4916"/>
    <n v="-4"/>
    <n v="56"/>
    <n v="52"/>
    <n v="28"/>
    <n v="15"/>
    <x v="30"/>
    <n v="14"/>
    <n v="-3"/>
    <n v="69"/>
    <n v="0"/>
    <n v="1"/>
    <n v="3"/>
  </r>
  <r>
    <x v="4917"/>
    <n v="-3"/>
    <n v="69"/>
    <n v="66"/>
    <n v="14"/>
    <n v="20"/>
    <x v="22"/>
    <n v="16"/>
    <n v="1"/>
    <n v="63"/>
    <n v="0.1"/>
    <n v="0"/>
    <n v="0"/>
  </r>
  <r>
    <x v="4918"/>
    <n v="1"/>
    <n v="63"/>
    <n v="64"/>
    <n v="16"/>
    <n v="21"/>
    <x v="28"/>
    <n v="20"/>
    <n v="2"/>
    <n v="58"/>
    <n v="0.2"/>
    <n v="0"/>
    <n v="0"/>
  </r>
  <r>
    <x v="4919"/>
    <n v="2"/>
    <n v="58"/>
    <n v="60"/>
    <n v="20"/>
    <n v="28"/>
    <x v="13"/>
    <n v="25"/>
    <n v="5"/>
    <n v="50"/>
    <n v="0.5"/>
    <n v="0"/>
    <n v="0"/>
  </r>
  <r>
    <x v="4920"/>
    <n v="5"/>
    <n v="50"/>
    <n v="55"/>
    <n v="25"/>
    <n v="14"/>
    <x v="23"/>
    <n v="16"/>
    <n v="3"/>
    <n v="61"/>
    <n v="0.30000000000000004"/>
    <n v="0"/>
    <n v="0"/>
  </r>
  <r>
    <x v="4921"/>
    <n v="3"/>
    <n v="61"/>
    <n v="64"/>
    <n v="16"/>
    <n v="16"/>
    <x v="23"/>
    <n v="24"/>
    <n v="-5"/>
    <n v="61"/>
    <n v="0"/>
    <n v="1"/>
    <n v="5"/>
  </r>
  <r>
    <x v="4922"/>
    <n v="-5"/>
    <n v="61"/>
    <n v="56"/>
    <n v="24"/>
    <n v="20"/>
    <x v="26"/>
    <n v="13"/>
    <n v="2"/>
    <n v="65"/>
    <n v="0.2"/>
    <n v="0"/>
    <n v="0"/>
  </r>
  <r>
    <x v="4923"/>
    <n v="2"/>
    <n v="65"/>
    <n v="67"/>
    <n v="13"/>
    <n v="25"/>
    <x v="12"/>
    <n v="23"/>
    <n v="4"/>
    <n v="53"/>
    <n v="0.4"/>
    <n v="0"/>
    <n v="0"/>
  </r>
  <r>
    <x v="4924"/>
    <n v="4"/>
    <n v="53"/>
    <n v="57"/>
    <n v="23"/>
    <n v="16"/>
    <x v="4"/>
    <n v="31"/>
    <n v="-11"/>
    <n v="60"/>
    <n v="0"/>
    <n v="1"/>
    <n v="11"/>
  </r>
  <r>
    <x v="4925"/>
    <n v="-11"/>
    <n v="60"/>
    <n v="49"/>
    <n v="31"/>
    <n v="24"/>
    <x v="21"/>
    <n v="25"/>
    <n v="-12"/>
    <n v="67"/>
    <n v="0"/>
    <n v="1"/>
    <n v="12"/>
  </r>
  <r>
    <x v="4926"/>
    <n v="-12"/>
    <n v="67"/>
    <n v="55"/>
    <n v="25"/>
    <n v="13"/>
    <x v="43"/>
    <n v="12"/>
    <n v="-11"/>
    <n v="79"/>
    <n v="0"/>
    <n v="1"/>
    <n v="11"/>
  </r>
  <r>
    <x v="4927"/>
    <n v="-11"/>
    <n v="79"/>
    <n v="68"/>
    <n v="12"/>
    <n v="23"/>
    <x v="17"/>
    <n v="13"/>
    <n v="-1"/>
    <n v="68"/>
    <n v="0"/>
    <n v="1"/>
    <n v="1"/>
  </r>
  <r>
    <x v="4928"/>
    <n v="-1"/>
    <n v="68"/>
    <n v="67"/>
    <n v="13"/>
    <n v="31"/>
    <x v="13"/>
    <n v="25"/>
    <n v="5"/>
    <n v="50"/>
    <n v="0.5"/>
    <n v="0"/>
    <n v="0"/>
  </r>
  <r>
    <x v="4929"/>
    <n v="5"/>
    <n v="50"/>
    <n v="55"/>
    <n v="25"/>
    <n v="25"/>
    <x v="13"/>
    <n v="23"/>
    <n v="7"/>
    <n v="50"/>
    <n v="0.70000000000000007"/>
    <n v="0"/>
    <n v="0"/>
  </r>
  <r>
    <x v="4930"/>
    <n v="7"/>
    <n v="50"/>
    <n v="57"/>
    <n v="23"/>
    <n v="12"/>
    <x v="23"/>
    <n v="19"/>
    <n v="0"/>
    <n v="61"/>
    <n v="0"/>
    <n v="0"/>
    <n v="0"/>
  </r>
  <r>
    <x v="4931"/>
    <n v="0"/>
    <n v="61"/>
    <n v="61"/>
    <n v="19"/>
    <n v="13"/>
    <x v="21"/>
    <n v="12"/>
    <n v="1"/>
    <n v="67"/>
    <n v="0.1"/>
    <n v="0"/>
    <n v="0"/>
  </r>
  <r>
    <x v="4932"/>
    <n v="1"/>
    <n v="67"/>
    <n v="68"/>
    <n v="12"/>
    <n v="25"/>
    <x v="16"/>
    <n v="20"/>
    <n v="6"/>
    <n v="54"/>
    <n v="0.60000000000000009"/>
    <n v="0"/>
    <n v="0"/>
  </r>
  <r>
    <x v="4933"/>
    <n v="6"/>
    <n v="54"/>
    <n v="60"/>
    <n v="20"/>
    <n v="23"/>
    <x v="9"/>
    <n v="25"/>
    <n v="4"/>
    <n v="51"/>
    <n v="0.4"/>
    <n v="0"/>
    <n v="0"/>
  </r>
  <r>
    <x v="4934"/>
    <n v="4"/>
    <n v="51"/>
    <n v="55"/>
    <n v="25"/>
    <n v="19"/>
    <x v="24"/>
    <n v="31"/>
    <n v="-8"/>
    <n v="57"/>
    <n v="0"/>
    <n v="1"/>
    <n v="8"/>
  </r>
  <r>
    <x v="4935"/>
    <n v="-8"/>
    <n v="57"/>
    <n v="49"/>
    <n v="31"/>
    <n v="12"/>
    <x v="37"/>
    <n v="12"/>
    <n v="-8"/>
    <n v="76"/>
    <n v="0"/>
    <n v="1"/>
    <n v="8"/>
  </r>
  <r>
    <x v="4936"/>
    <n v="-8"/>
    <n v="76"/>
    <n v="68"/>
    <n v="12"/>
    <n v="20"/>
    <x v="17"/>
    <n v="28"/>
    <n v="-16"/>
    <n v="68"/>
    <n v="0"/>
    <n v="1"/>
    <n v="16"/>
  </r>
  <r>
    <x v="4937"/>
    <n v="-16"/>
    <n v="68"/>
    <n v="52"/>
    <n v="28"/>
    <n v="25"/>
    <x v="20"/>
    <n v="21"/>
    <n v="-12"/>
    <n v="71"/>
    <n v="0"/>
    <n v="1"/>
    <n v="12"/>
  </r>
  <r>
    <x v="4938"/>
    <n v="-12"/>
    <n v="71"/>
    <n v="59"/>
    <n v="21"/>
    <n v="31"/>
    <x v="23"/>
    <n v="21"/>
    <n v="-2"/>
    <n v="61"/>
    <n v="0"/>
    <n v="1"/>
    <n v="2"/>
  </r>
  <r>
    <x v="4939"/>
    <n v="-2"/>
    <n v="61"/>
    <n v="59"/>
    <n v="21"/>
    <n v="12"/>
    <x v="6"/>
    <n v="17"/>
    <n v="-7"/>
    <n v="70"/>
    <n v="0"/>
    <n v="1"/>
    <n v="7"/>
  </r>
  <r>
    <x v="4940"/>
    <n v="-7"/>
    <n v="70"/>
    <n v="63"/>
    <n v="17"/>
    <n v="28"/>
    <x v="5"/>
    <n v="17"/>
    <n v="4"/>
    <n v="59"/>
    <n v="0.4"/>
    <n v="0"/>
    <n v="0"/>
  </r>
  <r>
    <x v="4941"/>
    <n v="4"/>
    <n v="59"/>
    <n v="63"/>
    <n v="17"/>
    <n v="21"/>
    <x v="27"/>
    <n v="19"/>
    <n v="6"/>
    <n v="55"/>
    <n v="0.60000000000000009"/>
    <n v="0"/>
    <n v="0"/>
  </r>
  <r>
    <x v="4942"/>
    <n v="6"/>
    <n v="55"/>
    <n v="61"/>
    <n v="19"/>
    <n v="21"/>
    <x v="12"/>
    <n v="25"/>
    <n v="2"/>
    <n v="53"/>
    <n v="0.2"/>
    <n v="0"/>
    <n v="0"/>
  </r>
  <r>
    <x v="4943"/>
    <n v="2"/>
    <n v="53"/>
    <n v="55"/>
    <n v="25"/>
    <n v="17"/>
    <x v="23"/>
    <n v="15"/>
    <n v="4"/>
    <n v="61"/>
    <n v="0.4"/>
    <n v="0"/>
    <n v="0"/>
  </r>
  <r>
    <x v="4944"/>
    <n v="4"/>
    <n v="61"/>
    <n v="65"/>
    <n v="15"/>
    <n v="17"/>
    <x v="5"/>
    <n v="17"/>
    <n v="4"/>
    <n v="59"/>
    <n v="0.4"/>
    <n v="0"/>
    <n v="0"/>
  </r>
  <r>
    <x v="4945"/>
    <n v="4"/>
    <n v="59"/>
    <n v="63"/>
    <n v="17"/>
    <n v="19"/>
    <x v="24"/>
    <n v="17"/>
    <n v="6"/>
    <n v="57"/>
    <n v="0.60000000000000009"/>
    <n v="0"/>
    <n v="0"/>
  </r>
  <r>
    <x v="4946"/>
    <n v="6"/>
    <n v="57"/>
    <n v="63"/>
    <n v="17"/>
    <n v="25"/>
    <x v="10"/>
    <n v="16"/>
    <n v="15"/>
    <n v="49"/>
    <n v="1.5"/>
    <n v="0"/>
    <n v="0"/>
  </r>
  <r>
    <x v="4947"/>
    <n v="15"/>
    <n v="49"/>
    <n v="64"/>
    <n v="16"/>
    <n v="15"/>
    <x v="13"/>
    <n v="27"/>
    <n v="3"/>
    <n v="50"/>
    <n v="0.30000000000000004"/>
    <n v="0"/>
    <n v="0"/>
  </r>
  <r>
    <x v="4948"/>
    <n v="3"/>
    <n v="50"/>
    <n v="53"/>
    <n v="27"/>
    <n v="17"/>
    <x v="4"/>
    <n v="25"/>
    <n v="-5"/>
    <n v="60"/>
    <n v="0"/>
    <n v="1"/>
    <n v="5"/>
  </r>
  <r>
    <x v="4949"/>
    <n v="-5"/>
    <n v="60"/>
    <n v="55"/>
    <n v="25"/>
    <n v="17"/>
    <x v="17"/>
    <n v="19"/>
    <n v="-7"/>
    <n v="68"/>
    <n v="0"/>
    <n v="1"/>
    <n v="7"/>
  </r>
  <r>
    <x v="4950"/>
    <n v="-7"/>
    <n v="68"/>
    <n v="61"/>
    <n v="19"/>
    <n v="16"/>
    <x v="20"/>
    <n v="17"/>
    <n v="-8"/>
    <n v="71"/>
    <n v="0"/>
    <n v="1"/>
    <n v="8"/>
  </r>
  <r>
    <x v="4951"/>
    <n v="-8"/>
    <n v="71"/>
    <n v="63"/>
    <n v="17"/>
    <n v="27"/>
    <x v="23"/>
    <n v="15"/>
    <n v="4"/>
    <n v="61"/>
    <n v="0.4"/>
    <n v="0"/>
    <n v="0"/>
  </r>
  <r>
    <x v="4952"/>
    <n v="4"/>
    <n v="61"/>
    <n v="65"/>
    <n v="15"/>
    <n v="25"/>
    <x v="9"/>
    <n v="16"/>
    <n v="13"/>
    <n v="51"/>
    <n v="1.3"/>
    <n v="0"/>
    <n v="0"/>
  </r>
  <r>
    <x v="4953"/>
    <n v="13"/>
    <n v="51"/>
    <n v="64"/>
    <n v="16"/>
    <n v="19"/>
    <x v="15"/>
    <n v="22"/>
    <n v="10"/>
    <n v="48"/>
    <n v="1"/>
    <n v="0"/>
    <n v="0"/>
  </r>
  <r>
    <x v="4954"/>
    <n v="10"/>
    <n v="48"/>
    <n v="58"/>
    <n v="22"/>
    <n v="17"/>
    <x v="12"/>
    <n v="19"/>
    <n v="8"/>
    <n v="53"/>
    <n v="0.8"/>
    <n v="0"/>
    <n v="0"/>
  </r>
  <r>
    <x v="4955"/>
    <n v="8"/>
    <n v="53"/>
    <n v="61"/>
    <n v="19"/>
    <n v="15"/>
    <x v="24"/>
    <n v="18"/>
    <n v="5"/>
    <n v="57"/>
    <n v="0.5"/>
    <n v="0"/>
    <n v="0"/>
  </r>
  <r>
    <x v="4956"/>
    <n v="5"/>
    <n v="57"/>
    <n v="62"/>
    <n v="18"/>
    <n v="16"/>
    <x v="5"/>
    <n v="21"/>
    <n v="0"/>
    <n v="59"/>
    <n v="0"/>
    <n v="0"/>
    <n v="0"/>
  </r>
  <r>
    <x v="4957"/>
    <n v="0"/>
    <n v="59"/>
    <n v="59"/>
    <n v="21"/>
    <n v="22"/>
    <x v="28"/>
    <n v="13"/>
    <n v="9"/>
    <n v="58"/>
    <n v="0.9"/>
    <n v="0"/>
    <n v="0"/>
  </r>
  <r>
    <x v="4958"/>
    <n v="9"/>
    <n v="58"/>
    <n v="67"/>
    <n v="13"/>
    <n v="19"/>
    <x v="25"/>
    <n v="20"/>
    <n v="8"/>
    <n v="52"/>
    <n v="0.8"/>
    <n v="0"/>
    <n v="0"/>
  </r>
  <r>
    <x v="4959"/>
    <n v="8"/>
    <n v="52"/>
    <n v="60"/>
    <n v="20"/>
    <n v="18"/>
    <x v="16"/>
    <n v="15"/>
    <n v="11"/>
    <n v="54"/>
    <n v="1.1000000000000001"/>
    <n v="0"/>
    <n v="0"/>
  </r>
  <r>
    <x v="4960"/>
    <n v="11"/>
    <n v="54"/>
    <n v="65"/>
    <n v="15"/>
    <n v="21"/>
    <x v="15"/>
    <n v="12"/>
    <n v="20"/>
    <n v="48"/>
    <n v="2"/>
    <n v="0"/>
    <n v="0"/>
  </r>
  <r>
    <x v="4961"/>
    <n v="20"/>
    <n v="48"/>
    <n v="68"/>
    <n v="12"/>
    <n v="13"/>
    <x v="14"/>
    <n v="27"/>
    <n v="6"/>
    <n v="47"/>
    <n v="0.60000000000000009"/>
    <n v="0"/>
    <n v="0"/>
  </r>
  <r>
    <x v="4962"/>
    <n v="6"/>
    <n v="47"/>
    <n v="53"/>
    <n v="27"/>
    <n v="20"/>
    <x v="16"/>
    <n v="23"/>
    <n v="3"/>
    <n v="54"/>
    <n v="0.30000000000000004"/>
    <n v="0"/>
    <n v="0"/>
  </r>
  <r>
    <x v="4963"/>
    <n v="3"/>
    <n v="54"/>
    <n v="57"/>
    <n v="23"/>
    <n v="15"/>
    <x v="33"/>
    <n v="21"/>
    <n v="-3"/>
    <n v="62"/>
    <n v="0"/>
    <n v="1"/>
    <n v="3"/>
  </r>
  <r>
    <x v="4964"/>
    <n v="-3"/>
    <n v="62"/>
    <n v="59"/>
    <n v="21"/>
    <n v="12"/>
    <x v="20"/>
    <n v="16"/>
    <n v="-7"/>
    <n v="71"/>
    <n v="0"/>
    <n v="1"/>
    <n v="7"/>
  </r>
  <r>
    <x v="4965"/>
    <n v="-7"/>
    <n v="71"/>
    <n v="64"/>
    <n v="16"/>
    <n v="27"/>
    <x v="4"/>
    <n v="24"/>
    <n v="-4"/>
    <n v="60"/>
    <n v="0"/>
    <n v="1"/>
    <n v="4"/>
  </r>
  <r>
    <x v="4966"/>
    <n v="-4"/>
    <n v="60"/>
    <n v="56"/>
    <n v="24"/>
    <n v="23"/>
    <x v="23"/>
    <n v="26"/>
    <n v="-7"/>
    <n v="61"/>
    <n v="0"/>
    <n v="1"/>
    <n v="7"/>
  </r>
  <r>
    <x v="4967"/>
    <n v="-7"/>
    <n v="61"/>
    <n v="54"/>
    <n v="26"/>
    <n v="21"/>
    <x v="7"/>
    <n v="13"/>
    <n v="1"/>
    <n v="66"/>
    <n v="0.1"/>
    <n v="0"/>
    <n v="0"/>
  </r>
  <r>
    <x v="4968"/>
    <n v="1"/>
    <n v="66"/>
    <n v="67"/>
    <n v="13"/>
    <n v="16"/>
    <x v="22"/>
    <n v="19"/>
    <n v="-2"/>
    <n v="63"/>
    <n v="0"/>
    <n v="1"/>
    <n v="2"/>
  </r>
  <r>
    <x v="4969"/>
    <n v="-2"/>
    <n v="63"/>
    <n v="61"/>
    <n v="19"/>
    <n v="24"/>
    <x v="28"/>
    <n v="13"/>
    <n v="9"/>
    <n v="58"/>
    <n v="0.9"/>
    <n v="0"/>
    <n v="0"/>
  </r>
  <r>
    <x v="4970"/>
    <n v="9"/>
    <n v="58"/>
    <n v="67"/>
    <n v="13"/>
    <n v="26"/>
    <x v="11"/>
    <n v="19"/>
    <n v="16"/>
    <n v="45"/>
    <n v="1.6"/>
    <n v="0"/>
    <n v="0"/>
  </r>
  <r>
    <x v="4971"/>
    <n v="16"/>
    <n v="45"/>
    <n v="61"/>
    <n v="19"/>
    <n v="13"/>
    <x v="9"/>
    <n v="26"/>
    <n v="3"/>
    <n v="51"/>
    <n v="0.30000000000000004"/>
    <n v="0"/>
    <n v="0"/>
  </r>
  <r>
    <x v="4972"/>
    <n v="3"/>
    <n v="51"/>
    <n v="54"/>
    <n v="26"/>
    <n v="19"/>
    <x v="28"/>
    <n v="16"/>
    <n v="6"/>
    <n v="58"/>
    <n v="0.60000000000000009"/>
    <n v="0"/>
    <n v="0"/>
  </r>
  <r>
    <x v="4973"/>
    <n v="6"/>
    <n v="58"/>
    <n v="64"/>
    <n v="16"/>
    <n v="13"/>
    <x v="23"/>
    <n v="17"/>
    <n v="2"/>
    <n v="61"/>
    <n v="0.2"/>
    <n v="0"/>
    <n v="0"/>
  </r>
  <r>
    <x v="4974"/>
    <n v="2"/>
    <n v="61"/>
    <n v="63"/>
    <n v="17"/>
    <n v="19"/>
    <x v="5"/>
    <n v="22"/>
    <n v="-1"/>
    <n v="59"/>
    <n v="0"/>
    <n v="1"/>
    <n v="1"/>
  </r>
  <r>
    <x v="4975"/>
    <n v="-1"/>
    <n v="59"/>
    <n v="58"/>
    <n v="22"/>
    <n v="26"/>
    <x v="27"/>
    <n v="27"/>
    <n v="-2"/>
    <n v="55"/>
    <n v="0"/>
    <n v="1"/>
    <n v="2"/>
  </r>
  <r>
    <x v="4976"/>
    <n v="-2"/>
    <n v="55"/>
    <n v="53"/>
    <n v="27"/>
    <n v="16"/>
    <x v="7"/>
    <n v="23"/>
    <n v="-9"/>
    <n v="66"/>
    <n v="0"/>
    <n v="1"/>
    <n v="9"/>
  </r>
  <r>
    <x v="4977"/>
    <n v="-9"/>
    <n v="66"/>
    <n v="57"/>
    <n v="23"/>
    <n v="17"/>
    <x v="29"/>
    <n v="24"/>
    <n v="-16"/>
    <n v="72"/>
    <n v="0"/>
    <n v="1"/>
    <n v="16"/>
  </r>
  <r>
    <x v="4978"/>
    <n v="-16"/>
    <n v="72"/>
    <n v="56"/>
    <n v="24"/>
    <n v="22"/>
    <x v="39"/>
    <n v="15"/>
    <n v="-9"/>
    <n v="74"/>
    <n v="0"/>
    <n v="1"/>
    <n v="9"/>
  </r>
  <r>
    <x v="4979"/>
    <n v="-9"/>
    <n v="74"/>
    <n v="65"/>
    <n v="15"/>
    <n v="27"/>
    <x v="33"/>
    <n v="16"/>
    <n v="2"/>
    <n v="62"/>
    <n v="0.2"/>
    <n v="0"/>
    <n v="0"/>
  </r>
  <r>
    <x v="4980"/>
    <n v="2"/>
    <n v="62"/>
    <n v="64"/>
    <n v="16"/>
    <n v="23"/>
    <x v="27"/>
    <n v="21"/>
    <n v="4"/>
    <n v="55"/>
    <n v="0.4"/>
    <n v="0"/>
    <n v="0"/>
  </r>
  <r>
    <x v="4981"/>
    <n v="4"/>
    <n v="55"/>
    <n v="59"/>
    <n v="21"/>
    <n v="24"/>
    <x v="25"/>
    <n v="20"/>
    <n v="8"/>
    <n v="52"/>
    <n v="0.8"/>
    <n v="0"/>
    <n v="0"/>
  </r>
  <r>
    <x v="4982"/>
    <n v="8"/>
    <n v="52"/>
    <n v="60"/>
    <n v="20"/>
    <n v="15"/>
    <x v="24"/>
    <n v="19"/>
    <n v="4"/>
    <n v="57"/>
    <n v="0.4"/>
    <n v="0"/>
    <n v="0"/>
  </r>
  <r>
    <x v="4983"/>
    <n v="4"/>
    <n v="57"/>
    <n v="61"/>
    <n v="19"/>
    <n v="16"/>
    <x v="4"/>
    <n v="19"/>
    <n v="1"/>
    <n v="60"/>
    <n v="0.1"/>
    <n v="0"/>
    <n v="0"/>
  </r>
  <r>
    <x v="4984"/>
    <n v="1"/>
    <n v="60"/>
    <n v="61"/>
    <n v="19"/>
    <n v="21"/>
    <x v="28"/>
    <n v="21"/>
    <n v="1"/>
    <n v="58"/>
    <n v="0.1"/>
    <n v="0"/>
    <n v="0"/>
  </r>
  <r>
    <x v="4985"/>
    <n v="1"/>
    <n v="58"/>
    <n v="59"/>
    <n v="21"/>
    <n v="20"/>
    <x v="5"/>
    <n v="17"/>
    <n v="4"/>
    <n v="59"/>
    <n v="0.4"/>
    <n v="0"/>
    <n v="0"/>
  </r>
  <r>
    <x v="4986"/>
    <n v="4"/>
    <n v="59"/>
    <n v="63"/>
    <n v="17"/>
    <n v="19"/>
    <x v="24"/>
    <n v="22"/>
    <n v="1"/>
    <n v="57"/>
    <n v="0.1"/>
    <n v="0"/>
    <n v="0"/>
  </r>
  <r>
    <x v="4987"/>
    <n v="1"/>
    <n v="57"/>
    <n v="58"/>
    <n v="22"/>
    <n v="19"/>
    <x v="4"/>
    <n v="19"/>
    <n v="1"/>
    <n v="60"/>
    <n v="0.1"/>
    <n v="0"/>
    <n v="0"/>
  </r>
  <r>
    <x v="4988"/>
    <n v="1"/>
    <n v="60"/>
    <n v="61"/>
    <n v="19"/>
    <n v="21"/>
    <x v="28"/>
    <n v="31"/>
    <n v="-9"/>
    <n v="58"/>
    <n v="0"/>
    <n v="1"/>
    <n v="9"/>
  </r>
  <r>
    <x v="4989"/>
    <n v="-9"/>
    <n v="58"/>
    <n v="49"/>
    <n v="31"/>
    <n v="17"/>
    <x v="29"/>
    <n v="11"/>
    <n v="-3"/>
    <n v="72"/>
    <n v="0"/>
    <n v="1"/>
    <n v="3"/>
  </r>
  <r>
    <x v="4990"/>
    <n v="-3"/>
    <n v="72"/>
    <n v="69"/>
    <n v="11"/>
    <n v="22"/>
    <x v="23"/>
    <n v="30"/>
    <n v="-11"/>
    <n v="61"/>
    <n v="0"/>
    <n v="1"/>
    <n v="11"/>
  </r>
  <r>
    <x v="4991"/>
    <n v="-11"/>
    <n v="61"/>
    <n v="50"/>
    <n v="30"/>
    <n v="19"/>
    <x v="29"/>
    <n v="24"/>
    <n v="-16"/>
    <n v="72"/>
    <n v="0"/>
    <n v="1"/>
    <n v="16"/>
  </r>
  <r>
    <x v="4992"/>
    <n v="-16"/>
    <n v="72"/>
    <n v="56"/>
    <n v="24"/>
    <n v="31"/>
    <x v="26"/>
    <n v="28"/>
    <n v="-13"/>
    <n v="65"/>
    <n v="0"/>
    <n v="1"/>
    <n v="13"/>
  </r>
  <r>
    <x v="4993"/>
    <n v="-13"/>
    <n v="65"/>
    <n v="52"/>
    <n v="28"/>
    <n v="11"/>
    <x v="19"/>
    <n v="12"/>
    <n v="-14"/>
    <n v="82"/>
    <n v="0"/>
    <n v="1"/>
    <n v="12"/>
  </r>
  <r>
    <x v="4994"/>
    <n v="-14"/>
    <n v="82"/>
    <n v="68"/>
    <n v="12"/>
    <n v="30"/>
    <x v="8"/>
    <n v="20"/>
    <n v="-4"/>
    <n v="64"/>
    <n v="0"/>
    <n v="1"/>
    <n v="4"/>
  </r>
  <r>
    <x v="4995"/>
    <n v="-4"/>
    <n v="64"/>
    <n v="60"/>
    <n v="20"/>
    <n v="24"/>
    <x v="4"/>
    <n v="23"/>
    <n v="-3"/>
    <n v="60"/>
    <n v="0"/>
    <n v="1"/>
    <n v="3"/>
  </r>
  <r>
    <x v="4996"/>
    <n v="-3"/>
    <n v="60"/>
    <n v="57"/>
    <n v="23"/>
    <n v="28"/>
    <x v="27"/>
    <n v="19"/>
    <n v="6"/>
    <n v="55"/>
    <n v="0.60000000000000009"/>
    <n v="0"/>
    <n v="0"/>
  </r>
  <r>
    <x v="4997"/>
    <n v="6"/>
    <n v="55"/>
    <n v="61"/>
    <n v="19"/>
    <n v="12"/>
    <x v="33"/>
    <n v="20"/>
    <n v="-2"/>
    <n v="62"/>
    <n v="0"/>
    <n v="1"/>
    <n v="2"/>
  </r>
  <r>
    <x v="4998"/>
    <n v="-2"/>
    <n v="62"/>
    <n v="60"/>
    <n v="20"/>
    <n v="20"/>
    <x v="33"/>
    <n v="22"/>
    <n v="-4"/>
    <n v="62"/>
    <n v="0"/>
    <n v="1"/>
    <n v="4"/>
  </r>
  <r>
    <x v="4999"/>
    <n v="-4"/>
    <n v="62"/>
    <n v="58"/>
    <n v="22"/>
    <n v="23"/>
    <x v="23"/>
    <n v="22"/>
    <n v="-3"/>
    <n v="61"/>
    <n v="0"/>
    <n v="1"/>
    <n v="3"/>
  </r>
  <r>
    <x v="5000"/>
    <n v="-3"/>
    <n v="61"/>
    <n v="58"/>
    <n v="22"/>
    <n v="19"/>
    <x v="8"/>
    <n v="17"/>
    <n v="-1"/>
    <n v="64"/>
    <n v="0"/>
    <n v="1"/>
    <n v="1"/>
  </r>
  <r>
    <x v="5001"/>
    <n v="-1"/>
    <n v="64"/>
    <n v="63"/>
    <n v="17"/>
    <n v="20"/>
    <x v="23"/>
    <n v="21"/>
    <n v="-2"/>
    <n v="61"/>
    <n v="0"/>
    <n v="1"/>
    <n v="2"/>
  </r>
  <r>
    <x v="5002"/>
    <n v="-2"/>
    <n v="61"/>
    <n v="59"/>
    <n v="21"/>
    <n v="22"/>
    <x v="4"/>
    <n v="25"/>
    <n v="-5"/>
    <n v="60"/>
    <n v="0"/>
    <n v="1"/>
    <n v="5"/>
  </r>
  <r>
    <x v="5003"/>
    <n v="-5"/>
    <n v="60"/>
    <n v="55"/>
    <n v="25"/>
    <n v="22"/>
    <x v="22"/>
    <n v="19"/>
    <n v="-2"/>
    <n v="63"/>
    <n v="0"/>
    <n v="1"/>
    <n v="2"/>
  </r>
  <r>
    <x v="5004"/>
    <n v="-2"/>
    <n v="63"/>
    <n v="61"/>
    <n v="19"/>
    <n v="17"/>
    <x v="26"/>
    <n v="15"/>
    <n v="0"/>
    <n v="65"/>
    <n v="0"/>
    <n v="0"/>
    <n v="0"/>
  </r>
  <r>
    <x v="5005"/>
    <n v="0"/>
    <n v="65"/>
    <n v="65"/>
    <n v="15"/>
    <n v="21"/>
    <x v="5"/>
    <n v="15"/>
    <n v="6"/>
    <n v="59"/>
    <n v="0.60000000000000009"/>
    <n v="0"/>
    <n v="0"/>
  </r>
  <r>
    <x v="5006"/>
    <n v="6"/>
    <n v="59"/>
    <n v="65"/>
    <n v="15"/>
    <n v="25"/>
    <x v="10"/>
    <n v="20"/>
    <n v="11"/>
    <n v="49"/>
    <n v="1.1000000000000001"/>
    <n v="0"/>
    <n v="0"/>
  </r>
  <r>
    <x v="5007"/>
    <n v="11"/>
    <n v="49"/>
    <n v="60"/>
    <n v="20"/>
    <n v="19"/>
    <x v="13"/>
    <n v="19"/>
    <n v="11"/>
    <n v="50"/>
    <n v="1.1000000000000001"/>
    <n v="0"/>
    <n v="0"/>
  </r>
  <r>
    <x v="5008"/>
    <n v="11"/>
    <n v="50"/>
    <n v="61"/>
    <n v="19"/>
    <n v="15"/>
    <x v="16"/>
    <n v="26"/>
    <n v="0"/>
    <n v="54"/>
    <n v="0"/>
    <n v="0"/>
    <n v="0"/>
  </r>
  <r>
    <x v="5009"/>
    <n v="0"/>
    <n v="54"/>
    <n v="54"/>
    <n v="26"/>
    <n v="15"/>
    <x v="26"/>
    <n v="15"/>
    <n v="0"/>
    <n v="65"/>
    <n v="0"/>
    <n v="0"/>
    <n v="0"/>
  </r>
  <r>
    <x v="5010"/>
    <n v="0"/>
    <n v="65"/>
    <n v="65"/>
    <n v="15"/>
    <n v="20"/>
    <x v="4"/>
    <n v="13"/>
    <n v="7"/>
    <n v="60"/>
    <n v="0.70000000000000007"/>
    <n v="0"/>
    <n v="0"/>
  </r>
  <r>
    <x v="5011"/>
    <n v="7"/>
    <n v="60"/>
    <n v="67"/>
    <n v="13"/>
    <n v="19"/>
    <x v="16"/>
    <n v="18"/>
    <n v="8"/>
    <n v="54"/>
    <n v="0.8"/>
    <n v="0"/>
    <n v="0"/>
  </r>
  <r>
    <x v="5012"/>
    <n v="8"/>
    <n v="54"/>
    <n v="62"/>
    <n v="18"/>
    <n v="26"/>
    <x v="38"/>
    <n v="29"/>
    <n v="5"/>
    <n v="46"/>
    <n v="0.5"/>
    <n v="0"/>
    <n v="0"/>
  </r>
  <r>
    <x v="5013"/>
    <n v="5"/>
    <n v="46"/>
    <n v="51"/>
    <n v="29"/>
    <n v="15"/>
    <x v="4"/>
    <n v="22"/>
    <n v="-2"/>
    <n v="60"/>
    <n v="0"/>
    <n v="1"/>
    <n v="2"/>
  </r>
  <r>
    <x v="5014"/>
    <n v="-2"/>
    <n v="60"/>
    <n v="58"/>
    <n v="22"/>
    <n v="13"/>
    <x v="30"/>
    <n v="21"/>
    <n v="-10"/>
    <n v="69"/>
    <n v="0"/>
    <n v="1"/>
    <n v="10"/>
  </r>
  <r>
    <x v="5015"/>
    <n v="-10"/>
    <n v="69"/>
    <n v="59"/>
    <n v="21"/>
    <n v="18"/>
    <x v="29"/>
    <n v="25"/>
    <n v="-17"/>
    <n v="72"/>
    <n v="0"/>
    <n v="1"/>
    <n v="17"/>
  </r>
  <r>
    <x v="5016"/>
    <n v="-17"/>
    <n v="72"/>
    <n v="55"/>
    <n v="25"/>
    <n v="29"/>
    <x v="17"/>
    <n v="12"/>
    <n v="0"/>
    <n v="68"/>
    <n v="0"/>
    <n v="0"/>
    <n v="0"/>
  </r>
  <r>
    <x v="5017"/>
    <n v="0"/>
    <n v="68"/>
    <n v="68"/>
    <n v="12"/>
    <n v="22"/>
    <x v="28"/>
    <n v="15"/>
    <n v="7"/>
    <n v="58"/>
    <n v="0.70000000000000007"/>
    <n v="0"/>
    <n v="0"/>
  </r>
  <r>
    <x v="5018"/>
    <n v="7"/>
    <n v="58"/>
    <n v="65"/>
    <n v="15"/>
    <n v="21"/>
    <x v="25"/>
    <n v="21"/>
    <n v="7"/>
    <n v="52"/>
    <n v="0.70000000000000007"/>
    <n v="0"/>
    <n v="0"/>
  </r>
  <r>
    <x v="5019"/>
    <n v="7"/>
    <n v="52"/>
    <n v="59"/>
    <n v="21"/>
    <n v="25"/>
    <x v="15"/>
    <n v="18"/>
    <n v="14"/>
    <n v="48"/>
    <n v="1.4000000000000001"/>
    <n v="0"/>
    <n v="0"/>
  </r>
  <r>
    <x v="5020"/>
    <n v="14"/>
    <n v="48"/>
    <n v="62"/>
    <n v="18"/>
    <n v="12"/>
    <x v="16"/>
    <n v="18"/>
    <n v="8"/>
    <n v="54"/>
    <n v="0.8"/>
    <n v="0"/>
    <n v="0"/>
  </r>
  <r>
    <x v="5021"/>
    <n v="8"/>
    <n v="54"/>
    <n v="62"/>
    <n v="18"/>
    <n v="15"/>
    <x v="24"/>
    <n v="15"/>
    <n v="8"/>
    <n v="57"/>
    <n v="0.8"/>
    <n v="0"/>
    <n v="0"/>
  </r>
  <r>
    <x v="5022"/>
    <n v="8"/>
    <n v="57"/>
    <n v="65"/>
    <n v="15"/>
    <n v="21"/>
    <x v="9"/>
    <n v="26"/>
    <n v="3"/>
    <n v="51"/>
    <n v="0.30000000000000004"/>
    <n v="0"/>
    <n v="0"/>
  </r>
  <r>
    <x v="5023"/>
    <n v="3"/>
    <n v="51"/>
    <n v="54"/>
    <n v="26"/>
    <n v="18"/>
    <x v="5"/>
    <n v="20"/>
    <n v="1"/>
    <n v="59"/>
    <n v="0.1"/>
    <n v="0"/>
    <n v="0"/>
  </r>
  <r>
    <x v="5024"/>
    <n v="1"/>
    <n v="59"/>
    <n v="60"/>
    <n v="20"/>
    <n v="18"/>
    <x v="23"/>
    <n v="13"/>
    <n v="6"/>
    <n v="61"/>
    <n v="0.60000000000000009"/>
    <n v="0"/>
    <n v="0"/>
  </r>
  <r>
    <x v="5025"/>
    <n v="6"/>
    <n v="61"/>
    <n v="67"/>
    <n v="13"/>
    <n v="15"/>
    <x v="5"/>
    <n v="14"/>
    <n v="7"/>
    <n v="59"/>
    <n v="0.70000000000000007"/>
    <n v="0"/>
    <n v="0"/>
  </r>
  <r>
    <x v="5026"/>
    <n v="7"/>
    <n v="59"/>
    <n v="66"/>
    <n v="14"/>
    <n v="26"/>
    <x v="14"/>
    <n v="20"/>
    <n v="13"/>
    <n v="47"/>
    <n v="1.3"/>
    <n v="0"/>
    <n v="0"/>
  </r>
  <r>
    <x v="5027"/>
    <n v="13"/>
    <n v="47"/>
    <n v="60"/>
    <n v="20"/>
    <n v="20"/>
    <x v="14"/>
    <n v="26"/>
    <n v="7"/>
    <n v="47"/>
    <n v="0.70000000000000007"/>
    <n v="0"/>
    <n v="0"/>
  </r>
  <r>
    <x v="5028"/>
    <n v="7"/>
    <n v="47"/>
    <n v="54"/>
    <n v="26"/>
    <n v="13"/>
    <x v="4"/>
    <n v="21"/>
    <n v="-1"/>
    <n v="60"/>
    <n v="0"/>
    <n v="1"/>
    <n v="1"/>
  </r>
  <r>
    <x v="5029"/>
    <n v="-1"/>
    <n v="60"/>
    <n v="59"/>
    <n v="21"/>
    <n v="14"/>
    <x v="21"/>
    <n v="20"/>
    <n v="-7"/>
    <n v="67"/>
    <n v="0"/>
    <n v="1"/>
    <n v="7"/>
  </r>
  <r>
    <x v="5030"/>
    <n v="-7"/>
    <n v="67"/>
    <n v="60"/>
    <n v="20"/>
    <n v="20"/>
    <x v="21"/>
    <n v="22"/>
    <n v="-9"/>
    <n v="67"/>
    <n v="0"/>
    <n v="1"/>
    <n v="9"/>
  </r>
  <r>
    <x v="5031"/>
    <n v="-9"/>
    <n v="67"/>
    <n v="58"/>
    <n v="22"/>
    <n v="26"/>
    <x v="22"/>
    <n v="23"/>
    <n v="-6"/>
    <n v="63"/>
    <n v="0"/>
    <n v="1"/>
    <n v="6"/>
  </r>
  <r>
    <x v="5032"/>
    <n v="-6"/>
    <n v="63"/>
    <n v="57"/>
    <n v="23"/>
    <n v="21"/>
    <x v="26"/>
    <n v="25"/>
    <n v="-10"/>
    <n v="65"/>
    <n v="0"/>
    <n v="1"/>
    <n v="10"/>
  </r>
  <r>
    <x v="5033"/>
    <n v="-10"/>
    <n v="65"/>
    <n v="55"/>
    <n v="25"/>
    <n v="20"/>
    <x v="6"/>
    <n v="19"/>
    <n v="-9"/>
    <n v="70"/>
    <n v="0"/>
    <n v="1"/>
    <n v="9"/>
  </r>
  <r>
    <x v="5034"/>
    <n v="-9"/>
    <n v="70"/>
    <n v="61"/>
    <n v="19"/>
    <n v="22"/>
    <x v="21"/>
    <n v="20"/>
    <n v="-7"/>
    <n v="67"/>
    <n v="0"/>
    <n v="1"/>
    <n v="7"/>
  </r>
  <r>
    <x v="5035"/>
    <n v="-7"/>
    <n v="67"/>
    <n v="60"/>
    <n v="20"/>
    <n v="23"/>
    <x v="8"/>
    <n v="21"/>
    <n v="-5"/>
    <n v="64"/>
    <n v="0"/>
    <n v="1"/>
    <n v="5"/>
  </r>
  <r>
    <x v="5036"/>
    <n v="-5"/>
    <n v="64"/>
    <n v="59"/>
    <n v="21"/>
    <n v="25"/>
    <x v="4"/>
    <n v="20"/>
    <n v="0"/>
    <n v="60"/>
    <n v="0"/>
    <n v="0"/>
    <n v="0"/>
  </r>
  <r>
    <x v="5037"/>
    <n v="0"/>
    <n v="60"/>
    <n v="60"/>
    <n v="20"/>
    <n v="19"/>
    <x v="23"/>
    <n v="27"/>
    <n v="-8"/>
    <n v="61"/>
    <n v="0"/>
    <n v="1"/>
    <n v="8"/>
  </r>
  <r>
    <x v="5038"/>
    <n v="-8"/>
    <n v="61"/>
    <n v="53"/>
    <n v="27"/>
    <n v="20"/>
    <x v="17"/>
    <n v="11"/>
    <n v="1"/>
    <n v="68"/>
    <n v="0.1"/>
    <n v="0"/>
    <n v="0"/>
  </r>
  <r>
    <x v="5039"/>
    <n v="1"/>
    <n v="68"/>
    <n v="69"/>
    <n v="11"/>
    <n v="21"/>
    <x v="28"/>
    <n v="19"/>
    <n v="3"/>
    <n v="58"/>
    <n v="0.30000000000000004"/>
    <n v="0"/>
    <n v="0"/>
  </r>
  <r>
    <x v="5040"/>
    <n v="3"/>
    <n v="58"/>
    <n v="61"/>
    <n v="19"/>
    <n v="20"/>
    <x v="24"/>
    <n v="22"/>
    <n v="1"/>
    <n v="57"/>
    <n v="0.1"/>
    <n v="0"/>
    <n v="0"/>
  </r>
  <r>
    <x v="5041"/>
    <n v="1"/>
    <n v="57"/>
    <n v="58"/>
    <n v="22"/>
    <n v="27"/>
    <x v="25"/>
    <n v="25"/>
    <n v="3"/>
    <n v="52"/>
    <n v="0.30000000000000004"/>
    <n v="0"/>
    <n v="0"/>
  </r>
  <r>
    <x v="5042"/>
    <n v="3"/>
    <n v="52"/>
    <n v="55"/>
    <n v="25"/>
    <n v="11"/>
    <x v="7"/>
    <n v="16"/>
    <n v="-2"/>
    <n v="66"/>
    <n v="0"/>
    <n v="1"/>
    <n v="2"/>
  </r>
  <r>
    <x v="5043"/>
    <n v="-2"/>
    <n v="66"/>
    <n v="64"/>
    <n v="16"/>
    <n v="19"/>
    <x v="22"/>
    <n v="27"/>
    <n v="-10"/>
    <n v="63"/>
    <n v="0"/>
    <n v="1"/>
    <n v="10"/>
  </r>
  <r>
    <x v="5044"/>
    <n v="-10"/>
    <n v="63"/>
    <n v="53"/>
    <n v="27"/>
    <n v="22"/>
    <x v="17"/>
    <n v="15"/>
    <n v="-3"/>
    <n v="68"/>
    <n v="0"/>
    <n v="1"/>
    <n v="3"/>
  </r>
  <r>
    <x v="5045"/>
    <n v="-3"/>
    <n v="68"/>
    <n v="65"/>
    <n v="15"/>
    <n v="25"/>
    <x v="28"/>
    <n v="19"/>
    <n v="3"/>
    <n v="58"/>
    <n v="0.30000000000000004"/>
    <n v="0"/>
    <n v="0"/>
  </r>
  <r>
    <x v="5046"/>
    <n v="3"/>
    <n v="58"/>
    <n v="61"/>
    <n v="19"/>
    <n v="16"/>
    <x v="23"/>
    <n v="31"/>
    <n v="-12"/>
    <n v="61"/>
    <n v="0"/>
    <n v="1"/>
    <n v="12"/>
  </r>
  <r>
    <x v="5047"/>
    <n v="-12"/>
    <n v="61"/>
    <n v="49"/>
    <n v="31"/>
    <n v="27"/>
    <x v="26"/>
    <n v="26"/>
    <n v="-11"/>
    <n v="65"/>
    <n v="0"/>
    <n v="1"/>
    <n v="11"/>
  </r>
  <r>
    <x v="5048"/>
    <n v="-11"/>
    <n v="65"/>
    <n v="54"/>
    <n v="26"/>
    <n v="15"/>
    <x v="37"/>
    <n v="13"/>
    <n v="-9"/>
    <n v="76"/>
    <n v="0"/>
    <n v="1"/>
    <n v="9"/>
  </r>
  <r>
    <x v="5049"/>
    <n v="-9"/>
    <n v="76"/>
    <n v="67"/>
    <n v="13"/>
    <n v="19"/>
    <x v="6"/>
    <n v="18"/>
    <n v="-8"/>
    <n v="70"/>
    <n v="0"/>
    <n v="1"/>
    <n v="8"/>
  </r>
  <r>
    <x v="5050"/>
    <n v="-8"/>
    <n v="70"/>
    <n v="62"/>
    <n v="18"/>
    <n v="31"/>
    <x v="24"/>
    <n v="23"/>
    <n v="0"/>
    <n v="57"/>
    <n v="0"/>
    <n v="0"/>
    <n v="0"/>
  </r>
  <r>
    <x v="5051"/>
    <n v="0"/>
    <n v="57"/>
    <n v="57"/>
    <n v="23"/>
    <n v="26"/>
    <x v="16"/>
    <n v="24"/>
    <n v="2"/>
    <n v="54"/>
    <n v="0.2"/>
    <n v="0"/>
    <n v="0"/>
  </r>
  <r>
    <x v="5052"/>
    <n v="2"/>
    <n v="54"/>
    <n v="56"/>
    <n v="24"/>
    <n v="13"/>
    <x v="26"/>
    <n v="15"/>
    <n v="0"/>
    <n v="65"/>
    <n v="0"/>
    <n v="0"/>
    <n v="0"/>
  </r>
  <r>
    <x v="5053"/>
    <n v="0"/>
    <n v="65"/>
    <n v="65"/>
    <n v="15"/>
    <n v="18"/>
    <x v="33"/>
    <n v="16"/>
    <n v="2"/>
    <n v="62"/>
    <n v="0.2"/>
    <n v="0"/>
    <n v="0"/>
  </r>
  <r>
    <x v="5054"/>
    <n v="2"/>
    <n v="62"/>
    <n v="64"/>
    <n v="16"/>
    <n v="23"/>
    <x v="27"/>
    <n v="29"/>
    <n v="-4"/>
    <n v="55"/>
    <n v="0"/>
    <n v="1"/>
    <n v="4"/>
  </r>
  <r>
    <x v="5055"/>
    <n v="-4"/>
    <n v="55"/>
    <n v="51"/>
    <n v="29"/>
    <n v="24"/>
    <x v="4"/>
    <n v="15"/>
    <n v="5"/>
    <n v="60"/>
    <n v="0.5"/>
    <n v="0"/>
    <n v="0"/>
  </r>
  <r>
    <x v="5056"/>
    <n v="5"/>
    <n v="60"/>
    <n v="65"/>
    <n v="15"/>
    <n v="15"/>
    <x v="4"/>
    <n v="30"/>
    <n v="-10"/>
    <n v="60"/>
    <n v="0"/>
    <n v="1"/>
    <n v="10"/>
  </r>
  <r>
    <x v="5057"/>
    <n v="-10"/>
    <n v="60"/>
    <n v="50"/>
    <n v="30"/>
    <n v="16"/>
    <x v="39"/>
    <n v="12"/>
    <n v="-6"/>
    <n v="74"/>
    <n v="0"/>
    <n v="1"/>
    <n v="6"/>
  </r>
  <r>
    <x v="5058"/>
    <n v="-6"/>
    <n v="74"/>
    <n v="68"/>
    <n v="12"/>
    <n v="29"/>
    <x v="24"/>
    <n v="14"/>
    <n v="9"/>
    <n v="57"/>
    <n v="0.9"/>
    <n v="0"/>
    <n v="0"/>
  </r>
  <r>
    <x v="5059"/>
    <n v="9"/>
    <n v="57"/>
    <n v="66"/>
    <n v="14"/>
    <n v="15"/>
    <x v="32"/>
    <n v="18"/>
    <n v="6"/>
    <n v="56"/>
    <n v="0.60000000000000009"/>
    <n v="0"/>
    <n v="0"/>
  </r>
  <r>
    <x v="5060"/>
    <n v="6"/>
    <n v="56"/>
    <n v="62"/>
    <n v="18"/>
    <n v="30"/>
    <x v="45"/>
    <n v="26"/>
    <n v="10"/>
    <n v="44"/>
    <n v="1"/>
    <n v="0"/>
    <n v="0"/>
  </r>
  <r>
    <x v="5061"/>
    <n v="10"/>
    <n v="44"/>
    <n v="54"/>
    <n v="26"/>
    <n v="12"/>
    <x v="28"/>
    <n v="20"/>
    <n v="2"/>
    <n v="58"/>
    <n v="0.2"/>
    <n v="0"/>
    <n v="0"/>
  </r>
  <r>
    <x v="5062"/>
    <n v="2"/>
    <n v="58"/>
    <n v="60"/>
    <n v="20"/>
    <n v="14"/>
    <x v="8"/>
    <n v="28"/>
    <n v="-12"/>
    <n v="64"/>
    <n v="0"/>
    <n v="1"/>
    <n v="12"/>
  </r>
  <r>
    <x v="5063"/>
    <n v="-12"/>
    <n v="64"/>
    <n v="52"/>
    <n v="28"/>
    <n v="18"/>
    <x v="39"/>
    <n v="22"/>
    <n v="-16"/>
    <n v="74"/>
    <n v="0"/>
    <n v="1"/>
    <n v="16"/>
  </r>
  <r>
    <x v="5064"/>
    <n v="-16"/>
    <n v="74"/>
    <n v="58"/>
    <n v="22"/>
    <n v="26"/>
    <x v="6"/>
    <n v="22"/>
    <n v="-12"/>
    <n v="70"/>
    <n v="0"/>
    <n v="1"/>
    <n v="12"/>
  </r>
  <r>
    <x v="5065"/>
    <n v="-12"/>
    <n v="70"/>
    <n v="58"/>
    <n v="22"/>
    <n v="20"/>
    <x v="29"/>
    <n v="20"/>
    <n v="-12"/>
    <n v="72"/>
    <n v="0"/>
    <n v="1"/>
    <n v="12"/>
  </r>
  <r>
    <x v="5066"/>
    <n v="-12"/>
    <n v="72"/>
    <n v="60"/>
    <n v="20"/>
    <n v="28"/>
    <x v="8"/>
    <n v="12"/>
    <n v="4"/>
    <n v="64"/>
    <n v="0.4"/>
    <n v="0"/>
    <n v="0"/>
  </r>
  <r>
    <x v="5067"/>
    <n v="4"/>
    <n v="64"/>
    <n v="68"/>
    <n v="12"/>
    <n v="22"/>
    <x v="16"/>
    <n v="22"/>
    <n v="4"/>
    <n v="54"/>
    <n v="0.4"/>
    <n v="0"/>
    <n v="0"/>
  </r>
  <r>
    <x v="5068"/>
    <n v="4"/>
    <n v="54"/>
    <n v="58"/>
    <n v="22"/>
    <n v="22"/>
    <x v="16"/>
    <n v="16"/>
    <n v="10"/>
    <n v="54"/>
    <n v="1"/>
    <n v="0"/>
    <n v="0"/>
  </r>
  <r>
    <x v="5069"/>
    <n v="10"/>
    <n v="54"/>
    <n v="64"/>
    <n v="16"/>
    <n v="20"/>
    <x v="13"/>
    <n v="21"/>
    <n v="9"/>
    <n v="50"/>
    <n v="0.9"/>
    <n v="0"/>
    <n v="0"/>
  </r>
  <r>
    <x v="5070"/>
    <n v="9"/>
    <n v="50"/>
    <n v="59"/>
    <n v="21"/>
    <n v="12"/>
    <x v="5"/>
    <n v="14"/>
    <n v="7"/>
    <n v="59"/>
    <n v="0.70000000000000007"/>
    <n v="0"/>
    <n v="0"/>
  </r>
  <r>
    <x v="5071"/>
    <n v="7"/>
    <n v="59"/>
    <n v="66"/>
    <n v="14"/>
    <n v="22"/>
    <x v="9"/>
    <n v="19"/>
    <n v="10"/>
    <n v="51"/>
    <n v="1"/>
    <n v="0"/>
    <n v="0"/>
  </r>
  <r>
    <x v="5072"/>
    <n v="10"/>
    <n v="51"/>
    <n v="61"/>
    <n v="19"/>
    <n v="16"/>
    <x v="16"/>
    <n v="20"/>
    <n v="6"/>
    <n v="54"/>
    <n v="0.60000000000000009"/>
    <n v="0"/>
    <n v="0"/>
  </r>
  <r>
    <x v="5073"/>
    <n v="6"/>
    <n v="54"/>
    <n v="60"/>
    <n v="20"/>
    <n v="21"/>
    <x v="12"/>
    <n v="29"/>
    <n v="-2"/>
    <n v="53"/>
    <n v="0"/>
    <n v="1"/>
    <n v="2"/>
  </r>
  <r>
    <x v="5074"/>
    <n v="-2"/>
    <n v="53"/>
    <n v="51"/>
    <n v="29"/>
    <n v="14"/>
    <x v="17"/>
    <n v="23"/>
    <n v="-11"/>
    <n v="68"/>
    <n v="0"/>
    <n v="1"/>
    <n v="11"/>
  </r>
  <r>
    <x v="5075"/>
    <n v="-11"/>
    <n v="68"/>
    <n v="57"/>
    <n v="23"/>
    <n v="19"/>
    <x v="29"/>
    <n v="24"/>
    <n v="-16"/>
    <n v="72"/>
    <n v="0"/>
    <n v="1"/>
    <n v="16"/>
  </r>
  <r>
    <x v="5076"/>
    <n v="-16"/>
    <n v="72"/>
    <n v="56"/>
    <n v="24"/>
    <n v="20"/>
    <x v="37"/>
    <n v="26"/>
    <n v="-22"/>
    <n v="76"/>
    <n v="0"/>
    <n v="1"/>
    <n v="22"/>
  </r>
  <r>
    <x v="5077"/>
    <n v="-22"/>
    <n v="76"/>
    <n v="54"/>
    <n v="26"/>
    <n v="29"/>
    <x v="31"/>
    <n v="10"/>
    <n v="-3"/>
    <n v="73"/>
    <n v="0"/>
    <n v="1"/>
    <n v="3"/>
  </r>
  <r>
    <x v="5078"/>
    <n v="-3"/>
    <n v="73"/>
    <n v="70"/>
    <n v="10"/>
    <n v="23"/>
    <x v="4"/>
    <n v="25"/>
    <n v="-5"/>
    <n v="60"/>
    <n v="0"/>
    <n v="1"/>
    <n v="5"/>
  </r>
  <r>
    <x v="5079"/>
    <n v="-5"/>
    <n v="60"/>
    <n v="55"/>
    <n v="25"/>
    <n v="24"/>
    <x v="23"/>
    <n v="13"/>
    <n v="6"/>
    <n v="61"/>
    <n v="0.60000000000000009"/>
    <n v="0"/>
    <n v="0"/>
  </r>
  <r>
    <x v="5080"/>
    <n v="6"/>
    <n v="61"/>
    <n v="67"/>
    <n v="13"/>
    <n v="26"/>
    <x v="15"/>
    <n v="19"/>
    <n v="13"/>
    <n v="48"/>
    <n v="1.3"/>
    <n v="0"/>
    <n v="0"/>
  </r>
  <r>
    <x v="5081"/>
    <n v="13"/>
    <n v="48"/>
    <n v="61"/>
    <n v="19"/>
    <n v="10"/>
    <x v="24"/>
    <n v="19"/>
    <n v="4"/>
    <n v="57"/>
    <n v="0.4"/>
    <n v="0"/>
    <n v="0"/>
  </r>
  <r>
    <x v="5082"/>
    <n v="4"/>
    <n v="57"/>
    <n v="61"/>
    <n v="19"/>
    <n v="25"/>
    <x v="9"/>
    <n v="32"/>
    <n v="-3"/>
    <n v="51"/>
    <n v="0"/>
    <n v="1"/>
    <n v="3"/>
  </r>
  <r>
    <x v="5083"/>
    <n v="-3"/>
    <n v="51"/>
    <n v="48"/>
    <n v="32"/>
    <n v="13"/>
    <x v="6"/>
    <n v="28"/>
    <n v="-18"/>
    <n v="70"/>
    <n v="0"/>
    <n v="1"/>
    <n v="18"/>
  </r>
  <r>
    <x v="5084"/>
    <n v="-18"/>
    <n v="70"/>
    <n v="52"/>
    <n v="28"/>
    <n v="19"/>
    <x v="43"/>
    <n v="21"/>
    <n v="-20"/>
    <n v="79"/>
    <n v="0"/>
    <n v="1"/>
    <n v="20"/>
  </r>
  <r>
    <x v="5085"/>
    <n v="-20"/>
    <n v="79"/>
    <n v="59"/>
    <n v="21"/>
    <n v="19"/>
    <x v="41"/>
    <n v="21"/>
    <n v="-22"/>
    <n v="81"/>
    <n v="0"/>
    <n v="1"/>
    <n v="21"/>
  </r>
  <r>
    <x v="5086"/>
    <n v="-22"/>
    <n v="81"/>
    <n v="59"/>
    <n v="21"/>
    <n v="32"/>
    <x v="6"/>
    <n v="12"/>
    <n v="-2"/>
    <n v="70"/>
    <n v="0"/>
    <n v="1"/>
    <n v="2"/>
  </r>
  <r>
    <x v="5087"/>
    <n v="-2"/>
    <n v="70"/>
    <n v="68"/>
    <n v="12"/>
    <n v="28"/>
    <x v="16"/>
    <n v="21"/>
    <n v="5"/>
    <n v="54"/>
    <n v="0.5"/>
    <n v="0"/>
    <n v="0"/>
  </r>
  <r>
    <x v="5088"/>
    <n v="5"/>
    <n v="54"/>
    <n v="59"/>
    <n v="21"/>
    <n v="21"/>
    <x v="16"/>
    <n v="22"/>
    <n v="4"/>
    <n v="54"/>
    <n v="0.4"/>
    <n v="0"/>
    <n v="0"/>
  </r>
  <r>
    <x v="5089"/>
    <n v="4"/>
    <n v="54"/>
    <n v="58"/>
    <n v="22"/>
    <n v="21"/>
    <x v="27"/>
    <n v="20"/>
    <n v="5"/>
    <n v="55"/>
    <n v="0.5"/>
    <n v="0"/>
    <n v="0"/>
  </r>
  <r>
    <x v="5090"/>
    <n v="5"/>
    <n v="55"/>
    <n v="60"/>
    <n v="20"/>
    <n v="12"/>
    <x v="22"/>
    <n v="24"/>
    <n v="-7"/>
    <n v="63"/>
    <n v="0"/>
    <n v="1"/>
    <n v="7"/>
  </r>
  <r>
    <x v="5091"/>
    <n v="-7"/>
    <n v="63"/>
    <n v="56"/>
    <n v="24"/>
    <n v="21"/>
    <x v="7"/>
    <n v="27"/>
    <n v="-13"/>
    <n v="66"/>
    <n v="0"/>
    <n v="1"/>
    <n v="13"/>
  </r>
  <r>
    <x v="5092"/>
    <n v="-13"/>
    <n v="66"/>
    <n v="53"/>
    <n v="27"/>
    <n v="22"/>
    <x v="20"/>
    <n v="22"/>
    <n v="-13"/>
    <n v="71"/>
    <n v="0"/>
    <n v="1"/>
    <n v="13"/>
  </r>
  <r>
    <x v="5093"/>
    <n v="-13"/>
    <n v="71"/>
    <n v="58"/>
    <n v="22"/>
    <n v="20"/>
    <x v="31"/>
    <n v="25"/>
    <n v="-18"/>
    <n v="73"/>
    <n v="0"/>
    <n v="1"/>
    <n v="18"/>
  </r>
  <r>
    <x v="5094"/>
    <n v="-18"/>
    <n v="73"/>
    <n v="55"/>
    <n v="25"/>
    <n v="24"/>
    <x v="39"/>
    <n v="26"/>
    <n v="-20"/>
    <n v="74"/>
    <n v="0"/>
    <n v="1"/>
    <n v="20"/>
  </r>
  <r>
    <x v="5095"/>
    <n v="-20"/>
    <n v="74"/>
    <n v="54"/>
    <n v="26"/>
    <n v="27"/>
    <x v="31"/>
    <n v="16"/>
    <n v="-9"/>
    <n v="73"/>
    <n v="0"/>
    <n v="1"/>
    <n v="9"/>
  </r>
  <r>
    <x v="5096"/>
    <n v="-9"/>
    <n v="73"/>
    <n v="64"/>
    <n v="16"/>
    <n v="22"/>
    <x v="21"/>
    <n v="22"/>
    <n v="-9"/>
    <n v="67"/>
    <n v="0"/>
    <n v="1"/>
    <n v="9"/>
  </r>
  <r>
    <x v="5097"/>
    <n v="-9"/>
    <n v="67"/>
    <n v="58"/>
    <n v="22"/>
    <n v="25"/>
    <x v="8"/>
    <n v="26"/>
    <n v="-10"/>
    <n v="64"/>
    <n v="0"/>
    <n v="1"/>
    <n v="10"/>
  </r>
  <r>
    <x v="5098"/>
    <n v="-10"/>
    <n v="64"/>
    <n v="54"/>
    <n v="26"/>
    <n v="26"/>
    <x v="8"/>
    <n v="14"/>
    <n v="2"/>
    <n v="64"/>
    <n v="0.2"/>
    <n v="0"/>
    <n v="0"/>
  </r>
  <r>
    <x v="5099"/>
    <n v="2"/>
    <n v="64"/>
    <n v="66"/>
    <n v="14"/>
    <n v="16"/>
    <x v="33"/>
    <n v="22"/>
    <n v="-4"/>
    <n v="62"/>
    <n v="0"/>
    <n v="1"/>
    <n v="4"/>
  </r>
  <r>
    <x v="5100"/>
    <n v="-4"/>
    <n v="62"/>
    <n v="58"/>
    <n v="22"/>
    <n v="22"/>
    <x v="33"/>
    <n v="15"/>
    <n v="3"/>
    <n v="62"/>
    <n v="0.30000000000000004"/>
    <n v="0"/>
    <n v="0"/>
  </r>
  <r>
    <x v="5101"/>
    <n v="3"/>
    <n v="62"/>
    <n v="65"/>
    <n v="15"/>
    <n v="26"/>
    <x v="9"/>
    <n v="15"/>
    <n v="14"/>
    <n v="51"/>
    <n v="1.4000000000000001"/>
    <n v="0"/>
    <n v="0"/>
  </r>
  <r>
    <x v="5102"/>
    <n v="14"/>
    <n v="51"/>
    <n v="65"/>
    <n v="15"/>
    <n v="14"/>
    <x v="25"/>
    <n v="13"/>
    <n v="15"/>
    <n v="52"/>
    <n v="1.5"/>
    <n v="0"/>
    <n v="0"/>
  </r>
  <r>
    <x v="5103"/>
    <n v="15"/>
    <n v="52"/>
    <n v="67"/>
    <n v="13"/>
    <n v="22"/>
    <x v="51"/>
    <n v="17"/>
    <n v="20"/>
    <n v="43"/>
    <n v="2"/>
    <n v="0"/>
    <n v="0"/>
  </r>
  <r>
    <x v="5104"/>
    <n v="20"/>
    <n v="43"/>
    <n v="63"/>
    <n v="17"/>
    <n v="15"/>
    <x v="11"/>
    <n v="16"/>
    <n v="19"/>
    <n v="45"/>
    <n v="1.9000000000000001"/>
    <n v="0"/>
    <n v="0"/>
  </r>
  <r>
    <x v="5105"/>
    <n v="19"/>
    <n v="45"/>
    <n v="64"/>
    <n v="16"/>
    <n v="15"/>
    <x v="38"/>
    <n v="23"/>
    <n v="11"/>
    <n v="46"/>
    <n v="1.1000000000000001"/>
    <n v="0"/>
    <n v="0"/>
  </r>
  <r>
    <x v="5106"/>
    <n v="11"/>
    <n v="46"/>
    <n v="57"/>
    <n v="23"/>
    <n v="13"/>
    <x v="32"/>
    <n v="22"/>
    <n v="2"/>
    <n v="56"/>
    <n v="0.2"/>
    <n v="0"/>
    <n v="0"/>
  </r>
  <r>
    <x v="5107"/>
    <n v="2"/>
    <n v="56"/>
    <n v="58"/>
    <n v="22"/>
    <n v="17"/>
    <x v="23"/>
    <n v="23"/>
    <n v="-4"/>
    <n v="61"/>
    <n v="0"/>
    <n v="1"/>
    <n v="4"/>
  </r>
  <r>
    <x v="5108"/>
    <n v="-4"/>
    <n v="61"/>
    <n v="57"/>
    <n v="23"/>
    <n v="16"/>
    <x v="17"/>
    <n v="22"/>
    <n v="-10"/>
    <n v="68"/>
    <n v="0"/>
    <n v="1"/>
    <n v="10"/>
  </r>
  <r>
    <x v="5109"/>
    <n v="-10"/>
    <n v="68"/>
    <n v="58"/>
    <n v="22"/>
    <n v="23"/>
    <x v="21"/>
    <n v="14"/>
    <n v="-1"/>
    <n v="67"/>
    <n v="0"/>
    <n v="1"/>
    <n v="1"/>
  </r>
  <r>
    <x v="5110"/>
    <n v="-1"/>
    <n v="67"/>
    <n v="66"/>
    <n v="14"/>
    <n v="22"/>
    <x v="5"/>
    <n v="25"/>
    <n v="-4"/>
    <n v="59"/>
    <n v="0"/>
    <n v="1"/>
    <n v="4"/>
  </r>
  <r>
    <x v="5111"/>
    <n v="-4"/>
    <n v="59"/>
    <n v="55"/>
    <n v="25"/>
    <n v="23"/>
    <x v="23"/>
    <n v="18"/>
    <n v="1"/>
    <n v="61"/>
    <n v="0.1"/>
    <n v="0"/>
    <n v="0"/>
  </r>
  <r>
    <x v="5112"/>
    <n v="1"/>
    <n v="61"/>
    <n v="62"/>
    <n v="18"/>
    <n v="22"/>
    <x v="24"/>
    <n v="23"/>
    <n v="0"/>
    <n v="57"/>
    <n v="0"/>
    <n v="0"/>
    <n v="0"/>
  </r>
  <r>
    <x v="5113"/>
    <n v="0"/>
    <n v="57"/>
    <n v="57"/>
    <n v="23"/>
    <n v="14"/>
    <x v="7"/>
    <n v="17"/>
    <n v="-3"/>
    <n v="66"/>
    <n v="0"/>
    <n v="1"/>
    <n v="3"/>
  </r>
  <r>
    <x v="5114"/>
    <n v="-3"/>
    <n v="66"/>
    <n v="63"/>
    <n v="17"/>
    <n v="25"/>
    <x v="28"/>
    <n v="21"/>
    <n v="1"/>
    <n v="58"/>
    <n v="0.1"/>
    <n v="0"/>
    <n v="0"/>
  </r>
  <r>
    <x v="5115"/>
    <n v="1"/>
    <n v="58"/>
    <n v="59"/>
    <n v="21"/>
    <n v="18"/>
    <x v="23"/>
    <n v="13"/>
    <n v="6"/>
    <n v="61"/>
    <n v="0.60000000000000009"/>
    <n v="0"/>
    <n v="0"/>
  </r>
  <r>
    <x v="5116"/>
    <n v="6"/>
    <n v="61"/>
    <n v="67"/>
    <n v="13"/>
    <n v="23"/>
    <x v="9"/>
    <n v="24"/>
    <n v="5"/>
    <n v="51"/>
    <n v="0.5"/>
    <n v="0"/>
    <n v="0"/>
  </r>
  <r>
    <x v="5117"/>
    <n v="5"/>
    <n v="51"/>
    <n v="56"/>
    <n v="24"/>
    <n v="17"/>
    <x v="28"/>
    <n v="11"/>
    <n v="11"/>
    <n v="58"/>
    <n v="1.1000000000000001"/>
    <n v="0"/>
    <n v="0"/>
  </r>
  <r>
    <x v="5118"/>
    <n v="11"/>
    <n v="58"/>
    <n v="69"/>
    <n v="11"/>
    <n v="21"/>
    <x v="15"/>
    <n v="15"/>
    <n v="17"/>
    <n v="48"/>
    <n v="1.7000000000000002"/>
    <n v="0"/>
    <n v="0"/>
  </r>
  <r>
    <x v="5119"/>
    <n v="17"/>
    <n v="48"/>
    <n v="65"/>
    <n v="15"/>
    <n v="13"/>
    <x v="13"/>
    <n v="13"/>
    <n v="17"/>
    <n v="50"/>
    <n v="1.7000000000000002"/>
    <n v="0"/>
    <n v="0"/>
  </r>
  <r>
    <x v="5120"/>
    <n v="17"/>
    <n v="50"/>
    <n v="67"/>
    <n v="13"/>
    <n v="24"/>
    <x v="34"/>
    <n v="23"/>
    <n v="18"/>
    <n v="39"/>
    <n v="1.8"/>
    <n v="0"/>
    <n v="0"/>
  </r>
  <r>
    <x v="5121"/>
    <n v="18"/>
    <n v="39"/>
    <n v="57"/>
    <n v="23"/>
    <n v="11"/>
    <x v="9"/>
    <n v="19"/>
    <n v="10"/>
    <n v="51"/>
    <n v="1"/>
    <n v="0"/>
    <n v="0"/>
  </r>
  <r>
    <x v="5122"/>
    <n v="10"/>
    <n v="51"/>
    <n v="61"/>
    <n v="19"/>
    <n v="15"/>
    <x v="27"/>
    <n v="19"/>
    <n v="6"/>
    <n v="55"/>
    <n v="0.60000000000000009"/>
    <n v="0"/>
    <n v="0"/>
  </r>
  <r>
    <x v="5123"/>
    <n v="6"/>
    <n v="55"/>
    <n v="61"/>
    <n v="19"/>
    <n v="13"/>
    <x v="23"/>
    <n v="17"/>
    <n v="2"/>
    <n v="61"/>
    <n v="0.2"/>
    <n v="0"/>
    <n v="0"/>
  </r>
  <r>
    <x v="5124"/>
    <n v="2"/>
    <n v="61"/>
    <n v="63"/>
    <n v="17"/>
    <n v="23"/>
    <x v="27"/>
    <n v="27"/>
    <n v="-2"/>
    <n v="55"/>
    <n v="0"/>
    <n v="1"/>
    <n v="2"/>
  </r>
  <r>
    <x v="5125"/>
    <n v="-2"/>
    <n v="55"/>
    <n v="53"/>
    <n v="27"/>
    <n v="19"/>
    <x v="22"/>
    <n v="22"/>
    <n v="-5"/>
    <n v="63"/>
    <n v="0"/>
    <n v="1"/>
    <n v="5"/>
  </r>
  <r>
    <x v="5126"/>
    <n v="-5"/>
    <n v="63"/>
    <n v="58"/>
    <n v="22"/>
    <n v="19"/>
    <x v="7"/>
    <n v="18"/>
    <n v="-4"/>
    <n v="66"/>
    <n v="0"/>
    <n v="1"/>
    <n v="4"/>
  </r>
  <r>
    <x v="5127"/>
    <n v="-4"/>
    <n v="66"/>
    <n v="62"/>
    <n v="18"/>
    <n v="17"/>
    <x v="21"/>
    <n v="11"/>
    <n v="2"/>
    <n v="67"/>
    <n v="0.2"/>
    <n v="0"/>
    <n v="0"/>
  </r>
  <r>
    <x v="5128"/>
    <n v="2"/>
    <n v="67"/>
    <n v="69"/>
    <n v="11"/>
    <n v="27"/>
    <x v="9"/>
    <n v="22"/>
    <n v="7"/>
    <n v="51"/>
    <n v="0.70000000000000007"/>
    <n v="0"/>
    <n v="0"/>
  </r>
  <r>
    <x v="5129"/>
    <n v="7"/>
    <n v="51"/>
    <n v="58"/>
    <n v="22"/>
    <n v="22"/>
    <x v="9"/>
    <n v="19"/>
    <n v="10"/>
    <n v="51"/>
    <n v="1"/>
    <n v="0"/>
    <n v="0"/>
  </r>
  <r>
    <x v="5130"/>
    <n v="10"/>
    <n v="51"/>
    <n v="61"/>
    <n v="19"/>
    <n v="18"/>
    <x v="25"/>
    <n v="26"/>
    <n v="2"/>
    <n v="52"/>
    <n v="0.2"/>
    <n v="0"/>
    <n v="0"/>
  </r>
  <r>
    <x v="5131"/>
    <n v="2"/>
    <n v="52"/>
    <n v="54"/>
    <n v="26"/>
    <n v="11"/>
    <x v="21"/>
    <n v="30"/>
    <n v="-17"/>
    <n v="67"/>
    <n v="0"/>
    <n v="1"/>
    <n v="17"/>
  </r>
  <r>
    <x v="5132"/>
    <n v="-17"/>
    <n v="67"/>
    <n v="50"/>
    <n v="30"/>
    <n v="22"/>
    <x v="44"/>
    <n v="21"/>
    <n v="-16"/>
    <n v="75"/>
    <n v="0"/>
    <n v="1"/>
    <n v="16"/>
  </r>
  <r>
    <x v="5133"/>
    <n v="-16"/>
    <n v="75"/>
    <n v="59"/>
    <n v="21"/>
    <n v="19"/>
    <x v="18"/>
    <n v="18"/>
    <n v="-15"/>
    <n v="77"/>
    <n v="0"/>
    <n v="1"/>
    <n v="15"/>
  </r>
  <r>
    <x v="5134"/>
    <n v="-15"/>
    <n v="77"/>
    <n v="62"/>
    <n v="18"/>
    <n v="26"/>
    <x v="30"/>
    <n v="18"/>
    <n v="-7"/>
    <n v="69"/>
    <n v="0"/>
    <n v="1"/>
    <n v="7"/>
  </r>
  <r>
    <x v="5135"/>
    <n v="-7"/>
    <n v="69"/>
    <n v="62"/>
    <n v="18"/>
    <n v="30"/>
    <x v="24"/>
    <n v="16"/>
    <n v="7"/>
    <n v="57"/>
    <n v="0.70000000000000007"/>
    <n v="0"/>
    <n v="0"/>
  </r>
  <r>
    <x v="5136"/>
    <n v="7"/>
    <n v="57"/>
    <n v="64"/>
    <n v="16"/>
    <n v="21"/>
    <x v="25"/>
    <n v="30"/>
    <n v="-2"/>
    <n v="52"/>
    <n v="0"/>
    <n v="1"/>
    <n v="2"/>
  </r>
  <r>
    <x v="5137"/>
    <n v="-2"/>
    <n v="52"/>
    <n v="50"/>
    <n v="30"/>
    <n v="18"/>
    <x v="8"/>
    <n v="18"/>
    <n v="-2"/>
    <n v="64"/>
    <n v="0"/>
    <n v="1"/>
    <n v="2"/>
  </r>
  <r>
    <x v="5138"/>
    <n v="-2"/>
    <n v="64"/>
    <n v="62"/>
    <n v="18"/>
    <n v="18"/>
    <x v="8"/>
    <n v="20"/>
    <n v="-4"/>
    <n v="64"/>
    <n v="0"/>
    <n v="1"/>
    <n v="4"/>
  </r>
  <r>
    <x v="5139"/>
    <n v="-4"/>
    <n v="64"/>
    <n v="60"/>
    <n v="20"/>
    <n v="16"/>
    <x v="17"/>
    <n v="15"/>
    <n v="-3"/>
    <n v="68"/>
    <n v="0"/>
    <n v="1"/>
    <n v="3"/>
  </r>
  <r>
    <x v="5140"/>
    <n v="-3"/>
    <n v="68"/>
    <n v="65"/>
    <n v="15"/>
    <n v="30"/>
    <x v="12"/>
    <n v="20"/>
    <n v="7"/>
    <n v="53"/>
    <n v="0.70000000000000007"/>
    <n v="0"/>
    <n v="0"/>
  </r>
  <r>
    <x v="5141"/>
    <n v="7"/>
    <n v="53"/>
    <n v="60"/>
    <n v="20"/>
    <n v="18"/>
    <x v="27"/>
    <n v="14"/>
    <n v="11"/>
    <n v="55"/>
    <n v="1.1000000000000001"/>
    <n v="0"/>
    <n v="0"/>
  </r>
  <r>
    <x v="5142"/>
    <n v="11"/>
    <n v="55"/>
    <n v="66"/>
    <n v="14"/>
    <n v="20"/>
    <x v="10"/>
    <n v="22"/>
    <n v="9"/>
    <n v="49"/>
    <n v="0.9"/>
    <n v="0"/>
    <n v="0"/>
  </r>
  <r>
    <x v="5143"/>
    <n v="9"/>
    <n v="49"/>
    <n v="58"/>
    <n v="22"/>
    <n v="15"/>
    <x v="32"/>
    <n v="12"/>
    <n v="12"/>
    <n v="56"/>
    <n v="1.2000000000000002"/>
    <n v="0"/>
    <n v="0"/>
  </r>
  <r>
    <x v="5144"/>
    <n v="12"/>
    <n v="56"/>
    <n v="68"/>
    <n v="12"/>
    <n v="20"/>
    <x v="15"/>
    <n v="24"/>
    <n v="8"/>
    <n v="48"/>
    <n v="0.8"/>
    <n v="0"/>
    <n v="0"/>
  </r>
  <r>
    <x v="5145"/>
    <n v="8"/>
    <n v="48"/>
    <n v="56"/>
    <n v="24"/>
    <n v="14"/>
    <x v="28"/>
    <n v="16"/>
    <n v="6"/>
    <n v="58"/>
    <n v="0.60000000000000009"/>
    <n v="0"/>
    <n v="0"/>
  </r>
  <r>
    <x v="5146"/>
    <n v="6"/>
    <n v="58"/>
    <n v="64"/>
    <n v="16"/>
    <n v="22"/>
    <x v="25"/>
    <n v="21"/>
    <n v="7"/>
    <n v="52"/>
    <n v="0.70000000000000007"/>
    <n v="0"/>
    <n v="0"/>
  </r>
  <r>
    <x v="5147"/>
    <n v="7"/>
    <n v="52"/>
    <n v="59"/>
    <n v="21"/>
    <n v="12"/>
    <x v="23"/>
    <n v="17"/>
    <n v="2"/>
    <n v="61"/>
    <n v="0.2"/>
    <n v="0"/>
    <n v="0"/>
  </r>
  <r>
    <x v="5148"/>
    <n v="2"/>
    <n v="61"/>
    <n v="63"/>
    <n v="17"/>
    <n v="24"/>
    <x v="16"/>
    <n v="27"/>
    <n v="-1"/>
    <n v="54"/>
    <n v="0"/>
    <n v="1"/>
    <n v="1"/>
  </r>
  <r>
    <x v="5149"/>
    <n v="-1"/>
    <n v="54"/>
    <n v="53"/>
    <n v="27"/>
    <n v="16"/>
    <x v="26"/>
    <n v="19"/>
    <n v="-4"/>
    <n v="65"/>
    <n v="0"/>
    <n v="1"/>
    <n v="4"/>
  </r>
  <r>
    <x v="5150"/>
    <n v="-4"/>
    <n v="65"/>
    <n v="61"/>
    <n v="19"/>
    <n v="21"/>
    <x v="22"/>
    <n v="11"/>
    <n v="6"/>
    <n v="63"/>
    <n v="0.60000000000000009"/>
    <n v="0"/>
    <n v="0"/>
  </r>
  <r>
    <x v="5151"/>
    <n v="6"/>
    <n v="63"/>
    <n v="69"/>
    <n v="11"/>
    <n v="17"/>
    <x v="24"/>
    <n v="17"/>
    <n v="6"/>
    <n v="57"/>
    <n v="0.60000000000000009"/>
    <n v="0"/>
    <n v="0"/>
  </r>
  <r>
    <x v="5152"/>
    <n v="6"/>
    <n v="57"/>
    <n v="63"/>
    <n v="17"/>
    <n v="27"/>
    <x v="14"/>
    <n v="22"/>
    <n v="11"/>
    <n v="47"/>
    <n v="1.1000000000000001"/>
    <n v="0"/>
    <n v="0"/>
  </r>
  <r>
    <x v="5153"/>
    <n v="11"/>
    <n v="47"/>
    <n v="58"/>
    <n v="22"/>
    <n v="19"/>
    <x v="13"/>
    <n v="12"/>
    <n v="18"/>
    <n v="50"/>
    <n v="1.8"/>
    <n v="0"/>
    <n v="0"/>
  </r>
  <r>
    <x v="5154"/>
    <n v="18"/>
    <n v="50"/>
    <n v="68"/>
    <n v="12"/>
    <n v="11"/>
    <x v="9"/>
    <n v="16"/>
    <n v="13"/>
    <n v="51"/>
    <n v="1.3"/>
    <n v="0"/>
    <n v="0"/>
  </r>
  <r>
    <x v="5155"/>
    <n v="13"/>
    <n v="51"/>
    <n v="64"/>
    <n v="16"/>
    <n v="17"/>
    <x v="13"/>
    <n v="19"/>
    <n v="11"/>
    <n v="50"/>
    <n v="1.1000000000000001"/>
    <n v="0"/>
    <n v="0"/>
  </r>
  <r>
    <x v="5156"/>
    <n v="11"/>
    <n v="50"/>
    <n v="61"/>
    <n v="19"/>
    <n v="22"/>
    <x v="14"/>
    <n v="22"/>
    <n v="11"/>
    <n v="47"/>
    <n v="1.1000000000000001"/>
    <n v="0"/>
    <n v="0"/>
  </r>
  <r>
    <x v="5157"/>
    <n v="11"/>
    <n v="47"/>
    <n v="58"/>
    <n v="22"/>
    <n v="12"/>
    <x v="24"/>
    <n v="21"/>
    <n v="2"/>
    <n v="57"/>
    <n v="0.2"/>
    <n v="0"/>
    <n v="0"/>
  </r>
  <r>
    <x v="5158"/>
    <n v="2"/>
    <n v="57"/>
    <n v="59"/>
    <n v="21"/>
    <n v="16"/>
    <x v="33"/>
    <n v="17"/>
    <n v="1"/>
    <n v="62"/>
    <n v="0.1"/>
    <n v="0"/>
    <n v="0"/>
  </r>
  <r>
    <x v="5159"/>
    <n v="1"/>
    <n v="62"/>
    <n v="63"/>
    <n v="17"/>
    <n v="19"/>
    <x v="4"/>
    <n v="23"/>
    <n v="-3"/>
    <n v="60"/>
    <n v="0"/>
    <n v="1"/>
    <n v="3"/>
  </r>
  <r>
    <x v="5160"/>
    <n v="-3"/>
    <n v="60"/>
    <n v="57"/>
    <n v="23"/>
    <n v="22"/>
    <x v="23"/>
    <n v="18"/>
    <n v="1"/>
    <n v="61"/>
    <n v="0.1"/>
    <n v="0"/>
    <n v="0"/>
  </r>
  <r>
    <x v="5161"/>
    <n v="1"/>
    <n v="61"/>
    <n v="62"/>
    <n v="18"/>
    <n v="21"/>
    <x v="28"/>
    <n v="10"/>
    <n v="12"/>
    <n v="58"/>
    <n v="1.2000000000000002"/>
    <n v="0"/>
    <n v="0"/>
  </r>
  <r>
    <x v="5162"/>
    <n v="12"/>
    <n v="58"/>
    <n v="70"/>
    <n v="10"/>
    <n v="17"/>
    <x v="9"/>
    <n v="22"/>
    <n v="7"/>
    <n v="51"/>
    <n v="0.70000000000000007"/>
    <n v="0"/>
    <n v="0"/>
  </r>
  <r>
    <x v="5163"/>
    <n v="7"/>
    <n v="51"/>
    <n v="58"/>
    <n v="22"/>
    <n v="23"/>
    <x v="13"/>
    <n v="25"/>
    <n v="5"/>
    <n v="50"/>
    <n v="0.5"/>
    <n v="0"/>
    <n v="0"/>
  </r>
  <r>
    <x v="5164"/>
    <n v="5"/>
    <n v="50"/>
    <n v="55"/>
    <n v="25"/>
    <n v="18"/>
    <x v="24"/>
    <n v="24"/>
    <n v="-1"/>
    <n v="57"/>
    <n v="0"/>
    <n v="1"/>
    <n v="1"/>
  </r>
  <r>
    <x v="5165"/>
    <n v="-1"/>
    <n v="57"/>
    <n v="56"/>
    <n v="24"/>
    <n v="10"/>
    <x v="20"/>
    <n v="18"/>
    <n v="-9"/>
    <n v="71"/>
    <n v="0"/>
    <n v="1"/>
    <n v="9"/>
  </r>
  <r>
    <x v="5166"/>
    <n v="-9"/>
    <n v="71"/>
    <n v="62"/>
    <n v="18"/>
    <n v="22"/>
    <x v="21"/>
    <n v="18"/>
    <n v="-5"/>
    <n v="67"/>
    <n v="0"/>
    <n v="1"/>
    <n v="5"/>
  </r>
  <r>
    <x v="5167"/>
    <n v="-5"/>
    <n v="67"/>
    <n v="62"/>
    <n v="18"/>
    <n v="25"/>
    <x v="4"/>
    <n v="27"/>
    <n v="-7"/>
    <n v="60"/>
    <n v="0"/>
    <n v="1"/>
    <n v="7"/>
  </r>
  <r>
    <x v="5168"/>
    <n v="-7"/>
    <n v="60"/>
    <n v="53"/>
    <n v="27"/>
    <n v="24"/>
    <x v="22"/>
    <n v="20"/>
    <n v="-3"/>
    <n v="63"/>
    <n v="0"/>
    <n v="1"/>
    <n v="3"/>
  </r>
  <r>
    <x v="5169"/>
    <n v="-3"/>
    <n v="63"/>
    <n v="60"/>
    <n v="20"/>
    <n v="18"/>
    <x v="26"/>
    <n v="17"/>
    <n v="-2"/>
    <n v="65"/>
    <n v="0"/>
    <n v="1"/>
    <n v="2"/>
  </r>
  <r>
    <x v="5170"/>
    <n v="-2"/>
    <n v="65"/>
    <n v="63"/>
    <n v="17"/>
    <n v="18"/>
    <x v="8"/>
    <n v="22"/>
    <n v="-6"/>
    <n v="64"/>
    <n v="0"/>
    <n v="1"/>
    <n v="6"/>
  </r>
  <r>
    <x v="5171"/>
    <n v="-6"/>
    <n v="64"/>
    <n v="58"/>
    <n v="22"/>
    <n v="27"/>
    <x v="5"/>
    <n v="15"/>
    <n v="6"/>
    <n v="59"/>
    <n v="0.60000000000000009"/>
    <n v="0"/>
    <n v="0"/>
  </r>
  <r>
    <x v="5172"/>
    <n v="6"/>
    <n v="59"/>
    <n v="65"/>
    <n v="15"/>
    <n v="20"/>
    <x v="16"/>
    <n v="24"/>
    <n v="2"/>
    <n v="54"/>
    <n v="0.2"/>
    <n v="0"/>
    <n v="0"/>
  </r>
  <r>
    <x v="5173"/>
    <n v="2"/>
    <n v="54"/>
    <n v="56"/>
    <n v="24"/>
    <n v="17"/>
    <x v="23"/>
    <n v="22"/>
    <n v="-3"/>
    <n v="61"/>
    <n v="0"/>
    <n v="1"/>
    <n v="3"/>
  </r>
  <r>
    <x v="5174"/>
    <n v="-3"/>
    <n v="61"/>
    <n v="58"/>
    <n v="22"/>
    <n v="22"/>
    <x v="23"/>
    <n v="25"/>
    <n v="-6"/>
    <n v="61"/>
    <n v="0"/>
    <n v="1"/>
    <n v="6"/>
  </r>
  <r>
    <x v="5175"/>
    <n v="-6"/>
    <n v="61"/>
    <n v="55"/>
    <n v="25"/>
    <n v="15"/>
    <x v="20"/>
    <n v="18"/>
    <n v="-9"/>
    <n v="71"/>
    <n v="0"/>
    <n v="1"/>
    <n v="9"/>
  </r>
  <r>
    <x v="5176"/>
    <n v="-9"/>
    <n v="71"/>
    <n v="62"/>
    <n v="18"/>
    <n v="24"/>
    <x v="26"/>
    <n v="23"/>
    <n v="-8"/>
    <n v="65"/>
    <n v="0"/>
    <n v="1"/>
    <n v="8"/>
  </r>
  <r>
    <x v="5177"/>
    <n v="-8"/>
    <n v="65"/>
    <n v="57"/>
    <n v="23"/>
    <n v="22"/>
    <x v="7"/>
    <n v="27"/>
    <n v="-13"/>
    <n v="66"/>
    <n v="0"/>
    <n v="1"/>
    <n v="13"/>
  </r>
  <r>
    <x v="5178"/>
    <n v="-13"/>
    <n v="66"/>
    <n v="53"/>
    <n v="27"/>
    <n v="25"/>
    <x v="17"/>
    <n v="19"/>
    <n v="-7"/>
    <n v="68"/>
    <n v="0"/>
    <n v="1"/>
    <n v="7"/>
  </r>
  <r>
    <x v="5179"/>
    <n v="-7"/>
    <n v="68"/>
    <n v="61"/>
    <n v="19"/>
    <n v="18"/>
    <x v="30"/>
    <n v="20"/>
    <n v="-9"/>
    <n v="69"/>
    <n v="0"/>
    <n v="1"/>
    <n v="9"/>
  </r>
  <r>
    <x v="5180"/>
    <n v="-9"/>
    <n v="69"/>
    <n v="60"/>
    <n v="20"/>
    <n v="23"/>
    <x v="7"/>
    <n v="18"/>
    <n v="-4"/>
    <n v="66"/>
    <n v="0"/>
    <n v="1"/>
    <n v="4"/>
  </r>
  <r>
    <x v="5181"/>
    <n v="-4"/>
    <n v="66"/>
    <n v="62"/>
    <n v="18"/>
    <n v="27"/>
    <x v="24"/>
    <n v="20"/>
    <n v="3"/>
    <n v="57"/>
    <n v="0.30000000000000004"/>
    <n v="0"/>
    <n v="0"/>
  </r>
  <r>
    <x v="5182"/>
    <n v="3"/>
    <n v="57"/>
    <n v="60"/>
    <n v="20"/>
    <n v="19"/>
    <x v="28"/>
    <n v="19"/>
    <n v="3"/>
    <n v="58"/>
    <n v="0.30000000000000004"/>
    <n v="0"/>
    <n v="0"/>
  </r>
  <r>
    <x v="5183"/>
    <n v="3"/>
    <n v="58"/>
    <n v="61"/>
    <n v="19"/>
    <n v="20"/>
    <x v="24"/>
    <n v="25"/>
    <n v="-2"/>
    <n v="57"/>
    <n v="0"/>
    <n v="1"/>
    <n v="2"/>
  </r>
  <r>
    <x v="5184"/>
    <n v="-2"/>
    <n v="57"/>
    <n v="55"/>
    <n v="25"/>
    <n v="18"/>
    <x v="8"/>
    <n v="19"/>
    <n v="-3"/>
    <n v="64"/>
    <n v="0"/>
    <n v="1"/>
    <n v="3"/>
  </r>
  <r>
    <x v="5185"/>
    <n v="-3"/>
    <n v="64"/>
    <n v="61"/>
    <n v="19"/>
    <n v="20"/>
    <x v="22"/>
    <n v="27"/>
    <n v="-10"/>
    <n v="63"/>
    <n v="0"/>
    <n v="1"/>
    <n v="10"/>
  </r>
  <r>
    <x v="5186"/>
    <n v="-10"/>
    <n v="63"/>
    <n v="53"/>
    <n v="27"/>
    <n v="19"/>
    <x v="20"/>
    <n v="22"/>
    <n v="-13"/>
    <n v="71"/>
    <n v="0"/>
    <n v="1"/>
    <n v="13"/>
  </r>
  <r>
    <x v="5187"/>
    <n v="-13"/>
    <n v="71"/>
    <n v="58"/>
    <n v="22"/>
    <n v="25"/>
    <x v="17"/>
    <n v="30"/>
    <n v="-18"/>
    <n v="68"/>
    <n v="0"/>
    <n v="1"/>
    <n v="18"/>
  </r>
  <r>
    <x v="5188"/>
    <n v="-18"/>
    <n v="68"/>
    <n v="50"/>
    <n v="30"/>
    <n v="19"/>
    <x v="43"/>
    <n v="18"/>
    <n v="-17"/>
    <n v="79"/>
    <n v="0"/>
    <n v="1"/>
    <n v="17"/>
  </r>
  <r>
    <x v="5189"/>
    <n v="-17"/>
    <n v="79"/>
    <n v="62"/>
    <n v="18"/>
    <n v="27"/>
    <x v="6"/>
    <n v="15"/>
    <n v="-5"/>
    <n v="70"/>
    <n v="0"/>
    <n v="1"/>
    <n v="5"/>
  </r>
  <r>
    <x v="5190"/>
    <n v="-5"/>
    <n v="70"/>
    <n v="65"/>
    <n v="15"/>
    <n v="22"/>
    <x v="22"/>
    <n v="23"/>
    <n v="-6"/>
    <n v="63"/>
    <n v="0"/>
    <n v="1"/>
    <n v="6"/>
  </r>
  <r>
    <x v="5191"/>
    <n v="-6"/>
    <n v="63"/>
    <n v="57"/>
    <n v="23"/>
    <n v="30"/>
    <x v="32"/>
    <n v="26"/>
    <n v="-2"/>
    <n v="56"/>
    <n v="0"/>
    <n v="1"/>
    <n v="2"/>
  </r>
  <r>
    <x v="5192"/>
    <n v="-2"/>
    <n v="56"/>
    <n v="54"/>
    <n v="26"/>
    <n v="18"/>
    <x v="8"/>
    <n v="17"/>
    <n v="-1"/>
    <n v="64"/>
    <n v="0"/>
    <n v="1"/>
    <n v="1"/>
  </r>
  <r>
    <x v="5193"/>
    <n v="-1"/>
    <n v="64"/>
    <n v="63"/>
    <n v="17"/>
    <n v="15"/>
    <x v="7"/>
    <n v="16"/>
    <n v="-2"/>
    <n v="66"/>
    <n v="0"/>
    <n v="1"/>
    <n v="2"/>
  </r>
  <r>
    <x v="5194"/>
    <n v="-2"/>
    <n v="66"/>
    <n v="64"/>
    <n v="16"/>
    <n v="23"/>
    <x v="5"/>
    <n v="25"/>
    <n v="-4"/>
    <n v="59"/>
    <n v="0"/>
    <n v="1"/>
    <n v="4"/>
  </r>
  <r>
    <x v="5195"/>
    <n v="-4"/>
    <n v="59"/>
    <n v="55"/>
    <n v="25"/>
    <n v="26"/>
    <x v="28"/>
    <n v="18"/>
    <n v="4"/>
    <n v="58"/>
    <n v="0.4"/>
    <n v="0"/>
    <n v="0"/>
  </r>
  <r>
    <x v="5196"/>
    <n v="4"/>
    <n v="58"/>
    <n v="62"/>
    <n v="18"/>
    <n v="17"/>
    <x v="5"/>
    <n v="18"/>
    <n v="3"/>
    <n v="59"/>
    <n v="0.30000000000000004"/>
    <n v="0"/>
    <n v="0"/>
  </r>
  <r>
    <x v="5197"/>
    <n v="3"/>
    <n v="59"/>
    <n v="62"/>
    <n v="18"/>
    <n v="16"/>
    <x v="23"/>
    <n v="20"/>
    <n v="-1"/>
    <n v="61"/>
    <n v="0"/>
    <n v="1"/>
    <n v="1"/>
  </r>
  <r>
    <x v="5198"/>
    <n v="-1"/>
    <n v="61"/>
    <n v="60"/>
    <n v="20"/>
    <n v="25"/>
    <x v="32"/>
    <n v="13"/>
    <n v="11"/>
    <n v="56"/>
    <n v="1.1000000000000001"/>
    <n v="0"/>
    <n v="0"/>
  </r>
  <r>
    <x v="5199"/>
    <n v="11"/>
    <n v="56"/>
    <n v="67"/>
    <n v="13"/>
    <n v="18"/>
    <x v="9"/>
    <n v="17"/>
    <n v="12"/>
    <n v="51"/>
    <n v="1.2000000000000002"/>
    <n v="0"/>
    <n v="0"/>
  </r>
  <r>
    <x v="5200"/>
    <n v="12"/>
    <n v="51"/>
    <n v="63"/>
    <n v="17"/>
    <n v="18"/>
    <x v="13"/>
    <n v="16"/>
    <n v="14"/>
    <n v="50"/>
    <n v="1.4000000000000001"/>
    <n v="0"/>
    <n v="0"/>
  </r>
  <r>
    <x v="5201"/>
    <n v="14"/>
    <n v="50"/>
    <n v="64"/>
    <n v="16"/>
    <n v="20"/>
    <x v="38"/>
    <n v="19"/>
    <n v="15"/>
    <n v="46"/>
    <n v="1.5"/>
    <n v="0"/>
    <n v="0"/>
  </r>
  <r>
    <x v="5202"/>
    <n v="15"/>
    <n v="46"/>
    <n v="61"/>
    <n v="19"/>
    <n v="13"/>
    <x v="25"/>
    <n v="17"/>
    <n v="11"/>
    <n v="52"/>
    <n v="1.1000000000000001"/>
    <n v="0"/>
    <n v="0"/>
  </r>
  <r>
    <x v="5203"/>
    <n v="11"/>
    <n v="52"/>
    <n v="63"/>
    <n v="17"/>
    <n v="17"/>
    <x v="25"/>
    <n v="8"/>
    <n v="20"/>
    <n v="52"/>
    <n v="2"/>
    <n v="0"/>
    <n v="0"/>
  </r>
  <r>
    <x v="5204"/>
    <n v="20"/>
    <n v="52"/>
    <n v="72"/>
    <n v="8"/>
    <n v="16"/>
    <x v="45"/>
    <n v="25"/>
    <n v="11"/>
    <n v="44"/>
    <n v="1.1000000000000001"/>
    <n v="0"/>
    <n v="0"/>
  </r>
  <r>
    <x v="5205"/>
    <n v="11"/>
    <n v="44"/>
    <n v="55"/>
    <n v="25"/>
    <n v="19"/>
    <x v="13"/>
    <n v="21"/>
    <n v="9"/>
    <n v="50"/>
    <n v="0.9"/>
    <n v="0"/>
    <n v="0"/>
  </r>
  <r>
    <x v="5206"/>
    <n v="9"/>
    <n v="50"/>
    <n v="59"/>
    <n v="21"/>
    <n v="17"/>
    <x v="16"/>
    <n v="16"/>
    <n v="10"/>
    <n v="54"/>
    <n v="1"/>
    <n v="0"/>
    <n v="0"/>
  </r>
  <r>
    <x v="5207"/>
    <n v="10"/>
    <n v="54"/>
    <n v="64"/>
    <n v="16"/>
    <n v="8"/>
    <x v="33"/>
    <n v="23"/>
    <n v="-5"/>
    <n v="62"/>
    <n v="0"/>
    <n v="1"/>
    <n v="5"/>
  </r>
  <r>
    <x v="5208"/>
    <n v="-5"/>
    <n v="62"/>
    <n v="57"/>
    <n v="23"/>
    <n v="25"/>
    <x v="4"/>
    <n v="27"/>
    <n v="-7"/>
    <n v="60"/>
    <n v="0"/>
    <n v="1"/>
    <n v="7"/>
  </r>
  <r>
    <x v="5209"/>
    <n v="-7"/>
    <n v="60"/>
    <n v="53"/>
    <n v="27"/>
    <n v="21"/>
    <x v="7"/>
    <n v="24"/>
    <n v="-10"/>
    <n v="66"/>
    <n v="0"/>
    <n v="1"/>
    <n v="10"/>
  </r>
  <r>
    <x v="5210"/>
    <n v="-10"/>
    <n v="66"/>
    <n v="56"/>
    <n v="24"/>
    <n v="16"/>
    <x v="39"/>
    <n v="19"/>
    <n v="-13"/>
    <n v="74"/>
    <n v="0"/>
    <n v="1"/>
    <n v="13"/>
  </r>
  <r>
    <x v="5211"/>
    <n v="-13"/>
    <n v="74"/>
    <n v="61"/>
    <n v="19"/>
    <n v="23"/>
    <x v="6"/>
    <n v="23"/>
    <n v="-13"/>
    <n v="70"/>
    <n v="0"/>
    <n v="1"/>
    <n v="13"/>
  </r>
  <r>
    <x v="5212"/>
    <n v="-13"/>
    <n v="70"/>
    <n v="57"/>
    <n v="23"/>
    <n v="27"/>
    <x v="7"/>
    <n v="19"/>
    <n v="-5"/>
    <n v="66"/>
    <n v="0"/>
    <n v="1"/>
    <n v="5"/>
  </r>
  <r>
    <x v="5213"/>
    <n v="-5"/>
    <n v="66"/>
    <n v="61"/>
    <n v="19"/>
    <n v="24"/>
    <x v="23"/>
    <n v="25"/>
    <n v="-6"/>
    <n v="61"/>
    <n v="0"/>
    <n v="1"/>
    <n v="6"/>
  </r>
  <r>
    <x v="5214"/>
    <n v="-6"/>
    <n v="61"/>
    <n v="55"/>
    <n v="25"/>
    <n v="19"/>
    <x v="21"/>
    <n v="20"/>
    <n v="-7"/>
    <n v="67"/>
    <n v="0"/>
    <n v="1"/>
    <n v="7"/>
  </r>
  <r>
    <x v="5215"/>
    <n v="-7"/>
    <n v="67"/>
    <n v="60"/>
    <n v="20"/>
    <n v="23"/>
    <x v="8"/>
    <n v="17"/>
    <n v="-1"/>
    <n v="64"/>
    <n v="0"/>
    <n v="1"/>
    <n v="1"/>
  </r>
  <r>
    <x v="5216"/>
    <n v="-1"/>
    <n v="64"/>
    <n v="63"/>
    <n v="17"/>
    <n v="19"/>
    <x v="33"/>
    <n v="21"/>
    <n v="-3"/>
    <n v="62"/>
    <n v="0"/>
    <n v="1"/>
    <n v="3"/>
  </r>
  <r>
    <x v="5217"/>
    <n v="-3"/>
    <n v="62"/>
    <n v="59"/>
    <n v="21"/>
    <n v="25"/>
    <x v="28"/>
    <n v="23"/>
    <n v="-1"/>
    <n v="58"/>
    <n v="0"/>
    <n v="1"/>
    <n v="1"/>
  </r>
  <r>
    <x v="5218"/>
    <n v="-1"/>
    <n v="58"/>
    <n v="57"/>
    <n v="23"/>
    <n v="20"/>
    <x v="23"/>
    <n v="28"/>
    <n v="-9"/>
    <n v="61"/>
    <n v="0"/>
    <n v="1"/>
    <n v="9"/>
  </r>
  <r>
    <x v="5219"/>
    <n v="-9"/>
    <n v="61"/>
    <n v="52"/>
    <n v="28"/>
    <n v="17"/>
    <x v="29"/>
    <n v="28"/>
    <n v="-20"/>
    <n v="72"/>
    <n v="0"/>
    <n v="1"/>
    <n v="20"/>
  </r>
  <r>
    <x v="5220"/>
    <n v="-20"/>
    <n v="72"/>
    <n v="52"/>
    <n v="28"/>
    <n v="21"/>
    <x v="43"/>
    <n v="18"/>
    <n v="-17"/>
    <n v="79"/>
    <n v="0"/>
    <n v="1"/>
    <n v="17"/>
  </r>
  <r>
    <x v="5221"/>
    <n v="-17"/>
    <n v="79"/>
    <n v="62"/>
    <n v="18"/>
    <n v="23"/>
    <x v="39"/>
    <n v="17"/>
    <n v="-11"/>
    <n v="74"/>
    <n v="0"/>
    <n v="1"/>
    <n v="11"/>
  </r>
  <r>
    <x v="5222"/>
    <n v="-11"/>
    <n v="74"/>
    <n v="63"/>
    <n v="17"/>
    <n v="28"/>
    <x v="22"/>
    <n v="24"/>
    <n v="-7"/>
    <n v="63"/>
    <n v="0"/>
    <n v="1"/>
    <n v="7"/>
  </r>
  <r>
    <x v="5223"/>
    <n v="-7"/>
    <n v="63"/>
    <n v="56"/>
    <n v="24"/>
    <n v="28"/>
    <x v="5"/>
    <n v="20"/>
    <n v="1"/>
    <n v="59"/>
    <n v="0.1"/>
    <n v="0"/>
    <n v="0"/>
  </r>
  <r>
    <x v="5224"/>
    <n v="1"/>
    <n v="59"/>
    <n v="60"/>
    <n v="20"/>
    <n v="18"/>
    <x v="23"/>
    <n v="23"/>
    <n v="-4"/>
    <n v="61"/>
    <n v="0"/>
    <n v="1"/>
    <n v="4"/>
  </r>
  <r>
    <x v="5225"/>
    <n v="-4"/>
    <n v="61"/>
    <n v="57"/>
    <n v="23"/>
    <n v="17"/>
    <x v="21"/>
    <n v="23"/>
    <n v="-10"/>
    <n v="67"/>
    <n v="0"/>
    <n v="1"/>
    <n v="10"/>
  </r>
  <r>
    <x v="5226"/>
    <n v="-10"/>
    <n v="67"/>
    <n v="57"/>
    <n v="23"/>
    <n v="24"/>
    <x v="7"/>
    <n v="15"/>
    <n v="-1"/>
    <n v="66"/>
    <n v="0"/>
    <n v="1"/>
    <n v="1"/>
  </r>
  <r>
    <x v="5227"/>
    <n v="-1"/>
    <n v="66"/>
    <n v="65"/>
    <n v="15"/>
    <n v="20"/>
    <x v="23"/>
    <n v="15"/>
    <n v="4"/>
    <n v="61"/>
    <n v="0.4"/>
    <n v="0"/>
    <n v="0"/>
  </r>
  <r>
    <x v="5228"/>
    <n v="4"/>
    <n v="61"/>
    <n v="65"/>
    <n v="15"/>
    <n v="23"/>
    <x v="12"/>
    <n v="22"/>
    <n v="5"/>
    <n v="53"/>
    <n v="0.5"/>
    <n v="0"/>
    <n v="0"/>
  </r>
  <r>
    <x v="5229"/>
    <n v="5"/>
    <n v="53"/>
    <n v="58"/>
    <n v="22"/>
    <n v="23"/>
    <x v="25"/>
    <n v="19"/>
    <n v="9"/>
    <n v="52"/>
    <n v="0.9"/>
    <n v="0"/>
    <n v="0"/>
  </r>
  <r>
    <x v="5230"/>
    <n v="9"/>
    <n v="52"/>
    <n v="61"/>
    <n v="19"/>
    <n v="15"/>
    <x v="32"/>
    <n v="22"/>
    <n v="2"/>
    <n v="56"/>
    <n v="0.2"/>
    <n v="0"/>
    <n v="0"/>
  </r>
  <r>
    <x v="5231"/>
    <n v="2"/>
    <n v="56"/>
    <n v="58"/>
    <n v="22"/>
    <n v="15"/>
    <x v="22"/>
    <n v="24"/>
    <n v="-7"/>
    <n v="63"/>
    <n v="0"/>
    <n v="1"/>
    <n v="7"/>
  </r>
  <r>
    <x v="5232"/>
    <n v="-7"/>
    <n v="63"/>
    <n v="56"/>
    <n v="24"/>
    <n v="22"/>
    <x v="26"/>
    <n v="19"/>
    <n v="-4"/>
    <n v="65"/>
    <n v="0"/>
    <n v="1"/>
    <n v="4"/>
  </r>
  <r>
    <x v="5233"/>
    <n v="-4"/>
    <n v="65"/>
    <n v="61"/>
    <n v="19"/>
    <n v="19"/>
    <x v="26"/>
    <n v="19"/>
    <n v="-4"/>
    <n v="65"/>
    <n v="0"/>
    <n v="1"/>
    <n v="4"/>
  </r>
  <r>
    <x v="5234"/>
    <n v="-4"/>
    <n v="65"/>
    <n v="61"/>
    <n v="19"/>
    <n v="22"/>
    <x v="33"/>
    <n v="33"/>
    <n v="-15"/>
    <n v="62"/>
    <n v="0"/>
    <n v="1"/>
    <n v="15"/>
  </r>
  <r>
    <x v="5235"/>
    <n v="-15"/>
    <n v="62"/>
    <n v="47"/>
    <n v="33"/>
    <n v="24"/>
    <x v="20"/>
    <n v="21"/>
    <n v="-12"/>
    <n v="71"/>
    <n v="0"/>
    <n v="1"/>
    <n v="12"/>
  </r>
  <r>
    <x v="5236"/>
    <n v="-12"/>
    <n v="71"/>
    <n v="59"/>
    <n v="21"/>
    <n v="19"/>
    <x v="31"/>
    <n v="22"/>
    <n v="-15"/>
    <n v="73"/>
    <n v="0"/>
    <n v="1"/>
    <n v="15"/>
  </r>
  <r>
    <x v="5237"/>
    <n v="-15"/>
    <n v="73"/>
    <n v="58"/>
    <n v="22"/>
    <n v="19"/>
    <x v="37"/>
    <n v="21"/>
    <n v="-17"/>
    <n v="76"/>
    <n v="0"/>
    <n v="1"/>
    <n v="17"/>
  </r>
  <r>
    <x v="5238"/>
    <n v="-17"/>
    <n v="76"/>
    <n v="59"/>
    <n v="21"/>
    <n v="33"/>
    <x v="8"/>
    <n v="15"/>
    <n v="1"/>
    <n v="64"/>
    <n v="0.1"/>
    <n v="0"/>
    <n v="0"/>
  </r>
  <r>
    <x v="5239"/>
    <n v="1"/>
    <n v="64"/>
    <n v="65"/>
    <n v="15"/>
    <n v="21"/>
    <x v="28"/>
    <n v="14"/>
    <n v="8"/>
    <n v="58"/>
    <n v="0.8"/>
    <n v="0"/>
    <n v="0"/>
  </r>
  <r>
    <x v="5240"/>
    <n v="8"/>
    <n v="58"/>
    <n v="66"/>
    <n v="14"/>
    <n v="22"/>
    <x v="13"/>
    <n v="13"/>
    <n v="17"/>
    <n v="50"/>
    <n v="1.7000000000000002"/>
    <n v="0"/>
    <n v="0"/>
  </r>
  <r>
    <x v="5241"/>
    <n v="17"/>
    <n v="50"/>
    <n v="67"/>
    <n v="13"/>
    <n v="21"/>
    <x v="40"/>
    <n v="20"/>
    <n v="18"/>
    <n v="42"/>
    <n v="1.8"/>
    <n v="0"/>
    <n v="0"/>
  </r>
  <r>
    <x v="5242"/>
    <n v="18"/>
    <n v="42"/>
    <n v="60"/>
    <n v="20"/>
    <n v="15"/>
    <x v="14"/>
    <n v="20"/>
    <n v="13"/>
    <n v="47"/>
    <n v="1.3"/>
    <n v="0"/>
    <n v="0"/>
  </r>
  <r>
    <x v="5243"/>
    <n v="13"/>
    <n v="47"/>
    <n v="60"/>
    <n v="20"/>
    <n v="14"/>
    <x v="12"/>
    <n v="24"/>
    <n v="3"/>
    <n v="53"/>
    <n v="0.30000000000000004"/>
    <n v="0"/>
    <n v="0"/>
  </r>
  <r>
    <x v="5244"/>
    <n v="3"/>
    <n v="53"/>
    <n v="56"/>
    <n v="24"/>
    <n v="13"/>
    <x v="8"/>
    <n v="21"/>
    <n v="-5"/>
    <n v="64"/>
    <n v="0"/>
    <n v="1"/>
    <n v="5"/>
  </r>
  <r>
    <x v="5245"/>
    <n v="-5"/>
    <n v="64"/>
    <n v="59"/>
    <n v="21"/>
    <n v="20"/>
    <x v="26"/>
    <n v="14"/>
    <n v="1"/>
    <n v="65"/>
    <n v="0.1"/>
    <n v="0"/>
    <n v="0"/>
  </r>
  <r>
    <x v="5246"/>
    <n v="1"/>
    <n v="65"/>
    <n v="66"/>
    <n v="14"/>
    <n v="20"/>
    <x v="5"/>
    <n v="15"/>
    <n v="6"/>
    <n v="59"/>
    <n v="0.60000000000000009"/>
    <n v="0"/>
    <n v="0"/>
  </r>
  <r>
    <x v="5247"/>
    <n v="6"/>
    <n v="59"/>
    <n v="65"/>
    <n v="15"/>
    <n v="24"/>
    <x v="13"/>
    <n v="21"/>
    <n v="9"/>
    <n v="50"/>
    <n v="0.9"/>
    <n v="0"/>
    <n v="0"/>
  </r>
  <r>
    <x v="5248"/>
    <n v="9"/>
    <n v="50"/>
    <n v="59"/>
    <n v="21"/>
    <n v="21"/>
    <x v="13"/>
    <n v="20"/>
    <n v="10"/>
    <n v="50"/>
    <n v="1"/>
    <n v="0"/>
    <n v="0"/>
  </r>
  <r>
    <x v="5249"/>
    <n v="10"/>
    <n v="50"/>
    <n v="60"/>
    <n v="20"/>
    <n v="14"/>
    <x v="32"/>
    <n v="21"/>
    <n v="3"/>
    <n v="56"/>
    <n v="0.30000000000000004"/>
    <n v="0"/>
    <n v="0"/>
  </r>
  <r>
    <x v="5250"/>
    <n v="3"/>
    <n v="56"/>
    <n v="59"/>
    <n v="21"/>
    <n v="15"/>
    <x v="33"/>
    <n v="24"/>
    <n v="-6"/>
    <n v="62"/>
    <n v="0"/>
    <n v="1"/>
    <n v="6"/>
  </r>
  <r>
    <x v="5251"/>
    <n v="-6"/>
    <n v="62"/>
    <n v="56"/>
    <n v="24"/>
    <n v="21"/>
    <x v="26"/>
    <n v="20"/>
    <n v="-5"/>
    <n v="65"/>
    <n v="0"/>
    <n v="1"/>
    <n v="5"/>
  </r>
  <r>
    <x v="5252"/>
    <n v="-5"/>
    <n v="65"/>
    <n v="60"/>
    <n v="20"/>
    <n v="20"/>
    <x v="26"/>
    <n v="23"/>
    <n v="-8"/>
    <n v="65"/>
    <n v="0"/>
    <n v="1"/>
    <n v="8"/>
  </r>
  <r>
    <x v="5253"/>
    <n v="-8"/>
    <n v="65"/>
    <n v="57"/>
    <n v="23"/>
    <n v="21"/>
    <x v="21"/>
    <n v="23"/>
    <n v="-10"/>
    <n v="67"/>
    <n v="0"/>
    <n v="1"/>
    <n v="10"/>
  </r>
  <r>
    <x v="5254"/>
    <n v="-10"/>
    <n v="67"/>
    <n v="57"/>
    <n v="23"/>
    <n v="24"/>
    <x v="7"/>
    <n v="16"/>
    <n v="-2"/>
    <n v="66"/>
    <n v="0"/>
    <n v="1"/>
    <n v="2"/>
  </r>
  <r>
    <x v="5255"/>
    <n v="-2"/>
    <n v="66"/>
    <n v="64"/>
    <n v="16"/>
    <n v="20"/>
    <x v="33"/>
    <n v="24"/>
    <n v="-6"/>
    <n v="62"/>
    <n v="0"/>
    <n v="1"/>
    <n v="6"/>
  </r>
  <r>
    <x v="5256"/>
    <n v="-6"/>
    <n v="62"/>
    <n v="56"/>
    <n v="24"/>
    <n v="23"/>
    <x v="22"/>
    <n v="12"/>
    <n v="5"/>
    <n v="63"/>
    <n v="0.5"/>
    <n v="0"/>
    <n v="0"/>
  </r>
  <r>
    <x v="5257"/>
    <n v="5"/>
    <n v="63"/>
    <n v="68"/>
    <n v="12"/>
    <n v="23"/>
    <x v="25"/>
    <n v="16"/>
    <n v="12"/>
    <n v="52"/>
    <n v="1.2000000000000002"/>
    <n v="0"/>
    <n v="0"/>
  </r>
  <r>
    <x v="5258"/>
    <n v="12"/>
    <n v="52"/>
    <n v="64"/>
    <n v="16"/>
    <n v="16"/>
    <x v="25"/>
    <n v="23"/>
    <n v="5"/>
    <n v="52"/>
    <n v="0.5"/>
    <n v="0"/>
    <n v="0"/>
  </r>
  <r>
    <x v="5259"/>
    <n v="5"/>
    <n v="52"/>
    <n v="57"/>
    <n v="23"/>
    <n v="24"/>
    <x v="9"/>
    <n v="15"/>
    <n v="14"/>
    <n v="51"/>
    <n v="1.4000000000000001"/>
    <n v="0"/>
    <n v="0"/>
  </r>
  <r>
    <x v="5260"/>
    <n v="14"/>
    <n v="51"/>
    <n v="65"/>
    <n v="15"/>
    <n v="12"/>
    <x v="16"/>
    <n v="22"/>
    <n v="4"/>
    <n v="54"/>
    <n v="0.4"/>
    <n v="0"/>
    <n v="0"/>
  </r>
  <r>
    <x v="5261"/>
    <n v="4"/>
    <n v="54"/>
    <n v="58"/>
    <n v="22"/>
    <n v="16"/>
    <x v="4"/>
    <n v="24"/>
    <n v="-4"/>
    <n v="60"/>
    <n v="0"/>
    <n v="1"/>
    <n v="4"/>
  </r>
  <r>
    <x v="5262"/>
    <n v="-4"/>
    <n v="60"/>
    <n v="56"/>
    <n v="24"/>
    <n v="23"/>
    <x v="23"/>
    <n v="22"/>
    <n v="-3"/>
    <n v="61"/>
    <n v="0"/>
    <n v="1"/>
    <n v="3"/>
  </r>
  <r>
    <x v="5263"/>
    <n v="-3"/>
    <n v="61"/>
    <n v="58"/>
    <n v="22"/>
    <n v="15"/>
    <x v="17"/>
    <n v="21"/>
    <n v="-9"/>
    <n v="68"/>
    <n v="0"/>
    <n v="1"/>
    <n v="9"/>
  </r>
  <r>
    <x v="5264"/>
    <n v="-9"/>
    <n v="68"/>
    <n v="59"/>
    <n v="21"/>
    <n v="22"/>
    <x v="21"/>
    <n v="24"/>
    <n v="-11"/>
    <n v="67"/>
    <n v="0"/>
    <n v="1"/>
    <n v="11"/>
  </r>
  <r>
    <x v="5265"/>
    <n v="-11"/>
    <n v="67"/>
    <n v="56"/>
    <n v="24"/>
    <n v="24"/>
    <x v="21"/>
    <n v="22"/>
    <n v="-9"/>
    <n v="67"/>
    <n v="0"/>
    <n v="1"/>
    <n v="9"/>
  </r>
  <r>
    <x v="5266"/>
    <n v="-9"/>
    <n v="67"/>
    <n v="58"/>
    <n v="22"/>
    <n v="22"/>
    <x v="21"/>
    <n v="11"/>
    <n v="2"/>
    <n v="67"/>
    <n v="0.2"/>
    <n v="0"/>
    <n v="0"/>
  </r>
  <r>
    <x v="5267"/>
    <n v="2"/>
    <n v="67"/>
    <n v="69"/>
    <n v="11"/>
    <n v="21"/>
    <x v="24"/>
    <n v="17"/>
    <n v="6"/>
    <n v="57"/>
    <n v="0.60000000000000009"/>
    <n v="0"/>
    <n v="0"/>
  </r>
  <r>
    <x v="5268"/>
    <n v="6"/>
    <n v="57"/>
    <n v="63"/>
    <n v="17"/>
    <n v="24"/>
    <x v="13"/>
    <n v="19"/>
    <n v="11"/>
    <n v="50"/>
    <n v="1.1000000000000001"/>
    <n v="0"/>
    <n v="0"/>
  </r>
  <r>
    <x v="5269"/>
    <n v="11"/>
    <n v="50"/>
    <n v="61"/>
    <n v="19"/>
    <n v="22"/>
    <x v="14"/>
    <n v="17"/>
    <n v="16"/>
    <n v="47"/>
    <n v="1.6"/>
    <n v="0"/>
    <n v="0"/>
  </r>
  <r>
    <x v="5270"/>
    <n v="16"/>
    <n v="47"/>
    <n v="63"/>
    <n v="17"/>
    <n v="11"/>
    <x v="12"/>
    <n v="14"/>
    <n v="13"/>
    <n v="53"/>
    <n v="1.3"/>
    <n v="0"/>
    <n v="0"/>
  </r>
  <r>
    <x v="5271"/>
    <n v="13"/>
    <n v="53"/>
    <n v="66"/>
    <n v="14"/>
    <n v="17"/>
    <x v="13"/>
    <n v="29"/>
    <n v="1"/>
    <n v="50"/>
    <n v="0.1"/>
    <n v="0"/>
    <n v="0"/>
  </r>
  <r>
    <x v="5272"/>
    <n v="1"/>
    <n v="50"/>
    <n v="51"/>
    <n v="29"/>
    <n v="19"/>
    <x v="4"/>
    <n v="17"/>
    <n v="3"/>
    <n v="60"/>
    <n v="0.30000000000000004"/>
    <n v="0"/>
    <n v="0"/>
  </r>
  <r>
    <x v="5273"/>
    <n v="3"/>
    <n v="60"/>
    <n v="63"/>
    <n v="17"/>
    <n v="17"/>
    <x v="4"/>
    <n v="16"/>
    <n v="4"/>
    <n v="60"/>
    <n v="0.4"/>
    <n v="0"/>
    <n v="0"/>
  </r>
  <r>
    <x v="5274"/>
    <n v="4"/>
    <n v="60"/>
    <n v="64"/>
    <n v="16"/>
    <n v="14"/>
    <x v="33"/>
    <n v="21"/>
    <n v="-3"/>
    <n v="62"/>
    <n v="0"/>
    <n v="1"/>
    <n v="3"/>
  </r>
  <r>
    <x v="5275"/>
    <n v="-3"/>
    <n v="62"/>
    <n v="59"/>
    <n v="21"/>
    <n v="29"/>
    <x v="16"/>
    <n v="17"/>
    <n v="9"/>
    <n v="54"/>
    <n v="0.9"/>
    <n v="0"/>
    <n v="0"/>
  </r>
  <r>
    <x v="5276"/>
    <n v="9"/>
    <n v="54"/>
    <n v="63"/>
    <n v="17"/>
    <n v="17"/>
    <x v="16"/>
    <n v="14"/>
    <n v="12"/>
    <n v="54"/>
    <n v="1.2000000000000002"/>
    <n v="0"/>
    <n v="0"/>
  </r>
  <r>
    <x v="5277"/>
    <n v="12"/>
    <n v="54"/>
    <n v="66"/>
    <n v="14"/>
    <n v="16"/>
    <x v="25"/>
    <n v="20"/>
    <n v="8"/>
    <n v="52"/>
    <n v="0.8"/>
    <n v="0"/>
    <n v="0"/>
  </r>
  <r>
    <x v="5278"/>
    <n v="8"/>
    <n v="52"/>
    <n v="60"/>
    <n v="20"/>
    <n v="21"/>
    <x v="9"/>
    <n v="22"/>
    <n v="7"/>
    <n v="51"/>
    <n v="0.70000000000000007"/>
    <n v="0"/>
    <n v="0"/>
  </r>
  <r>
    <x v="5279"/>
    <n v="7"/>
    <n v="51"/>
    <n v="58"/>
    <n v="22"/>
    <n v="17"/>
    <x v="32"/>
    <n v="19"/>
    <n v="5"/>
    <n v="56"/>
    <n v="0.5"/>
    <n v="0"/>
    <n v="0"/>
  </r>
  <r>
    <x v="5280"/>
    <n v="5"/>
    <n v="56"/>
    <n v="61"/>
    <n v="19"/>
    <n v="14"/>
    <x v="23"/>
    <n v="15"/>
    <n v="4"/>
    <n v="61"/>
    <n v="0.4"/>
    <n v="0"/>
    <n v="0"/>
  </r>
  <r>
    <x v="5281"/>
    <n v="4"/>
    <n v="61"/>
    <n v="65"/>
    <n v="15"/>
    <n v="20"/>
    <x v="32"/>
    <n v="15"/>
    <n v="9"/>
    <n v="56"/>
    <n v="0.9"/>
    <n v="0"/>
    <n v="0"/>
  </r>
  <r>
    <x v="5282"/>
    <n v="9"/>
    <n v="56"/>
    <n v="65"/>
    <n v="15"/>
    <n v="22"/>
    <x v="10"/>
    <n v="23"/>
    <n v="8"/>
    <n v="49"/>
    <n v="0.8"/>
    <n v="0"/>
    <n v="0"/>
  </r>
  <r>
    <x v="5283"/>
    <n v="8"/>
    <n v="49"/>
    <n v="57"/>
    <n v="23"/>
    <n v="19"/>
    <x v="12"/>
    <n v="16"/>
    <n v="11"/>
    <n v="53"/>
    <n v="1.1000000000000001"/>
    <n v="0"/>
    <n v="0"/>
  </r>
  <r>
    <x v="5284"/>
    <n v="11"/>
    <n v="53"/>
    <n v="64"/>
    <n v="16"/>
    <n v="15"/>
    <x v="16"/>
    <n v="18"/>
    <n v="8"/>
    <n v="54"/>
    <n v="0.8"/>
    <n v="0"/>
    <n v="0"/>
  </r>
  <r>
    <x v="5285"/>
    <n v="8"/>
    <n v="54"/>
    <n v="62"/>
    <n v="18"/>
    <n v="15"/>
    <x v="24"/>
    <n v="17"/>
    <n v="6"/>
    <n v="57"/>
    <n v="0.60000000000000009"/>
    <n v="0"/>
    <n v="0"/>
  </r>
  <r>
    <x v="5286"/>
    <n v="6"/>
    <n v="57"/>
    <n v="63"/>
    <n v="17"/>
    <n v="23"/>
    <x v="9"/>
    <n v="27"/>
    <n v="2"/>
    <n v="51"/>
    <n v="0.2"/>
    <n v="0"/>
    <n v="0"/>
  </r>
  <r>
    <x v="5287"/>
    <n v="2"/>
    <n v="51"/>
    <n v="53"/>
    <n v="27"/>
    <n v="16"/>
    <x v="33"/>
    <n v="18"/>
    <n v="0"/>
    <n v="62"/>
    <n v="0"/>
    <n v="0"/>
    <n v="0"/>
  </r>
  <r>
    <x v="5288"/>
    <n v="0"/>
    <n v="62"/>
    <n v="62"/>
    <n v="18"/>
    <n v="18"/>
    <x v="33"/>
    <n v="15"/>
    <n v="3"/>
    <n v="62"/>
    <n v="0.30000000000000004"/>
    <n v="0"/>
    <n v="0"/>
  </r>
  <r>
    <x v="5289"/>
    <n v="3"/>
    <n v="62"/>
    <n v="65"/>
    <n v="15"/>
    <n v="17"/>
    <x v="4"/>
    <n v="14"/>
    <n v="6"/>
    <n v="60"/>
    <n v="0.60000000000000009"/>
    <n v="0"/>
    <n v="0"/>
  </r>
  <r>
    <x v="5290"/>
    <n v="6"/>
    <n v="60"/>
    <n v="66"/>
    <n v="14"/>
    <n v="27"/>
    <x v="14"/>
    <n v="17"/>
    <n v="16"/>
    <n v="47"/>
    <n v="1.6"/>
    <n v="0"/>
    <n v="0"/>
  </r>
  <r>
    <x v="5291"/>
    <n v="16"/>
    <n v="47"/>
    <n v="63"/>
    <n v="17"/>
    <n v="18"/>
    <x v="38"/>
    <n v="17"/>
    <n v="17"/>
    <n v="46"/>
    <n v="1.7000000000000002"/>
    <n v="0"/>
    <n v="0"/>
  </r>
  <r>
    <x v="5292"/>
    <n v="17"/>
    <n v="46"/>
    <n v="63"/>
    <n v="17"/>
    <n v="15"/>
    <x v="15"/>
    <n v="25"/>
    <n v="7"/>
    <n v="48"/>
    <n v="0.70000000000000007"/>
    <n v="0"/>
    <n v="0"/>
  </r>
  <r>
    <x v="5293"/>
    <n v="7"/>
    <n v="48"/>
    <n v="55"/>
    <n v="25"/>
    <n v="14"/>
    <x v="5"/>
    <n v="20"/>
    <n v="1"/>
    <n v="59"/>
    <n v="0.1"/>
    <n v="0"/>
    <n v="0"/>
  </r>
  <r>
    <x v="5294"/>
    <n v="1"/>
    <n v="59"/>
    <n v="60"/>
    <n v="20"/>
    <n v="17"/>
    <x v="33"/>
    <n v="15"/>
    <n v="3"/>
    <n v="62"/>
    <n v="0.30000000000000004"/>
    <n v="0"/>
    <n v="0"/>
  </r>
  <r>
    <x v="5295"/>
    <n v="3"/>
    <n v="62"/>
    <n v="65"/>
    <n v="15"/>
    <n v="17"/>
    <x v="4"/>
    <n v="17"/>
    <n v="3"/>
    <n v="60"/>
    <n v="0.30000000000000004"/>
    <n v="0"/>
    <n v="0"/>
  </r>
  <r>
    <x v="5296"/>
    <n v="3"/>
    <n v="60"/>
    <n v="63"/>
    <n v="17"/>
    <n v="25"/>
    <x v="25"/>
    <n v="18"/>
    <n v="10"/>
    <n v="52"/>
    <n v="1"/>
    <n v="0"/>
    <n v="0"/>
  </r>
  <r>
    <x v="5297"/>
    <n v="10"/>
    <n v="52"/>
    <n v="62"/>
    <n v="18"/>
    <n v="20"/>
    <x v="13"/>
    <n v="20"/>
    <n v="10"/>
    <n v="50"/>
    <n v="1"/>
    <n v="0"/>
    <n v="0"/>
  </r>
  <r>
    <x v="5298"/>
    <n v="10"/>
    <n v="50"/>
    <n v="60"/>
    <n v="20"/>
    <n v="15"/>
    <x v="27"/>
    <n v="19"/>
    <n v="6"/>
    <n v="55"/>
    <n v="0.60000000000000009"/>
    <n v="0"/>
    <n v="0"/>
  </r>
  <r>
    <x v="5299"/>
    <n v="6"/>
    <n v="55"/>
    <n v="61"/>
    <n v="19"/>
    <n v="17"/>
    <x v="24"/>
    <n v="22"/>
    <n v="1"/>
    <n v="57"/>
    <n v="0.1"/>
    <n v="0"/>
    <n v="0"/>
  </r>
  <r>
    <x v="5300"/>
    <n v="1"/>
    <n v="57"/>
    <n v="58"/>
    <n v="22"/>
    <n v="18"/>
    <x v="23"/>
    <n v="18"/>
    <n v="1"/>
    <n v="61"/>
    <n v="0.1"/>
    <n v="0"/>
    <n v="0"/>
  </r>
  <r>
    <x v="5301"/>
    <n v="1"/>
    <n v="61"/>
    <n v="62"/>
    <n v="18"/>
    <n v="20"/>
    <x v="5"/>
    <n v="22"/>
    <n v="-1"/>
    <n v="59"/>
    <n v="0"/>
    <n v="1"/>
    <n v="1"/>
  </r>
  <r>
    <x v="5302"/>
    <n v="-1"/>
    <n v="59"/>
    <n v="58"/>
    <n v="22"/>
    <n v="19"/>
    <x v="33"/>
    <n v="28"/>
    <n v="-10"/>
    <n v="62"/>
    <n v="0"/>
    <n v="1"/>
    <n v="10"/>
  </r>
  <r>
    <x v="5303"/>
    <n v="-10"/>
    <n v="62"/>
    <n v="52"/>
    <n v="28"/>
    <n v="22"/>
    <x v="17"/>
    <n v="13"/>
    <n v="-1"/>
    <n v="68"/>
    <n v="0"/>
    <n v="1"/>
    <n v="1"/>
  </r>
  <r>
    <x v="5304"/>
    <n v="-1"/>
    <n v="68"/>
    <n v="67"/>
    <n v="13"/>
    <n v="18"/>
    <x v="22"/>
    <n v="19"/>
    <n v="-2"/>
    <n v="63"/>
    <n v="0"/>
    <n v="1"/>
    <n v="2"/>
  </r>
  <r>
    <x v="5305"/>
    <n v="-2"/>
    <n v="63"/>
    <n v="61"/>
    <n v="19"/>
    <n v="22"/>
    <x v="4"/>
    <n v="26"/>
    <n v="-6"/>
    <n v="60"/>
    <n v="0"/>
    <n v="1"/>
    <n v="6"/>
  </r>
  <r>
    <x v="5306"/>
    <n v="-6"/>
    <n v="60"/>
    <n v="54"/>
    <n v="26"/>
    <n v="28"/>
    <x v="28"/>
    <n v="17"/>
    <n v="5"/>
    <n v="58"/>
    <n v="0.5"/>
    <n v="0"/>
    <n v="0"/>
  </r>
  <r>
    <x v="5307"/>
    <n v="5"/>
    <n v="58"/>
    <n v="63"/>
    <n v="17"/>
    <n v="13"/>
    <x v="33"/>
    <n v="32"/>
    <n v="-14"/>
    <n v="62"/>
    <n v="0"/>
    <n v="1"/>
    <n v="14"/>
  </r>
  <r>
    <x v="5308"/>
    <n v="-14"/>
    <n v="62"/>
    <n v="48"/>
    <n v="32"/>
    <n v="19"/>
    <x v="44"/>
    <n v="21"/>
    <n v="-16"/>
    <n v="75"/>
    <n v="0"/>
    <n v="1"/>
    <n v="16"/>
  </r>
  <r>
    <x v="5309"/>
    <n v="-16"/>
    <n v="75"/>
    <n v="59"/>
    <n v="21"/>
    <n v="26"/>
    <x v="6"/>
    <n v="23"/>
    <n v="-13"/>
    <n v="70"/>
    <n v="0"/>
    <n v="1"/>
    <n v="13"/>
  </r>
  <r>
    <x v="5310"/>
    <n v="-13"/>
    <n v="70"/>
    <n v="57"/>
    <n v="23"/>
    <n v="17"/>
    <x v="37"/>
    <n v="17"/>
    <n v="-13"/>
    <n v="76"/>
    <n v="0"/>
    <n v="1"/>
    <n v="13"/>
  </r>
  <r>
    <x v="5311"/>
    <n v="-13"/>
    <n v="76"/>
    <n v="63"/>
    <n v="17"/>
    <n v="32"/>
    <x v="23"/>
    <n v="17"/>
    <n v="2"/>
    <n v="61"/>
    <n v="0.2"/>
    <n v="0"/>
    <n v="0"/>
  </r>
  <r>
    <x v="5312"/>
    <n v="2"/>
    <n v="61"/>
    <n v="63"/>
    <n v="17"/>
    <n v="21"/>
    <x v="24"/>
    <n v="33"/>
    <n v="-10"/>
    <n v="57"/>
    <n v="0"/>
    <n v="1"/>
    <n v="10"/>
  </r>
  <r>
    <x v="5313"/>
    <n v="-10"/>
    <n v="57"/>
    <n v="47"/>
    <n v="33"/>
    <n v="23"/>
    <x v="21"/>
    <n v="15"/>
    <n v="-2"/>
    <n v="67"/>
    <n v="0"/>
    <n v="1"/>
    <n v="2"/>
  </r>
  <r>
    <x v="5314"/>
    <n v="-2"/>
    <n v="67"/>
    <n v="65"/>
    <n v="15"/>
    <n v="17"/>
    <x v="26"/>
    <n v="13"/>
    <n v="2"/>
    <n v="65"/>
    <n v="0.2"/>
    <n v="0"/>
    <n v="0"/>
  </r>
  <r>
    <x v="5315"/>
    <n v="2"/>
    <n v="65"/>
    <n v="67"/>
    <n v="13"/>
    <n v="17"/>
    <x v="23"/>
    <n v="19"/>
    <n v="0"/>
    <n v="61"/>
    <n v="0"/>
    <n v="0"/>
    <n v="0"/>
  </r>
  <r>
    <x v="5316"/>
    <n v="0"/>
    <n v="61"/>
    <n v="61"/>
    <n v="19"/>
    <n v="33"/>
    <x v="14"/>
    <n v="24"/>
    <n v="9"/>
    <n v="47"/>
    <n v="0.9"/>
    <n v="0"/>
    <n v="0"/>
  </r>
  <r>
    <x v="5317"/>
    <n v="9"/>
    <n v="47"/>
    <n v="56"/>
    <n v="24"/>
    <n v="15"/>
    <x v="32"/>
    <n v="21"/>
    <n v="3"/>
    <n v="56"/>
    <n v="0.30000000000000004"/>
    <n v="0"/>
    <n v="0"/>
  </r>
  <r>
    <x v="5318"/>
    <n v="3"/>
    <n v="56"/>
    <n v="59"/>
    <n v="21"/>
    <n v="13"/>
    <x v="8"/>
    <n v="23"/>
    <n v="-7"/>
    <n v="64"/>
    <n v="0"/>
    <n v="1"/>
    <n v="7"/>
  </r>
  <r>
    <x v="5319"/>
    <n v="-7"/>
    <n v="64"/>
    <n v="57"/>
    <n v="23"/>
    <n v="19"/>
    <x v="17"/>
    <n v="12"/>
    <n v="0"/>
    <n v="68"/>
    <n v="0"/>
    <n v="0"/>
    <n v="0"/>
  </r>
  <r>
    <x v="5320"/>
    <n v="0"/>
    <n v="68"/>
    <n v="68"/>
    <n v="12"/>
    <n v="24"/>
    <x v="32"/>
    <n v="15"/>
    <n v="9"/>
    <n v="56"/>
    <n v="0.9"/>
    <n v="0"/>
    <n v="0"/>
  </r>
  <r>
    <x v="5321"/>
    <n v="9"/>
    <n v="56"/>
    <n v="65"/>
    <n v="15"/>
    <n v="21"/>
    <x v="13"/>
    <n v="19"/>
    <n v="11"/>
    <n v="50"/>
    <n v="1.1000000000000001"/>
    <n v="0"/>
    <n v="0"/>
  </r>
  <r>
    <x v="5322"/>
    <n v="11"/>
    <n v="50"/>
    <n v="61"/>
    <n v="19"/>
    <n v="23"/>
    <x v="38"/>
    <n v="16"/>
    <n v="18"/>
    <n v="46"/>
    <n v="1.8"/>
    <n v="0"/>
    <n v="0"/>
  </r>
  <r>
    <x v="5323"/>
    <n v="18"/>
    <n v="46"/>
    <n v="64"/>
    <n v="16"/>
    <n v="12"/>
    <x v="13"/>
    <n v="24"/>
    <n v="6"/>
    <n v="50"/>
    <n v="0.60000000000000009"/>
    <n v="0"/>
    <n v="0"/>
  </r>
  <r>
    <x v="5324"/>
    <n v="6"/>
    <n v="50"/>
    <n v="56"/>
    <n v="24"/>
    <n v="15"/>
    <x v="5"/>
    <n v="19"/>
    <n v="2"/>
    <n v="59"/>
    <n v="0.2"/>
    <n v="0"/>
    <n v="0"/>
  </r>
  <r>
    <x v="5325"/>
    <n v="2"/>
    <n v="59"/>
    <n v="61"/>
    <n v="19"/>
    <n v="19"/>
    <x v="5"/>
    <n v="20"/>
    <n v="1"/>
    <n v="59"/>
    <n v="0.1"/>
    <n v="0"/>
    <n v="0"/>
  </r>
  <r>
    <x v="5326"/>
    <n v="1"/>
    <n v="59"/>
    <n v="60"/>
    <n v="20"/>
    <n v="16"/>
    <x v="22"/>
    <n v="18"/>
    <n v="-1"/>
    <n v="63"/>
    <n v="0"/>
    <n v="1"/>
    <n v="1"/>
  </r>
  <r>
    <x v="5327"/>
    <n v="-1"/>
    <n v="63"/>
    <n v="62"/>
    <n v="18"/>
    <n v="24"/>
    <x v="24"/>
    <n v="22"/>
    <n v="1"/>
    <n v="57"/>
    <n v="0.1"/>
    <n v="0"/>
    <n v="0"/>
  </r>
  <r>
    <x v="5328"/>
    <n v="1"/>
    <n v="57"/>
    <n v="58"/>
    <n v="22"/>
    <n v="19"/>
    <x v="4"/>
    <n v="25"/>
    <n v="-5"/>
    <n v="60"/>
    <n v="0"/>
    <n v="1"/>
    <n v="5"/>
  </r>
  <r>
    <x v="5329"/>
    <n v="-5"/>
    <n v="60"/>
    <n v="55"/>
    <n v="25"/>
    <n v="20"/>
    <x v="26"/>
    <n v="12"/>
    <n v="3"/>
    <n v="65"/>
    <n v="0.30000000000000004"/>
    <n v="0"/>
    <n v="0"/>
  </r>
  <r>
    <x v="5330"/>
    <n v="3"/>
    <n v="65"/>
    <n v="68"/>
    <n v="12"/>
    <n v="18"/>
    <x v="5"/>
    <n v="10"/>
    <n v="11"/>
    <n v="59"/>
    <n v="1.1000000000000001"/>
    <n v="0"/>
    <n v="0"/>
  </r>
  <r>
    <x v="5331"/>
    <n v="11"/>
    <n v="59"/>
    <n v="70"/>
    <n v="10"/>
    <n v="22"/>
    <x v="14"/>
    <n v="16"/>
    <n v="17"/>
    <n v="47"/>
    <n v="1.7000000000000002"/>
    <n v="0"/>
    <n v="0"/>
  </r>
  <r>
    <x v="5332"/>
    <n v="17"/>
    <n v="47"/>
    <n v="64"/>
    <n v="16"/>
    <n v="25"/>
    <x v="56"/>
    <n v="22"/>
    <n v="20"/>
    <n v="38"/>
    <n v="2"/>
    <n v="0"/>
    <n v="0"/>
  </r>
  <r>
    <x v="5333"/>
    <n v="20"/>
    <n v="38"/>
    <n v="58"/>
    <n v="22"/>
    <n v="12"/>
    <x v="15"/>
    <n v="12"/>
    <n v="20"/>
    <n v="48"/>
    <n v="2"/>
    <n v="0"/>
    <n v="0"/>
  </r>
  <r>
    <x v="5334"/>
    <n v="20"/>
    <n v="48"/>
    <n v="68"/>
    <n v="12"/>
    <n v="10"/>
    <x v="13"/>
    <n v="28"/>
    <n v="2"/>
    <n v="50"/>
    <n v="0.2"/>
    <n v="0"/>
    <n v="0"/>
  </r>
  <r>
    <x v="5335"/>
    <n v="2"/>
    <n v="50"/>
    <n v="52"/>
    <n v="28"/>
    <n v="16"/>
    <x v="33"/>
    <n v="16"/>
    <n v="2"/>
    <n v="62"/>
    <n v="0.2"/>
    <n v="0"/>
    <n v="0"/>
  </r>
  <r>
    <x v="5336"/>
    <n v="2"/>
    <n v="62"/>
    <n v="64"/>
    <n v="16"/>
    <n v="22"/>
    <x v="32"/>
    <n v="21"/>
    <n v="3"/>
    <n v="56"/>
    <n v="0.30000000000000004"/>
    <n v="0"/>
    <n v="0"/>
  </r>
  <r>
    <x v="5337"/>
    <n v="3"/>
    <n v="56"/>
    <n v="59"/>
    <n v="21"/>
    <n v="12"/>
    <x v="26"/>
    <n v="24"/>
    <n v="-9"/>
    <n v="65"/>
    <n v="0"/>
    <n v="1"/>
    <n v="9"/>
  </r>
  <r>
    <x v="5338"/>
    <n v="-9"/>
    <n v="65"/>
    <n v="56"/>
    <n v="24"/>
    <n v="28"/>
    <x v="23"/>
    <n v="11"/>
    <n v="8"/>
    <n v="61"/>
    <n v="0.8"/>
    <n v="0"/>
    <n v="0"/>
  </r>
  <r>
    <x v="5339"/>
    <n v="8"/>
    <n v="61"/>
    <n v="69"/>
    <n v="11"/>
    <n v="16"/>
    <x v="32"/>
    <n v="16"/>
    <n v="8"/>
    <n v="56"/>
    <n v="0.8"/>
    <n v="0"/>
    <n v="0"/>
  </r>
  <r>
    <x v="5340"/>
    <n v="8"/>
    <n v="56"/>
    <n v="64"/>
    <n v="16"/>
    <n v="21"/>
    <x v="9"/>
    <n v="28"/>
    <n v="1"/>
    <n v="51"/>
    <n v="0.1"/>
    <n v="0"/>
    <n v="0"/>
  </r>
  <r>
    <x v="5341"/>
    <n v="1"/>
    <n v="51"/>
    <n v="52"/>
    <n v="28"/>
    <n v="24"/>
    <x v="27"/>
    <n v="16"/>
    <n v="9"/>
    <n v="55"/>
    <n v="0.9"/>
    <n v="0"/>
    <n v="0"/>
  </r>
  <r>
    <x v="5342"/>
    <n v="9"/>
    <n v="55"/>
    <n v="64"/>
    <n v="16"/>
    <n v="11"/>
    <x v="4"/>
    <n v="25"/>
    <n v="-5"/>
    <n v="60"/>
    <n v="0"/>
    <n v="1"/>
    <n v="5"/>
  </r>
  <r>
    <x v="5343"/>
    <n v="-5"/>
    <n v="60"/>
    <n v="55"/>
    <n v="25"/>
    <n v="16"/>
    <x v="30"/>
    <n v="19"/>
    <n v="-8"/>
    <n v="69"/>
    <n v="0"/>
    <n v="1"/>
    <n v="8"/>
  </r>
  <r>
    <x v="5344"/>
    <n v="-8"/>
    <n v="69"/>
    <n v="61"/>
    <n v="19"/>
    <n v="28"/>
    <x v="4"/>
    <n v="20"/>
    <n v="0"/>
    <n v="60"/>
    <n v="0"/>
    <n v="0"/>
    <n v="0"/>
  </r>
  <r>
    <x v="5345"/>
    <n v="0"/>
    <n v="60"/>
    <n v="60"/>
    <n v="20"/>
    <n v="16"/>
    <x v="8"/>
    <n v="19"/>
    <n v="-3"/>
    <n v="64"/>
    <n v="0"/>
    <n v="1"/>
    <n v="3"/>
  </r>
  <r>
    <x v="5346"/>
    <n v="-3"/>
    <n v="64"/>
    <n v="61"/>
    <n v="19"/>
    <n v="25"/>
    <x v="28"/>
    <n v="26"/>
    <n v="-4"/>
    <n v="58"/>
    <n v="0"/>
    <n v="1"/>
    <n v="4"/>
  </r>
  <r>
    <x v="5347"/>
    <n v="-4"/>
    <n v="58"/>
    <n v="54"/>
    <n v="26"/>
    <n v="19"/>
    <x v="26"/>
    <n v="18"/>
    <n v="-3"/>
    <n v="65"/>
    <n v="0"/>
    <n v="1"/>
    <n v="3"/>
  </r>
  <r>
    <x v="5348"/>
    <n v="-3"/>
    <n v="65"/>
    <n v="62"/>
    <n v="18"/>
    <n v="20"/>
    <x v="22"/>
    <n v="24"/>
    <n v="-7"/>
    <n v="63"/>
    <n v="0"/>
    <n v="1"/>
    <n v="7"/>
  </r>
  <r>
    <x v="5349"/>
    <n v="-7"/>
    <n v="63"/>
    <n v="56"/>
    <n v="24"/>
    <n v="19"/>
    <x v="17"/>
    <n v="20"/>
    <n v="-8"/>
    <n v="68"/>
    <n v="0"/>
    <n v="1"/>
    <n v="8"/>
  </r>
  <r>
    <x v="5350"/>
    <n v="-8"/>
    <n v="68"/>
    <n v="60"/>
    <n v="20"/>
    <n v="26"/>
    <x v="33"/>
    <n v="24"/>
    <n v="-6"/>
    <n v="62"/>
    <n v="0"/>
    <n v="1"/>
    <n v="6"/>
  </r>
  <r>
    <x v="5351"/>
    <n v="-6"/>
    <n v="62"/>
    <n v="56"/>
    <n v="24"/>
    <n v="18"/>
    <x v="17"/>
    <n v="20"/>
    <n v="-8"/>
    <n v="68"/>
    <n v="0"/>
    <n v="1"/>
    <n v="8"/>
  </r>
  <r>
    <x v="5352"/>
    <n v="-8"/>
    <n v="68"/>
    <n v="60"/>
    <n v="20"/>
    <n v="24"/>
    <x v="8"/>
    <n v="18"/>
    <n v="-2"/>
    <n v="64"/>
    <n v="0"/>
    <n v="1"/>
    <n v="2"/>
  </r>
  <r>
    <x v="5353"/>
    <n v="-2"/>
    <n v="64"/>
    <n v="62"/>
    <n v="18"/>
    <n v="20"/>
    <x v="33"/>
    <n v="17"/>
    <n v="1"/>
    <n v="62"/>
    <n v="0.1"/>
    <n v="0"/>
    <n v="0"/>
  </r>
  <r>
    <x v="5354"/>
    <n v="1"/>
    <n v="62"/>
    <n v="63"/>
    <n v="17"/>
    <n v="24"/>
    <x v="27"/>
    <n v="18"/>
    <n v="7"/>
    <n v="55"/>
    <n v="0.70000000000000007"/>
    <n v="0"/>
    <n v="0"/>
  </r>
  <r>
    <x v="5355"/>
    <n v="7"/>
    <n v="55"/>
    <n v="62"/>
    <n v="18"/>
    <n v="20"/>
    <x v="12"/>
    <n v="23"/>
    <n v="4"/>
    <n v="53"/>
    <n v="0.4"/>
    <n v="0"/>
    <n v="0"/>
  </r>
  <r>
    <x v="5356"/>
    <n v="4"/>
    <n v="53"/>
    <n v="57"/>
    <n v="23"/>
    <n v="18"/>
    <x v="28"/>
    <n v="23"/>
    <n v="-1"/>
    <n v="58"/>
    <n v="0"/>
    <n v="1"/>
    <n v="1"/>
  </r>
  <r>
    <x v="5357"/>
    <n v="-1"/>
    <n v="58"/>
    <n v="57"/>
    <n v="23"/>
    <n v="17"/>
    <x v="8"/>
    <n v="12"/>
    <n v="4"/>
    <n v="64"/>
    <n v="0.4"/>
    <n v="0"/>
    <n v="0"/>
  </r>
  <r>
    <x v="5358"/>
    <n v="4"/>
    <n v="64"/>
    <n v="68"/>
    <n v="12"/>
    <n v="18"/>
    <x v="28"/>
    <n v="17"/>
    <n v="5"/>
    <n v="58"/>
    <n v="0.5"/>
    <n v="0"/>
    <n v="0"/>
  </r>
  <r>
    <x v="5359"/>
    <n v="5"/>
    <n v="58"/>
    <n v="63"/>
    <n v="17"/>
    <n v="23"/>
    <x v="25"/>
    <n v="20"/>
    <n v="8"/>
    <n v="52"/>
    <n v="0.8"/>
    <n v="0"/>
    <n v="0"/>
  </r>
  <r>
    <x v="5360"/>
    <n v="8"/>
    <n v="52"/>
    <n v="60"/>
    <n v="20"/>
    <n v="23"/>
    <x v="10"/>
    <n v="32"/>
    <n v="-1"/>
    <n v="49"/>
    <n v="0"/>
    <n v="1"/>
    <n v="1"/>
  </r>
  <r>
    <x v="5361"/>
    <n v="-1"/>
    <n v="49"/>
    <n v="48"/>
    <n v="32"/>
    <n v="12"/>
    <x v="30"/>
    <n v="19"/>
    <n v="-8"/>
    <n v="69"/>
    <n v="0"/>
    <n v="1"/>
    <n v="8"/>
  </r>
  <r>
    <x v="5362"/>
    <n v="-8"/>
    <n v="69"/>
    <n v="61"/>
    <n v="19"/>
    <n v="17"/>
    <x v="20"/>
    <n v="20"/>
    <n v="-11"/>
    <n v="71"/>
    <n v="0"/>
    <n v="1"/>
    <n v="11"/>
  </r>
  <r>
    <x v="5363"/>
    <n v="-11"/>
    <n v="71"/>
    <n v="60"/>
    <n v="20"/>
    <n v="20"/>
    <x v="20"/>
    <n v="15"/>
    <n v="-6"/>
    <n v="71"/>
    <n v="0"/>
    <n v="1"/>
    <n v="6"/>
  </r>
  <r>
    <x v="5364"/>
    <n v="-6"/>
    <n v="71"/>
    <n v="65"/>
    <n v="15"/>
    <n v="32"/>
    <x v="16"/>
    <n v="24"/>
    <n v="2"/>
    <n v="54"/>
    <n v="0.2"/>
    <n v="0"/>
    <n v="0"/>
  </r>
  <r>
    <x v="5365"/>
    <n v="2"/>
    <n v="54"/>
    <n v="56"/>
    <n v="24"/>
    <n v="19"/>
    <x v="5"/>
    <n v="20"/>
    <n v="1"/>
    <n v="59"/>
    <n v="0.1"/>
    <n v="0"/>
    <n v="0"/>
  </r>
  <r>
    <x v="5366"/>
    <n v="1"/>
    <n v="59"/>
    <n v="60"/>
    <n v="20"/>
    <n v="20"/>
    <x v="5"/>
    <n v="23"/>
    <n v="-2"/>
    <n v="59"/>
    <n v="0"/>
    <n v="1"/>
    <n v="2"/>
  </r>
  <r>
    <x v="5367"/>
    <n v="-2"/>
    <n v="59"/>
    <n v="57"/>
    <n v="23"/>
    <n v="15"/>
    <x v="21"/>
    <n v="19"/>
    <n v="-6"/>
    <n v="67"/>
    <n v="0"/>
    <n v="1"/>
    <n v="6"/>
  </r>
  <r>
    <x v="5368"/>
    <n v="-6"/>
    <n v="67"/>
    <n v="61"/>
    <n v="19"/>
    <n v="24"/>
    <x v="33"/>
    <n v="13"/>
    <n v="5"/>
    <n v="62"/>
    <n v="0.5"/>
    <n v="0"/>
    <n v="0"/>
  </r>
  <r>
    <x v="5369"/>
    <n v="5"/>
    <n v="62"/>
    <n v="67"/>
    <n v="13"/>
    <n v="20"/>
    <x v="27"/>
    <n v="15"/>
    <n v="10"/>
    <n v="55"/>
    <n v="1"/>
    <n v="0"/>
    <n v="0"/>
  </r>
  <r>
    <x v="5370"/>
    <n v="10"/>
    <n v="55"/>
    <n v="65"/>
    <n v="15"/>
    <n v="23"/>
    <x v="14"/>
    <n v="15"/>
    <n v="18"/>
    <n v="47"/>
    <n v="1.8"/>
    <n v="0"/>
    <n v="0"/>
  </r>
  <r>
    <x v="5371"/>
    <n v="18"/>
    <n v="47"/>
    <n v="65"/>
    <n v="15"/>
    <n v="19"/>
    <x v="51"/>
    <n v="20"/>
    <n v="17"/>
    <n v="43"/>
    <n v="1.7000000000000002"/>
    <n v="0"/>
    <n v="0"/>
  </r>
  <r>
    <x v="5372"/>
    <n v="17"/>
    <n v="43"/>
    <n v="60"/>
    <n v="20"/>
    <n v="13"/>
    <x v="13"/>
    <n v="23"/>
    <n v="7"/>
    <n v="50"/>
    <n v="0.70000000000000007"/>
    <n v="0"/>
    <n v="0"/>
  </r>
  <r>
    <x v="5373"/>
    <n v="7"/>
    <n v="50"/>
    <n v="57"/>
    <n v="23"/>
    <n v="15"/>
    <x v="28"/>
    <n v="17"/>
    <n v="5"/>
    <n v="58"/>
    <n v="0.5"/>
    <n v="0"/>
    <n v="0"/>
  </r>
  <r>
    <x v="5374"/>
    <n v="5"/>
    <n v="58"/>
    <n v="63"/>
    <n v="17"/>
    <n v="15"/>
    <x v="4"/>
    <n v="16"/>
    <n v="4"/>
    <n v="60"/>
    <n v="0.4"/>
    <n v="0"/>
    <n v="0"/>
  </r>
  <r>
    <x v="5375"/>
    <n v="4"/>
    <n v="60"/>
    <n v="64"/>
    <n v="16"/>
    <n v="20"/>
    <x v="32"/>
    <n v="23"/>
    <n v="1"/>
    <n v="56"/>
    <n v="0.1"/>
    <n v="0"/>
    <n v="0"/>
  </r>
  <r>
    <x v="5376"/>
    <n v="1"/>
    <n v="56"/>
    <n v="57"/>
    <n v="23"/>
    <n v="23"/>
    <x v="32"/>
    <n v="17"/>
    <n v="7"/>
    <n v="56"/>
    <n v="0.70000000000000007"/>
    <n v="0"/>
    <n v="0"/>
  </r>
  <r>
    <x v="5377"/>
    <n v="7"/>
    <n v="56"/>
    <n v="63"/>
    <n v="17"/>
    <n v="17"/>
    <x v="32"/>
    <n v="21"/>
    <n v="3"/>
    <n v="56"/>
    <n v="0.30000000000000004"/>
    <n v="0"/>
    <n v="0"/>
  </r>
  <r>
    <x v="5378"/>
    <n v="3"/>
    <n v="56"/>
    <n v="59"/>
    <n v="21"/>
    <n v="16"/>
    <x v="23"/>
    <n v="18"/>
    <n v="1"/>
    <n v="61"/>
    <n v="0.1"/>
    <n v="0"/>
    <n v="0"/>
  </r>
  <r>
    <x v="5379"/>
    <n v="1"/>
    <n v="61"/>
    <n v="62"/>
    <n v="18"/>
    <n v="23"/>
    <x v="32"/>
    <n v="24"/>
    <n v="0"/>
    <n v="56"/>
    <n v="0"/>
    <n v="0"/>
    <n v="0"/>
  </r>
  <r>
    <x v="5380"/>
    <n v="0"/>
    <n v="56"/>
    <n v="56"/>
    <n v="24"/>
    <n v="17"/>
    <x v="22"/>
    <n v="17"/>
    <n v="0"/>
    <n v="63"/>
    <n v="0"/>
    <n v="0"/>
    <n v="0"/>
  </r>
  <r>
    <x v="5381"/>
    <n v="0"/>
    <n v="63"/>
    <n v="63"/>
    <n v="17"/>
    <n v="21"/>
    <x v="5"/>
    <n v="18"/>
    <n v="3"/>
    <n v="59"/>
    <n v="0.30000000000000004"/>
    <n v="0"/>
    <n v="0"/>
  </r>
  <r>
    <x v="5382"/>
    <n v="3"/>
    <n v="59"/>
    <n v="62"/>
    <n v="18"/>
    <n v="18"/>
    <x v="5"/>
    <n v="14"/>
    <n v="7"/>
    <n v="59"/>
    <n v="0.70000000000000007"/>
    <n v="0"/>
    <n v="0"/>
  </r>
  <r>
    <x v="5383"/>
    <n v="7"/>
    <n v="59"/>
    <n v="66"/>
    <n v="14"/>
    <n v="24"/>
    <x v="10"/>
    <n v="13"/>
    <n v="18"/>
    <n v="49"/>
    <n v="1.8"/>
    <n v="0"/>
    <n v="0"/>
  </r>
  <r>
    <x v="5384"/>
    <n v="18"/>
    <n v="49"/>
    <n v="67"/>
    <n v="13"/>
    <n v="17"/>
    <x v="11"/>
    <n v="17"/>
    <n v="18"/>
    <n v="45"/>
    <n v="1.8"/>
    <n v="0"/>
    <n v="0"/>
  </r>
  <r>
    <x v="5385"/>
    <n v="18"/>
    <n v="45"/>
    <n v="63"/>
    <n v="17"/>
    <n v="18"/>
    <x v="45"/>
    <n v="22"/>
    <n v="14"/>
    <n v="44"/>
    <n v="1.4000000000000001"/>
    <n v="0"/>
    <n v="0"/>
  </r>
  <r>
    <x v="5386"/>
    <n v="14"/>
    <n v="44"/>
    <n v="58"/>
    <n v="22"/>
    <n v="14"/>
    <x v="25"/>
    <n v="26"/>
    <n v="2"/>
    <n v="52"/>
    <n v="0.2"/>
    <n v="0"/>
    <n v="0"/>
  </r>
  <r>
    <x v="5387"/>
    <n v="2"/>
    <n v="52"/>
    <n v="54"/>
    <n v="26"/>
    <n v="13"/>
    <x v="26"/>
    <n v="27"/>
    <n v="-12"/>
    <n v="65"/>
    <n v="0"/>
    <n v="1"/>
    <n v="12"/>
  </r>
  <r>
    <x v="5388"/>
    <n v="-12"/>
    <n v="65"/>
    <n v="53"/>
    <n v="27"/>
    <n v="17"/>
    <x v="44"/>
    <n v="18"/>
    <n v="-13"/>
    <n v="75"/>
    <n v="0"/>
    <n v="1"/>
    <n v="13"/>
  </r>
  <r>
    <x v="5389"/>
    <n v="-13"/>
    <n v="75"/>
    <n v="62"/>
    <n v="18"/>
    <n v="22"/>
    <x v="20"/>
    <n v="25"/>
    <n v="-16"/>
    <n v="71"/>
    <n v="0"/>
    <n v="1"/>
    <n v="16"/>
  </r>
  <r>
    <x v="5390"/>
    <n v="-16"/>
    <n v="71"/>
    <n v="55"/>
    <n v="25"/>
    <n v="26"/>
    <x v="6"/>
    <n v="17"/>
    <n v="-7"/>
    <n v="70"/>
    <n v="0"/>
    <n v="1"/>
    <n v="7"/>
  </r>
  <r>
    <x v="5391"/>
    <n v="-7"/>
    <n v="70"/>
    <n v="63"/>
    <n v="17"/>
    <n v="27"/>
    <x v="4"/>
    <n v="25"/>
    <n v="-5"/>
    <n v="60"/>
    <n v="0"/>
    <n v="1"/>
    <n v="5"/>
  </r>
  <r>
    <x v="5392"/>
    <n v="-5"/>
    <n v="60"/>
    <n v="55"/>
    <n v="25"/>
    <n v="18"/>
    <x v="21"/>
    <n v="20"/>
    <n v="-7"/>
    <n v="67"/>
    <n v="0"/>
    <n v="1"/>
    <n v="7"/>
  </r>
  <r>
    <x v="5393"/>
    <n v="-7"/>
    <n v="67"/>
    <n v="60"/>
    <n v="20"/>
    <n v="25"/>
    <x v="33"/>
    <n v="19"/>
    <n v="-1"/>
    <n v="62"/>
    <n v="0"/>
    <n v="1"/>
    <n v="1"/>
  </r>
  <r>
    <x v="5394"/>
    <n v="-1"/>
    <n v="62"/>
    <n v="61"/>
    <n v="19"/>
    <n v="17"/>
    <x v="8"/>
    <n v="18"/>
    <n v="-2"/>
    <n v="64"/>
    <n v="0"/>
    <n v="1"/>
    <n v="2"/>
  </r>
  <r>
    <x v="5395"/>
    <n v="-2"/>
    <n v="64"/>
    <n v="62"/>
    <n v="18"/>
    <n v="25"/>
    <x v="24"/>
    <n v="22"/>
    <n v="1"/>
    <n v="57"/>
    <n v="0.1"/>
    <n v="0"/>
    <n v="0"/>
  </r>
  <r>
    <x v="5396"/>
    <n v="1"/>
    <n v="57"/>
    <n v="58"/>
    <n v="22"/>
    <n v="20"/>
    <x v="5"/>
    <n v="24"/>
    <n v="-3"/>
    <n v="59"/>
    <n v="0"/>
    <n v="1"/>
    <n v="3"/>
  </r>
  <r>
    <x v="5397"/>
    <n v="-3"/>
    <n v="59"/>
    <n v="56"/>
    <n v="24"/>
    <n v="19"/>
    <x v="8"/>
    <n v="24"/>
    <n v="-8"/>
    <n v="64"/>
    <n v="0"/>
    <n v="1"/>
    <n v="8"/>
  </r>
  <r>
    <x v="5398"/>
    <n v="-8"/>
    <n v="64"/>
    <n v="56"/>
    <n v="24"/>
    <n v="18"/>
    <x v="6"/>
    <n v="22"/>
    <n v="-12"/>
    <n v="70"/>
    <n v="0"/>
    <n v="1"/>
    <n v="12"/>
  </r>
  <r>
    <x v="5399"/>
    <n v="-12"/>
    <n v="70"/>
    <n v="58"/>
    <n v="22"/>
    <n v="22"/>
    <x v="6"/>
    <n v="20"/>
    <n v="-10"/>
    <n v="70"/>
    <n v="0"/>
    <n v="1"/>
    <n v="10"/>
  </r>
  <r>
    <x v="5400"/>
    <n v="-10"/>
    <n v="70"/>
    <n v="60"/>
    <n v="20"/>
    <n v="24"/>
    <x v="7"/>
    <n v="8"/>
    <n v="6"/>
    <n v="66"/>
    <n v="0.60000000000000009"/>
    <n v="0"/>
    <n v="0"/>
  </r>
  <r>
    <x v="5401"/>
    <n v="6"/>
    <n v="66"/>
    <n v="72"/>
    <n v="8"/>
    <n v="24"/>
    <x v="13"/>
    <n v="17"/>
    <n v="13"/>
    <n v="50"/>
    <n v="1.3"/>
    <n v="0"/>
    <n v="0"/>
  </r>
  <r>
    <x v="5402"/>
    <n v="13"/>
    <n v="50"/>
    <n v="63"/>
    <n v="17"/>
    <n v="22"/>
    <x v="11"/>
    <n v="16"/>
    <n v="19"/>
    <n v="45"/>
    <n v="1.9000000000000001"/>
    <n v="0"/>
    <n v="0"/>
  </r>
  <r>
    <x v="5403"/>
    <n v="19"/>
    <n v="45"/>
    <n v="64"/>
    <n v="16"/>
    <n v="20"/>
    <x v="52"/>
    <n v="15"/>
    <n v="24"/>
    <n v="41"/>
    <n v="2.4000000000000004"/>
    <n v="0"/>
    <n v="0"/>
  </r>
  <r>
    <x v="5404"/>
    <n v="24"/>
    <n v="41"/>
    <n v="65"/>
    <n v="15"/>
    <n v="8"/>
    <x v="15"/>
    <n v="21"/>
    <n v="11"/>
    <n v="48"/>
    <n v="1.1000000000000001"/>
    <n v="0"/>
    <n v="0"/>
  </r>
  <r>
    <x v="5405"/>
    <n v="11"/>
    <n v="48"/>
    <n v="59"/>
    <n v="21"/>
    <n v="17"/>
    <x v="25"/>
    <n v="20"/>
    <n v="8"/>
    <n v="52"/>
    <n v="0.8"/>
    <n v="0"/>
    <n v="0"/>
  </r>
  <r>
    <x v="5406"/>
    <n v="8"/>
    <n v="52"/>
    <n v="60"/>
    <n v="20"/>
    <n v="16"/>
    <x v="32"/>
    <n v="11"/>
    <n v="13"/>
    <n v="56"/>
    <n v="1.3"/>
    <n v="0"/>
    <n v="0"/>
  </r>
  <r>
    <x v="5407"/>
    <n v="13"/>
    <n v="56"/>
    <n v="69"/>
    <n v="11"/>
    <n v="15"/>
    <x v="25"/>
    <n v="26"/>
    <n v="2"/>
    <n v="52"/>
    <n v="0.2"/>
    <n v="0"/>
    <n v="0"/>
  </r>
  <r>
    <x v="5408"/>
    <n v="2"/>
    <n v="52"/>
    <n v="54"/>
    <n v="26"/>
    <n v="21"/>
    <x v="24"/>
    <n v="25"/>
    <n v="-2"/>
    <n v="57"/>
    <n v="0"/>
    <n v="1"/>
    <n v="2"/>
  </r>
  <r>
    <x v="5409"/>
    <n v="-2"/>
    <n v="57"/>
    <n v="55"/>
    <n v="25"/>
    <n v="20"/>
    <x v="33"/>
    <n v="19"/>
    <n v="-1"/>
    <n v="62"/>
    <n v="0"/>
    <n v="1"/>
    <n v="1"/>
  </r>
  <r>
    <x v="5410"/>
    <n v="-1"/>
    <n v="62"/>
    <n v="61"/>
    <n v="19"/>
    <n v="11"/>
    <x v="6"/>
    <n v="11"/>
    <n v="-1"/>
    <n v="70"/>
    <n v="0"/>
    <n v="1"/>
    <n v="1"/>
  </r>
  <r>
    <x v="5411"/>
    <n v="-1"/>
    <n v="70"/>
    <n v="69"/>
    <n v="11"/>
    <n v="26"/>
    <x v="27"/>
    <n v="39"/>
    <n v="-14"/>
    <n v="55"/>
    <n v="0"/>
    <n v="1"/>
    <n v="14"/>
  </r>
  <r>
    <x v="5412"/>
    <n v="-14"/>
    <n v="55"/>
    <n v="41"/>
    <n v="39"/>
    <n v="25"/>
    <x v="30"/>
    <n v="24"/>
    <n v="-13"/>
    <n v="69"/>
    <n v="0"/>
    <n v="1"/>
    <n v="13"/>
  </r>
  <r>
    <x v="5413"/>
    <n v="-13"/>
    <n v="69"/>
    <n v="56"/>
    <n v="24"/>
    <n v="19"/>
    <x v="39"/>
    <n v="24"/>
    <n v="-18"/>
    <n v="74"/>
    <n v="0"/>
    <n v="1"/>
    <n v="18"/>
  </r>
  <r>
    <x v="5414"/>
    <n v="-18"/>
    <n v="74"/>
    <n v="56"/>
    <n v="24"/>
    <n v="11"/>
    <x v="50"/>
    <n v="20"/>
    <n v="-27"/>
    <n v="87"/>
    <n v="0"/>
    <n v="1"/>
    <n v="20"/>
  </r>
  <r>
    <x v="5415"/>
    <n v="-27"/>
    <n v="87"/>
    <n v="60"/>
    <n v="20"/>
    <n v="39"/>
    <x v="17"/>
    <n v="27"/>
    <n v="-15"/>
    <n v="68"/>
    <n v="0"/>
    <n v="1"/>
    <n v="15"/>
  </r>
  <r>
    <x v="5416"/>
    <n v="-15"/>
    <n v="68"/>
    <n v="53"/>
    <n v="27"/>
    <n v="24"/>
    <x v="20"/>
    <n v="28"/>
    <n v="-19"/>
    <n v="71"/>
    <n v="0"/>
    <n v="1"/>
    <n v="19"/>
  </r>
  <r>
    <x v="5417"/>
    <n v="-19"/>
    <n v="71"/>
    <n v="52"/>
    <n v="28"/>
    <n v="24"/>
    <x v="44"/>
    <n v="17"/>
    <n v="-12"/>
    <n v="75"/>
    <n v="0"/>
    <n v="1"/>
    <n v="12"/>
  </r>
  <r>
    <x v="5418"/>
    <n v="-12"/>
    <n v="75"/>
    <n v="63"/>
    <n v="17"/>
    <n v="20"/>
    <x v="29"/>
    <n v="26"/>
    <n v="-18"/>
    <n v="72"/>
    <n v="0"/>
    <n v="1"/>
    <n v="18"/>
  </r>
  <r>
    <x v="5419"/>
    <n v="-18"/>
    <n v="72"/>
    <n v="54"/>
    <n v="26"/>
    <n v="27"/>
    <x v="20"/>
    <n v="29"/>
    <n v="-20"/>
    <n v="71"/>
    <n v="0"/>
    <n v="1"/>
    <n v="20"/>
  </r>
  <r>
    <x v="5420"/>
    <n v="-20"/>
    <n v="71"/>
    <n v="51"/>
    <n v="29"/>
    <n v="28"/>
    <x v="29"/>
    <n v="15"/>
    <n v="-7"/>
    <n v="72"/>
    <n v="0"/>
    <n v="1"/>
    <n v="7"/>
  </r>
  <r>
    <x v="5421"/>
    <n v="-7"/>
    <n v="72"/>
    <n v="65"/>
    <n v="15"/>
    <n v="17"/>
    <x v="6"/>
    <n v="23"/>
    <n v="-13"/>
    <n v="70"/>
    <n v="0"/>
    <n v="1"/>
    <n v="13"/>
  </r>
  <r>
    <x v="5422"/>
    <n v="-13"/>
    <n v="70"/>
    <n v="57"/>
    <n v="23"/>
    <n v="26"/>
    <x v="21"/>
    <n v="17"/>
    <n v="-4"/>
    <n v="67"/>
    <n v="0"/>
    <n v="1"/>
    <n v="4"/>
  </r>
  <r>
    <x v="5423"/>
    <n v="-4"/>
    <n v="67"/>
    <n v="63"/>
    <n v="17"/>
    <n v="29"/>
    <x v="27"/>
    <n v="15"/>
    <n v="10"/>
    <n v="55"/>
    <n v="1"/>
    <n v="0"/>
    <n v="0"/>
  </r>
  <r>
    <x v="5424"/>
    <n v="10"/>
    <n v="55"/>
    <n v="65"/>
    <n v="15"/>
    <n v="15"/>
    <x v="27"/>
    <n v="26"/>
    <n v="-1"/>
    <n v="55"/>
    <n v="0"/>
    <n v="1"/>
    <n v="1"/>
  </r>
  <r>
    <x v="5425"/>
    <n v="-1"/>
    <n v="55"/>
    <n v="54"/>
    <n v="26"/>
    <n v="23"/>
    <x v="28"/>
    <n v="19"/>
    <n v="3"/>
    <n v="58"/>
    <n v="0.30000000000000004"/>
    <n v="0"/>
    <n v="0"/>
  </r>
  <r>
    <x v="5426"/>
    <n v="3"/>
    <n v="58"/>
    <n v="61"/>
    <n v="19"/>
    <n v="17"/>
    <x v="4"/>
    <n v="9"/>
    <n v="11"/>
    <n v="60"/>
    <n v="1.1000000000000001"/>
    <n v="0"/>
    <n v="0"/>
  </r>
  <r>
    <x v="5427"/>
    <n v="11"/>
    <n v="60"/>
    <n v="71"/>
    <n v="9"/>
    <n v="15"/>
    <x v="16"/>
    <n v="25"/>
    <n v="1"/>
    <n v="54"/>
    <n v="0.1"/>
    <n v="0"/>
    <n v="0"/>
  </r>
  <r>
    <x v="5428"/>
    <n v="1"/>
    <n v="54"/>
    <n v="55"/>
    <n v="25"/>
    <n v="26"/>
    <x v="12"/>
    <n v="24"/>
    <n v="3"/>
    <n v="53"/>
    <n v="0.30000000000000004"/>
    <n v="0"/>
    <n v="0"/>
  </r>
  <r>
    <x v="5429"/>
    <n v="3"/>
    <n v="53"/>
    <n v="56"/>
    <n v="24"/>
    <n v="19"/>
    <x v="28"/>
    <n v="24"/>
    <n v="-2"/>
    <n v="58"/>
    <n v="0"/>
    <n v="1"/>
    <n v="2"/>
  </r>
  <r>
    <x v="5430"/>
    <n v="-2"/>
    <n v="58"/>
    <n v="56"/>
    <n v="24"/>
    <n v="9"/>
    <x v="31"/>
    <n v="13"/>
    <n v="-6"/>
    <n v="73"/>
    <n v="0"/>
    <n v="1"/>
    <n v="6"/>
  </r>
  <r>
    <x v="5431"/>
    <n v="-6"/>
    <n v="73"/>
    <n v="67"/>
    <n v="13"/>
    <n v="25"/>
    <x v="23"/>
    <n v="20"/>
    <n v="-1"/>
    <n v="61"/>
    <n v="0"/>
    <n v="1"/>
    <n v="1"/>
  </r>
  <r>
    <x v="5432"/>
    <n v="-1"/>
    <n v="61"/>
    <n v="60"/>
    <n v="20"/>
    <n v="24"/>
    <x v="24"/>
    <n v="23"/>
    <n v="0"/>
    <n v="57"/>
    <n v="0"/>
    <n v="0"/>
    <n v="0"/>
  </r>
  <r>
    <x v="5433"/>
    <n v="0"/>
    <n v="57"/>
    <n v="57"/>
    <n v="23"/>
    <n v="24"/>
    <x v="32"/>
    <n v="16"/>
    <n v="8"/>
    <n v="56"/>
    <n v="0.8"/>
    <n v="0"/>
    <n v="0"/>
  </r>
  <r>
    <x v="5434"/>
    <n v="8"/>
    <n v="56"/>
    <n v="64"/>
    <n v="16"/>
    <n v="13"/>
    <x v="5"/>
    <n v="21"/>
    <n v="0"/>
    <n v="59"/>
    <n v="0"/>
    <n v="0"/>
    <n v="0"/>
  </r>
  <r>
    <x v="5435"/>
    <n v="0"/>
    <n v="59"/>
    <n v="59"/>
    <n v="21"/>
    <n v="20"/>
    <x v="4"/>
    <n v="19"/>
    <n v="1"/>
    <n v="60"/>
    <n v="0.1"/>
    <n v="0"/>
    <n v="0"/>
  </r>
  <r>
    <x v="5436"/>
    <n v="1"/>
    <n v="60"/>
    <n v="61"/>
    <n v="19"/>
    <n v="23"/>
    <x v="32"/>
    <n v="28"/>
    <n v="-4"/>
    <n v="56"/>
    <n v="0"/>
    <n v="1"/>
    <n v="4"/>
  </r>
  <r>
    <x v="5437"/>
    <n v="-4"/>
    <n v="56"/>
    <n v="52"/>
    <n v="28"/>
    <n v="16"/>
    <x v="17"/>
    <n v="11"/>
    <n v="1"/>
    <n v="68"/>
    <n v="0.1"/>
    <n v="0"/>
    <n v="0"/>
  </r>
  <r>
    <x v="5438"/>
    <n v="1"/>
    <n v="68"/>
    <n v="69"/>
    <n v="11"/>
    <n v="21"/>
    <x v="28"/>
    <n v="19"/>
    <n v="3"/>
    <n v="58"/>
    <n v="0.30000000000000004"/>
    <n v="0"/>
    <n v="0"/>
  </r>
  <r>
    <x v="5439"/>
    <n v="3"/>
    <n v="58"/>
    <n v="61"/>
    <n v="19"/>
    <n v="19"/>
    <x v="28"/>
    <n v="20"/>
    <n v="2"/>
    <n v="58"/>
    <n v="0.2"/>
    <n v="0"/>
    <n v="0"/>
  </r>
  <r>
    <x v="5440"/>
    <n v="2"/>
    <n v="58"/>
    <n v="60"/>
    <n v="20"/>
    <n v="28"/>
    <x v="13"/>
    <n v="15"/>
    <n v="15"/>
    <n v="50"/>
    <n v="1.5"/>
    <n v="0"/>
    <n v="0"/>
  </r>
  <r>
    <x v="5441"/>
    <n v="15"/>
    <n v="50"/>
    <n v="65"/>
    <n v="15"/>
    <n v="11"/>
    <x v="16"/>
    <n v="23"/>
    <n v="3"/>
    <n v="54"/>
    <n v="0.30000000000000004"/>
    <n v="0"/>
    <n v="0"/>
  </r>
  <r>
    <x v="5442"/>
    <n v="3"/>
    <n v="54"/>
    <n v="57"/>
    <n v="23"/>
    <n v="19"/>
    <x v="28"/>
    <n v="15"/>
    <n v="7"/>
    <n v="58"/>
    <n v="0.70000000000000007"/>
    <n v="0"/>
    <n v="0"/>
  </r>
  <r>
    <x v="5443"/>
    <n v="7"/>
    <n v="58"/>
    <n v="65"/>
    <n v="15"/>
    <n v="20"/>
    <x v="12"/>
    <n v="20"/>
    <n v="7"/>
    <n v="53"/>
    <n v="0.70000000000000007"/>
    <n v="0"/>
    <n v="0"/>
  </r>
  <r>
    <x v="5444"/>
    <n v="7"/>
    <n v="53"/>
    <n v="60"/>
    <n v="20"/>
    <n v="15"/>
    <x v="28"/>
    <n v="19"/>
    <n v="3"/>
    <n v="58"/>
    <n v="0.30000000000000004"/>
    <n v="0"/>
    <n v="0"/>
  </r>
  <r>
    <x v="5445"/>
    <n v="3"/>
    <n v="58"/>
    <n v="61"/>
    <n v="19"/>
    <n v="23"/>
    <x v="16"/>
    <n v="21"/>
    <n v="5"/>
    <n v="54"/>
    <n v="0.5"/>
    <n v="0"/>
    <n v="0"/>
  </r>
  <r>
    <x v="5446"/>
    <n v="5"/>
    <n v="54"/>
    <n v="59"/>
    <n v="21"/>
    <n v="15"/>
    <x v="4"/>
    <n v="26"/>
    <n v="-6"/>
    <n v="60"/>
    <n v="0"/>
    <n v="1"/>
    <n v="6"/>
  </r>
  <r>
    <x v="5447"/>
    <n v="-6"/>
    <n v="60"/>
    <n v="54"/>
    <n v="26"/>
    <n v="20"/>
    <x v="7"/>
    <n v="20"/>
    <n v="-6"/>
    <n v="66"/>
    <n v="0"/>
    <n v="1"/>
    <n v="6"/>
  </r>
  <r>
    <x v="5448"/>
    <n v="-6"/>
    <n v="66"/>
    <n v="60"/>
    <n v="20"/>
    <n v="19"/>
    <x v="21"/>
    <n v="21"/>
    <n v="-8"/>
    <n v="67"/>
    <n v="0"/>
    <n v="1"/>
    <n v="8"/>
  </r>
  <r>
    <x v="5449"/>
    <n v="-8"/>
    <n v="67"/>
    <n v="59"/>
    <n v="21"/>
    <n v="21"/>
    <x v="21"/>
    <n v="13"/>
    <n v="0"/>
    <n v="67"/>
    <n v="0"/>
    <n v="0"/>
    <n v="0"/>
  </r>
  <r>
    <x v="5450"/>
    <n v="0"/>
    <n v="67"/>
    <n v="67"/>
    <n v="13"/>
    <n v="26"/>
    <x v="16"/>
    <n v="20"/>
    <n v="6"/>
    <n v="54"/>
    <n v="0.60000000000000009"/>
    <n v="0"/>
    <n v="0"/>
  </r>
  <r>
    <x v="5451"/>
    <n v="6"/>
    <n v="54"/>
    <n v="60"/>
    <n v="20"/>
    <n v="20"/>
    <x v="16"/>
    <n v="20"/>
    <n v="6"/>
    <n v="54"/>
    <n v="0.60000000000000009"/>
    <n v="0"/>
    <n v="0"/>
  </r>
  <r>
    <x v="5452"/>
    <n v="6"/>
    <n v="54"/>
    <n v="60"/>
    <n v="20"/>
    <n v="21"/>
    <x v="12"/>
    <n v="20"/>
    <n v="7"/>
    <n v="53"/>
    <n v="0.70000000000000007"/>
    <n v="0"/>
    <n v="0"/>
  </r>
  <r>
    <x v="5453"/>
    <n v="7"/>
    <n v="53"/>
    <n v="60"/>
    <n v="20"/>
    <n v="13"/>
    <x v="4"/>
    <n v="20"/>
    <n v="0"/>
    <n v="60"/>
    <n v="0"/>
    <n v="0"/>
    <n v="0"/>
  </r>
  <r>
    <x v="5454"/>
    <n v="0"/>
    <n v="60"/>
    <n v="60"/>
    <n v="20"/>
    <n v="20"/>
    <x v="4"/>
    <n v="20"/>
    <n v="0"/>
    <n v="60"/>
    <n v="0"/>
    <n v="0"/>
    <n v="0"/>
  </r>
  <r>
    <x v="5455"/>
    <n v="0"/>
    <n v="60"/>
    <n v="60"/>
    <n v="20"/>
    <n v="20"/>
    <x v="4"/>
    <n v="16"/>
    <n v="4"/>
    <n v="60"/>
    <n v="0.4"/>
    <n v="0"/>
    <n v="0"/>
  </r>
  <r>
    <x v="5456"/>
    <n v="4"/>
    <n v="60"/>
    <n v="64"/>
    <n v="16"/>
    <n v="20"/>
    <x v="32"/>
    <n v="24"/>
    <n v="0"/>
    <n v="56"/>
    <n v="0"/>
    <n v="0"/>
    <n v="0"/>
  </r>
  <r>
    <x v="5457"/>
    <n v="0"/>
    <n v="56"/>
    <n v="56"/>
    <n v="24"/>
    <n v="20"/>
    <x v="4"/>
    <n v="20"/>
    <n v="0"/>
    <n v="60"/>
    <n v="0"/>
    <n v="0"/>
    <n v="0"/>
  </r>
  <r>
    <x v="5458"/>
    <n v="0"/>
    <n v="60"/>
    <n v="60"/>
    <n v="20"/>
    <n v="20"/>
    <x v="4"/>
    <n v="13"/>
    <n v="7"/>
    <n v="60"/>
    <n v="0.70000000000000007"/>
    <n v="0"/>
    <n v="0"/>
  </r>
  <r>
    <x v="5459"/>
    <n v="7"/>
    <n v="60"/>
    <n v="67"/>
    <n v="13"/>
    <n v="16"/>
    <x v="24"/>
    <n v="26"/>
    <n v="-3"/>
    <n v="57"/>
    <n v="0"/>
    <n v="1"/>
    <n v="3"/>
  </r>
  <r>
    <x v="5460"/>
    <n v="-3"/>
    <n v="57"/>
    <n v="54"/>
    <n v="26"/>
    <n v="24"/>
    <x v="5"/>
    <n v="21"/>
    <n v="0"/>
    <n v="59"/>
    <n v="0"/>
    <n v="0"/>
    <n v="0"/>
  </r>
  <r>
    <x v="5461"/>
    <n v="0"/>
    <n v="59"/>
    <n v="59"/>
    <n v="21"/>
    <n v="20"/>
    <x v="4"/>
    <n v="27"/>
    <n v="-7"/>
    <n v="60"/>
    <n v="0"/>
    <n v="1"/>
    <n v="7"/>
  </r>
  <r>
    <x v="5462"/>
    <n v="-7"/>
    <n v="60"/>
    <n v="53"/>
    <n v="27"/>
    <n v="13"/>
    <x v="39"/>
    <n v="18"/>
    <n v="-12"/>
    <n v="74"/>
    <n v="0"/>
    <n v="1"/>
    <n v="12"/>
  </r>
  <r>
    <x v="5463"/>
    <n v="-12"/>
    <n v="74"/>
    <n v="62"/>
    <n v="18"/>
    <n v="26"/>
    <x v="7"/>
    <n v="16"/>
    <n v="-2"/>
    <n v="66"/>
    <n v="0"/>
    <n v="1"/>
    <n v="2"/>
  </r>
  <r>
    <x v="5464"/>
    <n v="-2"/>
    <n v="66"/>
    <n v="64"/>
    <n v="16"/>
    <n v="21"/>
    <x v="23"/>
    <n v="20"/>
    <n v="-1"/>
    <n v="61"/>
    <n v="0"/>
    <n v="1"/>
    <n v="1"/>
  </r>
  <r>
    <x v="5465"/>
    <n v="-1"/>
    <n v="61"/>
    <n v="60"/>
    <n v="20"/>
    <n v="27"/>
    <x v="16"/>
    <n v="17"/>
    <n v="9"/>
    <n v="54"/>
    <n v="0.9"/>
    <n v="0"/>
    <n v="0"/>
  </r>
  <r>
    <x v="5466"/>
    <n v="9"/>
    <n v="54"/>
    <n v="63"/>
    <n v="17"/>
    <n v="18"/>
    <x v="12"/>
    <n v="26"/>
    <n v="1"/>
    <n v="53"/>
    <n v="0.1"/>
    <n v="0"/>
    <n v="0"/>
  </r>
  <r>
    <x v="5467"/>
    <n v="1"/>
    <n v="53"/>
    <n v="54"/>
    <n v="26"/>
    <n v="16"/>
    <x v="22"/>
    <n v="23"/>
    <n v="-6"/>
    <n v="63"/>
    <n v="0"/>
    <n v="1"/>
    <n v="6"/>
  </r>
  <r>
    <x v="5468"/>
    <n v="-6"/>
    <n v="63"/>
    <n v="57"/>
    <n v="23"/>
    <n v="20"/>
    <x v="7"/>
    <n v="18"/>
    <n v="-4"/>
    <n v="66"/>
    <n v="0"/>
    <n v="1"/>
    <n v="4"/>
  </r>
  <r>
    <x v="5469"/>
    <n v="-4"/>
    <n v="66"/>
    <n v="62"/>
    <n v="18"/>
    <n v="17"/>
    <x v="21"/>
    <n v="18"/>
    <n v="-5"/>
    <n v="67"/>
    <n v="0"/>
    <n v="1"/>
    <n v="5"/>
  </r>
  <r>
    <x v="5470"/>
    <n v="-5"/>
    <n v="67"/>
    <n v="62"/>
    <n v="18"/>
    <n v="26"/>
    <x v="5"/>
    <n v="16"/>
    <n v="5"/>
    <n v="59"/>
    <n v="0.5"/>
    <n v="0"/>
    <n v="0"/>
  </r>
  <r>
    <x v="5471"/>
    <n v="5"/>
    <n v="59"/>
    <n v="64"/>
    <n v="16"/>
    <n v="23"/>
    <x v="25"/>
    <n v="33"/>
    <n v="-5"/>
    <n v="52"/>
    <n v="0"/>
    <n v="1"/>
    <n v="5"/>
  </r>
  <r>
    <x v="5472"/>
    <n v="-5"/>
    <n v="52"/>
    <n v="47"/>
    <n v="33"/>
    <n v="18"/>
    <x v="21"/>
    <n v="15"/>
    <n v="-2"/>
    <n v="67"/>
    <n v="0"/>
    <n v="1"/>
    <n v="2"/>
  </r>
  <r>
    <x v="5473"/>
    <n v="-2"/>
    <n v="67"/>
    <n v="65"/>
    <n v="15"/>
    <n v="18"/>
    <x v="8"/>
    <n v="24"/>
    <n v="-8"/>
    <n v="64"/>
    <n v="0"/>
    <n v="1"/>
    <n v="8"/>
  </r>
  <r>
    <x v="5474"/>
    <n v="-8"/>
    <n v="64"/>
    <n v="56"/>
    <n v="24"/>
    <n v="16"/>
    <x v="29"/>
    <n v="23"/>
    <n v="-15"/>
    <n v="72"/>
    <n v="0"/>
    <n v="1"/>
    <n v="15"/>
  </r>
  <r>
    <x v="5475"/>
    <n v="-15"/>
    <n v="72"/>
    <n v="57"/>
    <n v="23"/>
    <n v="33"/>
    <x v="33"/>
    <n v="20"/>
    <n v="-2"/>
    <n v="62"/>
    <n v="0"/>
    <n v="1"/>
    <n v="2"/>
  </r>
  <r>
    <x v="5476"/>
    <n v="-2"/>
    <n v="62"/>
    <n v="60"/>
    <n v="20"/>
    <n v="15"/>
    <x v="21"/>
    <n v="21"/>
    <n v="-8"/>
    <n v="67"/>
    <n v="0"/>
    <n v="1"/>
    <n v="8"/>
  </r>
  <r>
    <x v="5477"/>
    <n v="-8"/>
    <n v="67"/>
    <n v="59"/>
    <n v="21"/>
    <n v="24"/>
    <x v="8"/>
    <n v="19"/>
    <n v="-3"/>
    <n v="64"/>
    <n v="0"/>
    <n v="1"/>
    <n v="3"/>
  </r>
  <r>
    <x v="5478"/>
    <n v="-3"/>
    <n v="64"/>
    <n v="61"/>
    <n v="19"/>
    <n v="23"/>
    <x v="4"/>
    <n v="26"/>
    <n v="-6"/>
    <n v="60"/>
    <n v="0"/>
    <n v="1"/>
    <n v="6"/>
  </r>
  <r>
    <x v="5479"/>
    <n v="-6"/>
    <n v="60"/>
    <n v="54"/>
    <n v="26"/>
    <n v="20"/>
    <x v="7"/>
    <n v="23"/>
    <n v="-9"/>
    <n v="66"/>
    <n v="0"/>
    <n v="1"/>
    <n v="9"/>
  </r>
  <r>
    <x v="5480"/>
    <n v="-9"/>
    <n v="66"/>
    <n v="57"/>
    <n v="23"/>
    <n v="21"/>
    <x v="17"/>
    <n v="22"/>
    <n v="-10"/>
    <n v="68"/>
    <n v="0"/>
    <n v="1"/>
    <n v="10"/>
  </r>
  <r>
    <x v="5481"/>
    <n v="-10"/>
    <n v="68"/>
    <n v="58"/>
    <n v="22"/>
    <n v="19"/>
    <x v="20"/>
    <n v="17"/>
    <n v="-8"/>
    <n v="71"/>
    <n v="0"/>
    <n v="1"/>
    <n v="8"/>
  </r>
  <r>
    <x v="5482"/>
    <n v="-8"/>
    <n v="71"/>
    <n v="63"/>
    <n v="17"/>
    <n v="26"/>
    <x v="33"/>
    <n v="19"/>
    <n v="-1"/>
    <n v="62"/>
    <n v="0"/>
    <n v="1"/>
    <n v="1"/>
  </r>
  <r>
    <x v="5483"/>
    <n v="-1"/>
    <n v="62"/>
    <n v="61"/>
    <n v="19"/>
    <n v="23"/>
    <x v="28"/>
    <n v="21"/>
    <n v="1"/>
    <n v="58"/>
    <n v="0.1"/>
    <n v="0"/>
    <n v="0"/>
  </r>
  <r>
    <x v="5484"/>
    <n v="1"/>
    <n v="58"/>
    <n v="59"/>
    <n v="21"/>
    <n v="22"/>
    <x v="24"/>
    <n v="18"/>
    <n v="5"/>
    <n v="57"/>
    <n v="0.5"/>
    <n v="0"/>
    <n v="0"/>
  </r>
  <r>
    <x v="5485"/>
    <n v="5"/>
    <n v="57"/>
    <n v="62"/>
    <n v="18"/>
    <n v="17"/>
    <x v="28"/>
    <n v="15"/>
    <n v="7"/>
    <n v="58"/>
    <n v="0.70000000000000007"/>
    <n v="0"/>
    <n v="0"/>
  </r>
  <r>
    <x v="5486"/>
    <n v="7"/>
    <n v="58"/>
    <n v="65"/>
    <n v="15"/>
    <n v="19"/>
    <x v="16"/>
    <n v="26"/>
    <n v="0"/>
    <n v="54"/>
    <n v="0"/>
    <n v="0"/>
    <n v="0"/>
  </r>
  <r>
    <x v="5487"/>
    <n v="0"/>
    <n v="54"/>
    <n v="54"/>
    <n v="26"/>
    <n v="21"/>
    <x v="5"/>
    <n v="14"/>
    <n v="7"/>
    <n v="59"/>
    <n v="0.70000000000000007"/>
    <n v="0"/>
    <n v="0"/>
  </r>
  <r>
    <x v="5488"/>
    <n v="7"/>
    <n v="59"/>
    <n v="66"/>
    <n v="14"/>
    <n v="18"/>
    <x v="27"/>
    <n v="11"/>
    <n v="14"/>
    <n v="55"/>
    <n v="1.4000000000000001"/>
    <n v="0"/>
    <n v="0"/>
  </r>
  <r>
    <x v="5489"/>
    <n v="14"/>
    <n v="55"/>
    <n v="69"/>
    <n v="11"/>
    <n v="15"/>
    <x v="9"/>
    <n v="16"/>
    <n v="13"/>
    <n v="51"/>
    <n v="1.3"/>
    <n v="0"/>
    <n v="0"/>
  </r>
  <r>
    <x v="5490"/>
    <n v="13"/>
    <n v="51"/>
    <n v="64"/>
    <n v="16"/>
    <n v="26"/>
    <x v="52"/>
    <n v="16"/>
    <n v="23"/>
    <n v="41"/>
    <n v="2.3000000000000003"/>
    <n v="0"/>
    <n v="0"/>
  </r>
  <r>
    <x v="5491"/>
    <n v="23"/>
    <n v="41"/>
    <n v="64"/>
    <n v="16"/>
    <n v="14"/>
    <x v="51"/>
    <n v="18"/>
    <n v="19"/>
    <n v="43"/>
    <n v="1.9000000000000001"/>
    <n v="0"/>
    <n v="0"/>
  </r>
  <r>
    <x v="5492"/>
    <n v="19"/>
    <n v="43"/>
    <n v="62"/>
    <n v="18"/>
    <n v="11"/>
    <x v="13"/>
    <n v="17"/>
    <n v="13"/>
    <n v="50"/>
    <n v="1.3"/>
    <n v="0"/>
    <n v="0"/>
  </r>
  <r>
    <x v="5493"/>
    <n v="13"/>
    <n v="50"/>
    <n v="63"/>
    <n v="17"/>
    <n v="16"/>
    <x v="9"/>
    <n v="31"/>
    <n v="-2"/>
    <n v="51"/>
    <n v="0"/>
    <n v="1"/>
    <n v="2"/>
  </r>
  <r>
    <x v="5494"/>
    <n v="-2"/>
    <n v="51"/>
    <n v="49"/>
    <n v="31"/>
    <n v="16"/>
    <x v="7"/>
    <n v="22"/>
    <n v="-8"/>
    <n v="66"/>
    <n v="0"/>
    <n v="1"/>
    <n v="8"/>
  </r>
  <r>
    <x v="5495"/>
    <n v="-8"/>
    <n v="66"/>
    <n v="58"/>
    <n v="22"/>
    <n v="18"/>
    <x v="6"/>
    <n v="16"/>
    <n v="-6"/>
    <n v="70"/>
    <n v="0"/>
    <n v="1"/>
    <n v="6"/>
  </r>
  <r>
    <x v="5496"/>
    <n v="-6"/>
    <n v="70"/>
    <n v="64"/>
    <n v="16"/>
    <n v="17"/>
    <x v="30"/>
    <n v="22"/>
    <n v="-11"/>
    <n v="69"/>
    <n v="0"/>
    <n v="1"/>
    <n v="11"/>
  </r>
  <r>
    <x v="5497"/>
    <n v="-11"/>
    <n v="69"/>
    <n v="58"/>
    <n v="22"/>
    <n v="31"/>
    <x v="4"/>
    <n v="25"/>
    <n v="-5"/>
    <n v="60"/>
    <n v="0"/>
    <n v="1"/>
    <n v="5"/>
  </r>
  <r>
    <x v="5498"/>
    <n v="-5"/>
    <n v="60"/>
    <n v="55"/>
    <n v="25"/>
    <n v="22"/>
    <x v="22"/>
    <n v="20"/>
    <n v="-3"/>
    <n v="63"/>
    <n v="0"/>
    <n v="1"/>
    <n v="3"/>
  </r>
  <r>
    <x v="5499"/>
    <n v="-3"/>
    <n v="63"/>
    <n v="60"/>
    <n v="20"/>
    <n v="16"/>
    <x v="21"/>
    <n v="21"/>
    <n v="-8"/>
    <n v="67"/>
    <n v="0"/>
    <n v="1"/>
    <n v="8"/>
  </r>
  <r>
    <x v="5500"/>
    <n v="-8"/>
    <n v="67"/>
    <n v="59"/>
    <n v="21"/>
    <n v="22"/>
    <x v="7"/>
    <n v="16"/>
    <n v="-2"/>
    <n v="66"/>
    <n v="0"/>
    <n v="1"/>
    <n v="2"/>
  </r>
  <r>
    <x v="5501"/>
    <n v="-2"/>
    <n v="66"/>
    <n v="64"/>
    <n v="16"/>
    <n v="25"/>
    <x v="24"/>
    <n v="23"/>
    <n v="0"/>
    <n v="57"/>
    <n v="0"/>
    <n v="0"/>
    <n v="0"/>
  </r>
  <r>
    <x v="5502"/>
    <n v="0"/>
    <n v="57"/>
    <n v="57"/>
    <n v="23"/>
    <n v="20"/>
    <x v="4"/>
    <n v="24"/>
    <n v="-4"/>
    <n v="60"/>
    <n v="0"/>
    <n v="1"/>
    <n v="4"/>
  </r>
  <r>
    <x v="5503"/>
    <n v="-4"/>
    <n v="60"/>
    <n v="56"/>
    <n v="24"/>
    <n v="21"/>
    <x v="22"/>
    <n v="17"/>
    <n v="0"/>
    <n v="63"/>
    <n v="0"/>
    <n v="0"/>
    <n v="0"/>
  </r>
  <r>
    <x v="5504"/>
    <n v="0"/>
    <n v="63"/>
    <n v="63"/>
    <n v="17"/>
    <n v="16"/>
    <x v="8"/>
    <n v="15"/>
    <n v="1"/>
    <n v="64"/>
    <n v="0.1"/>
    <n v="0"/>
    <n v="0"/>
  </r>
  <r>
    <x v="5505"/>
    <n v="1"/>
    <n v="64"/>
    <n v="65"/>
    <n v="15"/>
    <n v="23"/>
    <x v="32"/>
    <n v="13"/>
    <n v="11"/>
    <n v="56"/>
    <n v="1.1000000000000001"/>
    <n v="0"/>
    <n v="0"/>
  </r>
  <r>
    <x v="5506"/>
    <n v="11"/>
    <n v="56"/>
    <n v="67"/>
    <n v="13"/>
    <n v="24"/>
    <x v="11"/>
    <n v="23"/>
    <n v="12"/>
    <n v="45"/>
    <n v="1.2000000000000002"/>
    <n v="0"/>
    <n v="0"/>
  </r>
  <r>
    <x v="5507"/>
    <n v="12"/>
    <n v="45"/>
    <n v="57"/>
    <n v="23"/>
    <n v="17"/>
    <x v="9"/>
    <n v="16"/>
    <n v="13"/>
    <n v="51"/>
    <n v="1.3"/>
    <n v="0"/>
    <n v="0"/>
  </r>
  <r>
    <x v="5508"/>
    <n v="13"/>
    <n v="51"/>
    <n v="64"/>
    <n v="16"/>
    <n v="15"/>
    <x v="25"/>
    <n v="28"/>
    <n v="0"/>
    <n v="52"/>
    <n v="0"/>
    <n v="0"/>
    <n v="0"/>
  </r>
  <r>
    <x v="5509"/>
    <n v="0"/>
    <n v="52"/>
    <n v="52"/>
    <n v="28"/>
    <n v="13"/>
    <x v="21"/>
    <n v="23"/>
    <n v="-10"/>
    <n v="67"/>
    <n v="0"/>
    <n v="1"/>
    <n v="10"/>
  </r>
  <r>
    <x v="5510"/>
    <n v="-10"/>
    <n v="67"/>
    <n v="57"/>
    <n v="23"/>
    <n v="23"/>
    <x v="21"/>
    <n v="17"/>
    <n v="-4"/>
    <n v="67"/>
    <n v="0"/>
    <n v="1"/>
    <n v="4"/>
  </r>
  <r>
    <x v="5511"/>
    <n v="-4"/>
    <n v="67"/>
    <n v="63"/>
    <n v="17"/>
    <n v="16"/>
    <x v="17"/>
    <n v="16"/>
    <n v="-4"/>
    <n v="68"/>
    <n v="0"/>
    <n v="1"/>
    <n v="4"/>
  </r>
  <r>
    <x v="5512"/>
    <n v="-4"/>
    <n v="68"/>
    <n v="64"/>
    <n v="16"/>
    <n v="28"/>
    <x v="32"/>
    <n v="26"/>
    <n v="-2"/>
    <n v="56"/>
    <n v="0"/>
    <n v="1"/>
    <n v="2"/>
  </r>
  <r>
    <x v="5513"/>
    <n v="-2"/>
    <n v="56"/>
    <n v="54"/>
    <n v="26"/>
    <n v="23"/>
    <x v="5"/>
    <n v="20"/>
    <n v="1"/>
    <n v="59"/>
    <n v="0.1"/>
    <n v="0"/>
    <n v="0"/>
  </r>
  <r>
    <x v="5514"/>
    <n v="1"/>
    <n v="59"/>
    <n v="60"/>
    <n v="20"/>
    <n v="17"/>
    <x v="33"/>
    <n v="16"/>
    <n v="2"/>
    <n v="62"/>
    <n v="0.2"/>
    <n v="0"/>
    <n v="0"/>
  </r>
  <r>
    <x v="5515"/>
    <n v="2"/>
    <n v="62"/>
    <n v="64"/>
    <n v="16"/>
    <n v="16"/>
    <x v="33"/>
    <n v="24"/>
    <n v="-6"/>
    <n v="62"/>
    <n v="0"/>
    <n v="1"/>
    <n v="6"/>
  </r>
  <r>
    <x v="5516"/>
    <n v="-6"/>
    <n v="62"/>
    <n v="56"/>
    <n v="24"/>
    <n v="26"/>
    <x v="4"/>
    <n v="27"/>
    <n v="-7"/>
    <n v="60"/>
    <n v="0"/>
    <n v="1"/>
    <n v="7"/>
  </r>
  <r>
    <x v="5517"/>
    <n v="-7"/>
    <n v="60"/>
    <n v="53"/>
    <n v="27"/>
    <n v="20"/>
    <x v="21"/>
    <n v="14"/>
    <n v="-1"/>
    <n v="67"/>
    <n v="0"/>
    <n v="1"/>
    <n v="1"/>
  </r>
  <r>
    <x v="5518"/>
    <n v="-1"/>
    <n v="67"/>
    <n v="66"/>
    <n v="14"/>
    <n v="16"/>
    <x v="26"/>
    <n v="16"/>
    <n v="-1"/>
    <n v="65"/>
    <n v="0"/>
    <n v="1"/>
    <n v="1"/>
  </r>
  <r>
    <x v="5519"/>
    <n v="-1"/>
    <n v="65"/>
    <n v="64"/>
    <n v="16"/>
    <n v="24"/>
    <x v="24"/>
    <n v="23"/>
    <n v="0"/>
    <n v="57"/>
    <n v="0"/>
    <n v="0"/>
    <n v="0"/>
  </r>
  <r>
    <x v="5520"/>
    <n v="0"/>
    <n v="57"/>
    <n v="57"/>
    <n v="23"/>
    <n v="27"/>
    <x v="12"/>
    <n v="21"/>
    <n v="6"/>
    <n v="53"/>
    <n v="0.60000000000000009"/>
    <n v="0"/>
    <n v="0"/>
  </r>
  <r>
    <x v="5521"/>
    <n v="6"/>
    <n v="53"/>
    <n v="59"/>
    <n v="21"/>
    <n v="14"/>
    <x v="4"/>
    <n v="19"/>
    <n v="1"/>
    <n v="60"/>
    <n v="0.1"/>
    <n v="0"/>
    <n v="0"/>
  </r>
  <r>
    <x v="5522"/>
    <n v="1"/>
    <n v="60"/>
    <n v="61"/>
    <n v="19"/>
    <n v="16"/>
    <x v="22"/>
    <n v="28"/>
    <n v="-11"/>
    <n v="63"/>
    <n v="0"/>
    <n v="1"/>
    <n v="11"/>
  </r>
  <r>
    <x v="5523"/>
    <n v="-11"/>
    <n v="63"/>
    <n v="52"/>
    <n v="28"/>
    <n v="23"/>
    <x v="17"/>
    <n v="19"/>
    <n v="-7"/>
    <n v="68"/>
    <n v="0"/>
    <n v="1"/>
    <n v="7"/>
  </r>
  <r>
    <x v="5524"/>
    <n v="-7"/>
    <n v="68"/>
    <n v="61"/>
    <n v="19"/>
    <n v="21"/>
    <x v="7"/>
    <n v="17"/>
    <n v="-3"/>
    <n v="66"/>
    <n v="0"/>
    <n v="1"/>
    <n v="3"/>
  </r>
  <r>
    <x v="5525"/>
    <n v="-3"/>
    <n v="66"/>
    <n v="63"/>
    <n v="17"/>
    <n v="19"/>
    <x v="8"/>
    <n v="25"/>
    <n v="-9"/>
    <n v="64"/>
    <n v="0"/>
    <n v="1"/>
    <n v="9"/>
  </r>
  <r>
    <x v="5526"/>
    <n v="-9"/>
    <n v="64"/>
    <n v="55"/>
    <n v="25"/>
    <n v="28"/>
    <x v="23"/>
    <n v="16"/>
    <n v="3"/>
    <n v="61"/>
    <n v="0.30000000000000004"/>
    <n v="0"/>
    <n v="0"/>
  </r>
  <r>
    <x v="5527"/>
    <n v="3"/>
    <n v="61"/>
    <n v="64"/>
    <n v="16"/>
    <n v="19"/>
    <x v="28"/>
    <n v="20"/>
    <n v="2"/>
    <n v="58"/>
    <n v="0.2"/>
    <n v="0"/>
    <n v="0"/>
  </r>
  <r>
    <x v="5528"/>
    <n v="2"/>
    <n v="58"/>
    <n v="60"/>
    <n v="20"/>
    <n v="17"/>
    <x v="23"/>
    <n v="18"/>
    <n v="1"/>
    <n v="61"/>
    <n v="0.1"/>
    <n v="0"/>
    <n v="0"/>
  </r>
  <r>
    <x v="5529"/>
    <n v="1"/>
    <n v="61"/>
    <n v="62"/>
    <n v="18"/>
    <n v="25"/>
    <x v="16"/>
    <n v="19"/>
    <n v="7"/>
    <n v="54"/>
    <n v="0.70000000000000007"/>
    <n v="0"/>
    <n v="0"/>
  </r>
  <r>
    <x v="5530"/>
    <n v="7"/>
    <n v="54"/>
    <n v="61"/>
    <n v="19"/>
    <n v="16"/>
    <x v="24"/>
    <n v="20"/>
    <n v="3"/>
    <n v="57"/>
    <n v="0.30000000000000004"/>
    <n v="0"/>
    <n v="0"/>
  </r>
  <r>
    <x v="5531"/>
    <n v="3"/>
    <n v="57"/>
    <n v="60"/>
    <n v="20"/>
    <n v="20"/>
    <x v="24"/>
    <n v="23"/>
    <n v="0"/>
    <n v="57"/>
    <n v="0"/>
    <n v="0"/>
    <n v="0"/>
  </r>
  <r>
    <x v="5532"/>
    <n v="0"/>
    <n v="57"/>
    <n v="57"/>
    <n v="23"/>
    <n v="18"/>
    <x v="33"/>
    <n v="23"/>
    <n v="-5"/>
    <n v="62"/>
    <n v="0"/>
    <n v="1"/>
    <n v="5"/>
  </r>
  <r>
    <x v="5533"/>
    <n v="-5"/>
    <n v="62"/>
    <n v="57"/>
    <n v="23"/>
    <n v="19"/>
    <x v="7"/>
    <n v="18"/>
    <n v="-4"/>
    <n v="66"/>
    <n v="0"/>
    <n v="1"/>
    <n v="4"/>
  </r>
  <r>
    <x v="5534"/>
    <n v="-4"/>
    <n v="66"/>
    <n v="62"/>
    <n v="18"/>
    <n v="20"/>
    <x v="8"/>
    <n v="24"/>
    <n v="-8"/>
    <n v="64"/>
    <n v="0"/>
    <n v="1"/>
    <n v="8"/>
  </r>
  <r>
    <x v="5535"/>
    <n v="-8"/>
    <n v="64"/>
    <n v="56"/>
    <n v="24"/>
    <n v="23"/>
    <x v="26"/>
    <n v="16"/>
    <n v="-1"/>
    <n v="65"/>
    <n v="0"/>
    <n v="1"/>
    <n v="1"/>
  </r>
  <r>
    <x v="5536"/>
    <n v="-1"/>
    <n v="65"/>
    <n v="64"/>
    <n v="16"/>
    <n v="23"/>
    <x v="28"/>
    <n v="26"/>
    <n v="-4"/>
    <n v="58"/>
    <n v="0"/>
    <n v="1"/>
    <n v="4"/>
  </r>
  <r>
    <x v="5537"/>
    <n v="-4"/>
    <n v="58"/>
    <n v="54"/>
    <n v="26"/>
    <n v="18"/>
    <x v="7"/>
    <n v="15"/>
    <n v="-1"/>
    <n v="66"/>
    <n v="0"/>
    <n v="1"/>
    <n v="1"/>
  </r>
  <r>
    <x v="5538"/>
    <n v="-1"/>
    <n v="66"/>
    <n v="65"/>
    <n v="15"/>
    <n v="24"/>
    <x v="24"/>
    <n v="29"/>
    <n v="-6"/>
    <n v="57"/>
    <n v="0"/>
    <n v="1"/>
    <n v="6"/>
  </r>
  <r>
    <x v="5539"/>
    <n v="-6"/>
    <n v="57"/>
    <n v="51"/>
    <n v="29"/>
    <n v="16"/>
    <x v="6"/>
    <n v="19"/>
    <n v="-9"/>
    <n v="70"/>
    <n v="0"/>
    <n v="1"/>
    <n v="9"/>
  </r>
  <r>
    <x v="5540"/>
    <n v="-9"/>
    <n v="70"/>
    <n v="61"/>
    <n v="19"/>
    <n v="26"/>
    <x v="22"/>
    <n v="22"/>
    <n v="-5"/>
    <n v="63"/>
    <n v="0"/>
    <n v="1"/>
    <n v="5"/>
  </r>
  <r>
    <x v="5541"/>
    <n v="-5"/>
    <n v="63"/>
    <n v="58"/>
    <n v="22"/>
    <n v="15"/>
    <x v="6"/>
    <n v="22"/>
    <n v="-12"/>
    <n v="70"/>
    <n v="0"/>
    <n v="1"/>
    <n v="12"/>
  </r>
  <r>
    <x v="5542"/>
    <n v="-12"/>
    <n v="70"/>
    <n v="58"/>
    <n v="22"/>
    <n v="29"/>
    <x v="22"/>
    <n v="16"/>
    <n v="1"/>
    <n v="63"/>
    <n v="0.1"/>
    <n v="0"/>
    <n v="0"/>
  </r>
  <r>
    <x v="5543"/>
    <n v="1"/>
    <n v="63"/>
    <n v="64"/>
    <n v="16"/>
    <n v="19"/>
    <x v="4"/>
    <n v="12"/>
    <n v="8"/>
    <n v="60"/>
    <n v="0.8"/>
    <n v="0"/>
    <n v="0"/>
  </r>
  <r>
    <x v="5544"/>
    <n v="8"/>
    <n v="60"/>
    <n v="68"/>
    <n v="12"/>
    <n v="22"/>
    <x v="13"/>
    <n v="25"/>
    <n v="5"/>
    <n v="50"/>
    <n v="0.5"/>
    <n v="0"/>
    <n v="0"/>
  </r>
  <r>
    <x v="5545"/>
    <n v="5"/>
    <n v="50"/>
    <n v="55"/>
    <n v="25"/>
    <n v="22"/>
    <x v="12"/>
    <n v="17"/>
    <n v="10"/>
    <n v="53"/>
    <n v="1"/>
    <n v="0"/>
    <n v="0"/>
  </r>
  <r>
    <x v="5546"/>
    <n v="10"/>
    <n v="53"/>
    <n v="63"/>
    <n v="17"/>
    <n v="16"/>
    <x v="16"/>
    <n v="17"/>
    <n v="9"/>
    <n v="54"/>
    <n v="0.9"/>
    <n v="0"/>
    <n v="0"/>
  </r>
  <r>
    <x v="5547"/>
    <n v="9"/>
    <n v="54"/>
    <n v="63"/>
    <n v="17"/>
    <n v="12"/>
    <x v="5"/>
    <n v="28"/>
    <n v="-7"/>
    <n v="59"/>
    <n v="0"/>
    <n v="1"/>
    <n v="7"/>
  </r>
  <r>
    <x v="5548"/>
    <n v="-7"/>
    <n v="59"/>
    <n v="52"/>
    <n v="28"/>
    <n v="25"/>
    <x v="33"/>
    <n v="23"/>
    <n v="-5"/>
    <n v="62"/>
    <n v="0"/>
    <n v="1"/>
    <n v="5"/>
  </r>
  <r>
    <x v="5549"/>
    <n v="-5"/>
    <n v="62"/>
    <n v="57"/>
    <n v="23"/>
    <n v="17"/>
    <x v="17"/>
    <n v="22"/>
    <n v="-10"/>
    <n v="68"/>
    <n v="0"/>
    <n v="1"/>
    <n v="10"/>
  </r>
  <r>
    <x v="5550"/>
    <n v="-10"/>
    <n v="68"/>
    <n v="58"/>
    <n v="22"/>
    <n v="17"/>
    <x v="31"/>
    <n v="24"/>
    <n v="-17"/>
    <n v="73"/>
    <n v="0"/>
    <n v="1"/>
    <n v="17"/>
  </r>
  <r>
    <x v="5551"/>
    <n v="-17"/>
    <n v="73"/>
    <n v="56"/>
    <n v="24"/>
    <n v="28"/>
    <x v="30"/>
    <n v="28"/>
    <n v="-17"/>
    <n v="69"/>
    <n v="0"/>
    <n v="1"/>
    <n v="17"/>
  </r>
  <r>
    <x v="5552"/>
    <n v="-17"/>
    <n v="69"/>
    <n v="52"/>
    <n v="28"/>
    <n v="23"/>
    <x v="39"/>
    <n v="17"/>
    <n v="-11"/>
    <n v="74"/>
    <n v="0"/>
    <n v="1"/>
    <n v="11"/>
  </r>
  <r>
    <x v="5553"/>
    <n v="-11"/>
    <n v="74"/>
    <n v="63"/>
    <n v="17"/>
    <n v="22"/>
    <x v="30"/>
    <n v="23"/>
    <n v="-12"/>
    <n v="69"/>
    <n v="0"/>
    <n v="1"/>
    <n v="12"/>
  </r>
  <r>
    <x v="5554"/>
    <n v="-12"/>
    <n v="69"/>
    <n v="57"/>
    <n v="23"/>
    <n v="24"/>
    <x v="17"/>
    <n v="20"/>
    <n v="-8"/>
    <n v="68"/>
    <n v="0"/>
    <n v="1"/>
    <n v="8"/>
  </r>
  <r>
    <x v="5555"/>
    <n v="-8"/>
    <n v="68"/>
    <n v="60"/>
    <n v="20"/>
    <n v="28"/>
    <x v="4"/>
    <n v="14"/>
    <n v="6"/>
    <n v="60"/>
    <n v="0.60000000000000009"/>
    <n v="0"/>
    <n v="0"/>
  </r>
  <r>
    <x v="5556"/>
    <n v="6"/>
    <n v="60"/>
    <n v="66"/>
    <n v="14"/>
    <n v="17"/>
    <x v="24"/>
    <n v="16"/>
    <n v="7"/>
    <n v="57"/>
    <n v="0.70000000000000007"/>
    <n v="0"/>
    <n v="0"/>
  </r>
  <r>
    <x v="5557"/>
    <n v="7"/>
    <n v="57"/>
    <n v="64"/>
    <n v="16"/>
    <n v="23"/>
    <x v="13"/>
    <n v="25"/>
    <n v="5"/>
    <n v="50"/>
    <n v="0.5"/>
    <n v="0"/>
    <n v="0"/>
  </r>
  <r>
    <x v="5558"/>
    <n v="5"/>
    <n v="50"/>
    <n v="55"/>
    <n v="25"/>
    <n v="20"/>
    <x v="27"/>
    <n v="21"/>
    <n v="4"/>
    <n v="55"/>
    <n v="0.4"/>
    <n v="0"/>
    <n v="0"/>
  </r>
  <r>
    <x v="5559"/>
    <n v="4"/>
    <n v="55"/>
    <n v="59"/>
    <n v="21"/>
    <n v="14"/>
    <x v="33"/>
    <n v="22"/>
    <n v="-4"/>
    <n v="62"/>
    <n v="0"/>
    <n v="1"/>
    <n v="4"/>
  </r>
  <r>
    <x v="5560"/>
    <n v="-4"/>
    <n v="62"/>
    <n v="58"/>
    <n v="22"/>
    <n v="16"/>
    <x v="17"/>
    <n v="20"/>
    <n v="-8"/>
    <n v="68"/>
    <n v="0"/>
    <n v="1"/>
    <n v="8"/>
  </r>
  <r>
    <x v="5561"/>
    <n v="-8"/>
    <n v="68"/>
    <n v="60"/>
    <n v="20"/>
    <n v="25"/>
    <x v="22"/>
    <n v="22"/>
    <n v="-5"/>
    <n v="63"/>
    <n v="0"/>
    <n v="1"/>
    <n v="5"/>
  </r>
  <r>
    <x v="5562"/>
    <n v="-5"/>
    <n v="63"/>
    <n v="58"/>
    <n v="22"/>
    <n v="21"/>
    <x v="8"/>
    <n v="13"/>
    <n v="3"/>
    <n v="64"/>
    <n v="0.30000000000000004"/>
    <n v="0"/>
    <n v="0"/>
  </r>
  <r>
    <x v="5563"/>
    <n v="3"/>
    <n v="64"/>
    <n v="67"/>
    <n v="13"/>
    <n v="22"/>
    <x v="27"/>
    <n v="19"/>
    <n v="6"/>
    <n v="55"/>
    <n v="0.60000000000000009"/>
    <n v="0"/>
    <n v="0"/>
  </r>
  <r>
    <x v="5564"/>
    <n v="6"/>
    <n v="55"/>
    <n v="61"/>
    <n v="19"/>
    <n v="20"/>
    <x v="16"/>
    <n v="18"/>
    <n v="8"/>
    <n v="54"/>
    <n v="0.8"/>
    <n v="0"/>
    <n v="0"/>
  </r>
  <r>
    <x v="5565"/>
    <n v="8"/>
    <n v="54"/>
    <n v="62"/>
    <n v="18"/>
    <n v="22"/>
    <x v="13"/>
    <n v="21"/>
    <n v="9"/>
    <n v="50"/>
    <n v="0.9"/>
    <n v="0"/>
    <n v="0"/>
  </r>
  <r>
    <x v="5566"/>
    <n v="9"/>
    <n v="50"/>
    <n v="59"/>
    <n v="21"/>
    <n v="13"/>
    <x v="28"/>
    <n v="16"/>
    <n v="6"/>
    <n v="58"/>
    <n v="0.60000000000000009"/>
    <n v="0"/>
    <n v="0"/>
  </r>
  <r>
    <x v="5567"/>
    <n v="6"/>
    <n v="58"/>
    <n v="64"/>
    <n v="16"/>
    <n v="19"/>
    <x v="27"/>
    <n v="19"/>
    <n v="6"/>
    <n v="55"/>
    <n v="0.60000000000000009"/>
    <n v="0"/>
    <n v="0"/>
  </r>
  <r>
    <x v="5568"/>
    <n v="6"/>
    <n v="55"/>
    <n v="61"/>
    <n v="19"/>
    <n v="18"/>
    <x v="32"/>
    <n v="19"/>
    <n v="5"/>
    <n v="56"/>
    <n v="0.5"/>
    <n v="0"/>
    <n v="0"/>
  </r>
  <r>
    <x v="5569"/>
    <n v="5"/>
    <n v="56"/>
    <n v="61"/>
    <n v="19"/>
    <n v="21"/>
    <x v="16"/>
    <n v="24"/>
    <n v="2"/>
    <n v="54"/>
    <n v="0.2"/>
    <n v="0"/>
    <n v="0"/>
  </r>
  <r>
    <x v="5570"/>
    <n v="2"/>
    <n v="54"/>
    <n v="56"/>
    <n v="24"/>
    <n v="16"/>
    <x v="33"/>
    <n v="29"/>
    <n v="-11"/>
    <n v="62"/>
    <n v="0"/>
    <n v="1"/>
    <n v="11"/>
  </r>
  <r>
    <x v="5571"/>
    <n v="-11"/>
    <n v="62"/>
    <n v="51"/>
    <n v="29"/>
    <n v="19"/>
    <x v="29"/>
    <n v="18"/>
    <n v="-10"/>
    <n v="72"/>
    <n v="0"/>
    <n v="1"/>
    <n v="10"/>
  </r>
  <r>
    <x v="5572"/>
    <n v="-10"/>
    <n v="72"/>
    <n v="62"/>
    <n v="18"/>
    <n v="19"/>
    <x v="20"/>
    <n v="22"/>
    <n v="-13"/>
    <n v="71"/>
    <n v="0"/>
    <n v="1"/>
    <n v="13"/>
  </r>
  <r>
    <x v="5573"/>
    <n v="-13"/>
    <n v="71"/>
    <n v="58"/>
    <n v="22"/>
    <n v="24"/>
    <x v="30"/>
    <n v="26"/>
    <n v="-15"/>
    <n v="69"/>
    <n v="0"/>
    <n v="1"/>
    <n v="15"/>
  </r>
  <r>
    <x v="5574"/>
    <n v="-15"/>
    <n v="69"/>
    <n v="54"/>
    <n v="26"/>
    <n v="29"/>
    <x v="7"/>
    <n v="24"/>
    <n v="-10"/>
    <n v="66"/>
    <n v="0"/>
    <n v="1"/>
    <n v="10"/>
  </r>
  <r>
    <x v="5575"/>
    <n v="-10"/>
    <n v="66"/>
    <n v="56"/>
    <n v="24"/>
    <n v="18"/>
    <x v="29"/>
    <n v="23"/>
    <n v="-15"/>
    <n v="72"/>
    <n v="0"/>
    <n v="1"/>
    <n v="15"/>
  </r>
  <r>
    <x v="5576"/>
    <n v="-15"/>
    <n v="72"/>
    <n v="57"/>
    <n v="23"/>
    <n v="22"/>
    <x v="31"/>
    <n v="20"/>
    <n v="-13"/>
    <n v="73"/>
    <n v="0"/>
    <n v="1"/>
    <n v="13"/>
  </r>
  <r>
    <x v="5577"/>
    <n v="-13"/>
    <n v="73"/>
    <n v="60"/>
    <n v="20"/>
    <n v="26"/>
    <x v="21"/>
    <n v="16"/>
    <n v="-3"/>
    <n v="67"/>
    <n v="0"/>
    <n v="1"/>
    <n v="3"/>
  </r>
  <r>
    <x v="5578"/>
    <n v="-3"/>
    <n v="67"/>
    <n v="64"/>
    <n v="16"/>
    <n v="24"/>
    <x v="5"/>
    <n v="19"/>
    <n v="2"/>
    <n v="59"/>
    <n v="0.2"/>
    <n v="0"/>
    <n v="0"/>
  </r>
  <r>
    <x v="5579"/>
    <n v="2"/>
    <n v="59"/>
    <n v="61"/>
    <n v="19"/>
    <n v="23"/>
    <x v="27"/>
    <n v="22"/>
    <n v="3"/>
    <n v="55"/>
    <n v="0.30000000000000004"/>
    <n v="0"/>
    <n v="0"/>
  </r>
  <r>
    <x v="5580"/>
    <n v="3"/>
    <n v="55"/>
    <n v="58"/>
    <n v="22"/>
    <n v="20"/>
    <x v="24"/>
    <n v="35"/>
    <n v="-12"/>
    <n v="57"/>
    <n v="0"/>
    <n v="1"/>
    <n v="12"/>
  </r>
  <r>
    <x v="5581"/>
    <n v="-12"/>
    <n v="57"/>
    <n v="45"/>
    <n v="35"/>
    <n v="16"/>
    <x v="37"/>
    <n v="17"/>
    <n v="-13"/>
    <n v="76"/>
    <n v="0"/>
    <n v="1"/>
    <n v="13"/>
  </r>
  <r>
    <x v="5582"/>
    <n v="-13"/>
    <n v="76"/>
    <n v="63"/>
    <n v="17"/>
    <n v="19"/>
    <x v="39"/>
    <n v="19"/>
    <n v="-13"/>
    <n v="74"/>
    <n v="0"/>
    <n v="1"/>
    <n v="13"/>
  </r>
  <r>
    <x v="5583"/>
    <n v="-13"/>
    <n v="74"/>
    <n v="61"/>
    <n v="19"/>
    <n v="22"/>
    <x v="20"/>
    <n v="22"/>
    <n v="-13"/>
    <n v="71"/>
    <n v="0"/>
    <n v="1"/>
    <n v="13"/>
  </r>
  <r>
    <x v="5584"/>
    <n v="-13"/>
    <n v="71"/>
    <n v="58"/>
    <n v="22"/>
    <n v="35"/>
    <x v="28"/>
    <n v="21"/>
    <n v="1"/>
    <n v="58"/>
    <n v="0.1"/>
    <n v="0"/>
    <n v="0"/>
  </r>
  <r>
    <x v="5585"/>
    <n v="1"/>
    <n v="58"/>
    <n v="59"/>
    <n v="21"/>
    <n v="17"/>
    <x v="33"/>
    <n v="25"/>
    <n v="-7"/>
    <n v="62"/>
    <n v="0"/>
    <n v="1"/>
    <n v="7"/>
  </r>
  <r>
    <x v="5586"/>
    <n v="-7"/>
    <n v="62"/>
    <n v="55"/>
    <n v="25"/>
    <n v="19"/>
    <x v="17"/>
    <n v="20"/>
    <n v="-8"/>
    <n v="68"/>
    <n v="0"/>
    <n v="1"/>
    <n v="8"/>
  </r>
  <r>
    <x v="5587"/>
    <n v="-8"/>
    <n v="68"/>
    <n v="60"/>
    <n v="20"/>
    <n v="22"/>
    <x v="7"/>
    <n v="16"/>
    <n v="-2"/>
    <n v="66"/>
    <n v="0"/>
    <n v="1"/>
    <n v="2"/>
  </r>
  <r>
    <x v="5588"/>
    <n v="-2"/>
    <n v="66"/>
    <n v="64"/>
    <n v="16"/>
    <n v="21"/>
    <x v="23"/>
    <n v="15"/>
    <n v="4"/>
    <n v="61"/>
    <n v="0.4"/>
    <n v="0"/>
    <n v="0"/>
  </r>
  <r>
    <x v="5589"/>
    <n v="4"/>
    <n v="61"/>
    <n v="65"/>
    <n v="15"/>
    <n v="25"/>
    <x v="9"/>
    <n v="21"/>
    <n v="8"/>
    <n v="51"/>
    <n v="0.8"/>
    <n v="0"/>
    <n v="0"/>
  </r>
  <r>
    <x v="5590"/>
    <n v="8"/>
    <n v="51"/>
    <n v="59"/>
    <n v="21"/>
    <n v="20"/>
    <x v="25"/>
    <n v="6"/>
    <n v="22"/>
    <n v="52"/>
    <n v="2.2000000000000002"/>
    <n v="0"/>
    <n v="0"/>
  </r>
  <r>
    <x v="5591"/>
    <n v="22"/>
    <n v="52"/>
    <n v="74"/>
    <n v="6"/>
    <n v="16"/>
    <x v="40"/>
    <n v="12"/>
    <n v="26"/>
    <n v="42"/>
    <n v="2.6"/>
    <n v="0"/>
    <n v="0"/>
  </r>
  <r>
    <x v="5592"/>
    <n v="26"/>
    <n v="42"/>
    <n v="68"/>
    <n v="12"/>
    <n v="15"/>
    <x v="34"/>
    <n v="19"/>
    <n v="22"/>
    <n v="39"/>
    <n v="2.2000000000000002"/>
    <n v="0"/>
    <n v="0"/>
  </r>
  <r>
    <x v="5593"/>
    <n v="22"/>
    <n v="39"/>
    <n v="61"/>
    <n v="19"/>
    <n v="21"/>
    <x v="55"/>
    <n v="19"/>
    <n v="24"/>
    <n v="37"/>
    <n v="2.4000000000000004"/>
    <n v="0"/>
    <n v="0"/>
  </r>
  <r>
    <x v="5594"/>
    <n v="24"/>
    <n v="37"/>
    <n v="61"/>
    <n v="19"/>
    <n v="6"/>
    <x v="13"/>
    <n v="24"/>
    <n v="6"/>
    <n v="50"/>
    <n v="0.60000000000000009"/>
    <n v="0"/>
    <n v="0"/>
  </r>
  <r>
    <x v="5595"/>
    <n v="6"/>
    <n v="50"/>
    <n v="56"/>
    <n v="24"/>
    <n v="12"/>
    <x v="33"/>
    <n v="24"/>
    <n v="-6"/>
    <n v="62"/>
    <n v="0"/>
    <n v="1"/>
    <n v="6"/>
  </r>
  <r>
    <x v="5596"/>
    <n v="-6"/>
    <n v="62"/>
    <n v="56"/>
    <n v="24"/>
    <n v="19"/>
    <x v="21"/>
    <n v="20"/>
    <n v="-7"/>
    <n v="67"/>
    <n v="0"/>
    <n v="1"/>
    <n v="7"/>
  </r>
  <r>
    <x v="5597"/>
    <n v="-7"/>
    <n v="67"/>
    <n v="60"/>
    <n v="20"/>
    <n v="19"/>
    <x v="17"/>
    <n v="22"/>
    <n v="-10"/>
    <n v="68"/>
    <n v="0"/>
    <n v="1"/>
    <n v="10"/>
  </r>
  <r>
    <x v="5598"/>
    <n v="-10"/>
    <n v="68"/>
    <n v="58"/>
    <n v="22"/>
    <n v="24"/>
    <x v="7"/>
    <n v="20"/>
    <n v="-6"/>
    <n v="66"/>
    <n v="0"/>
    <n v="1"/>
    <n v="6"/>
  </r>
  <r>
    <x v="5599"/>
    <n v="-6"/>
    <n v="66"/>
    <n v="60"/>
    <n v="20"/>
    <n v="24"/>
    <x v="33"/>
    <n v="9"/>
    <n v="9"/>
    <n v="62"/>
    <n v="0.9"/>
    <n v="0"/>
    <n v="0"/>
  </r>
  <r>
    <x v="5600"/>
    <n v="9"/>
    <n v="62"/>
    <n v="71"/>
    <n v="9"/>
    <n v="20"/>
    <x v="9"/>
    <n v="27"/>
    <n v="2"/>
    <n v="51"/>
    <n v="0.2"/>
    <n v="0"/>
    <n v="0"/>
  </r>
  <r>
    <x v="5601"/>
    <n v="2"/>
    <n v="51"/>
    <n v="53"/>
    <n v="27"/>
    <n v="22"/>
    <x v="32"/>
    <n v="24"/>
    <n v="0"/>
    <n v="56"/>
    <n v="0"/>
    <n v="0"/>
    <n v="0"/>
  </r>
  <r>
    <x v="5602"/>
    <n v="0"/>
    <n v="56"/>
    <n v="56"/>
    <n v="24"/>
    <n v="20"/>
    <x v="4"/>
    <n v="19"/>
    <n v="1"/>
    <n v="60"/>
    <n v="0.1"/>
    <n v="0"/>
    <n v="0"/>
  </r>
  <r>
    <x v="5603"/>
    <n v="1"/>
    <n v="60"/>
    <n v="61"/>
    <n v="19"/>
    <n v="9"/>
    <x v="6"/>
    <n v="23"/>
    <n v="-13"/>
    <n v="70"/>
    <n v="0"/>
    <n v="1"/>
    <n v="13"/>
  </r>
  <r>
    <x v="5604"/>
    <n v="-13"/>
    <n v="70"/>
    <n v="57"/>
    <n v="23"/>
    <n v="27"/>
    <x v="7"/>
    <n v="18"/>
    <n v="-4"/>
    <n v="66"/>
    <n v="0"/>
    <n v="1"/>
    <n v="4"/>
  </r>
  <r>
    <x v="5605"/>
    <n v="-4"/>
    <n v="66"/>
    <n v="62"/>
    <n v="18"/>
    <n v="24"/>
    <x v="4"/>
    <n v="30"/>
    <n v="-10"/>
    <n v="60"/>
    <n v="0"/>
    <n v="1"/>
    <n v="10"/>
  </r>
  <r>
    <x v="5606"/>
    <n v="-10"/>
    <n v="60"/>
    <n v="50"/>
    <n v="30"/>
    <n v="19"/>
    <x v="20"/>
    <n v="22"/>
    <n v="-13"/>
    <n v="71"/>
    <n v="0"/>
    <n v="1"/>
    <n v="13"/>
  </r>
  <r>
    <x v="5607"/>
    <n v="-13"/>
    <n v="71"/>
    <n v="58"/>
    <n v="22"/>
    <n v="23"/>
    <x v="6"/>
    <n v="21"/>
    <n v="-11"/>
    <n v="70"/>
    <n v="0"/>
    <n v="1"/>
    <n v="11"/>
  </r>
  <r>
    <x v="5608"/>
    <n v="-11"/>
    <n v="70"/>
    <n v="59"/>
    <n v="21"/>
    <n v="18"/>
    <x v="31"/>
    <n v="20"/>
    <n v="-13"/>
    <n v="73"/>
    <n v="0"/>
    <n v="1"/>
    <n v="13"/>
  </r>
  <r>
    <x v="5609"/>
    <n v="-13"/>
    <n v="73"/>
    <n v="60"/>
    <n v="20"/>
    <n v="30"/>
    <x v="22"/>
    <n v="27"/>
    <n v="-10"/>
    <n v="63"/>
    <n v="0"/>
    <n v="1"/>
    <n v="10"/>
  </r>
  <r>
    <x v="5610"/>
    <n v="-10"/>
    <n v="63"/>
    <n v="53"/>
    <n v="27"/>
    <n v="22"/>
    <x v="17"/>
    <n v="9"/>
    <n v="3"/>
    <n v="68"/>
    <n v="0.30000000000000004"/>
    <n v="0"/>
    <n v="0"/>
  </r>
  <r>
    <x v="5611"/>
    <n v="3"/>
    <n v="68"/>
    <n v="71"/>
    <n v="9"/>
    <n v="21"/>
    <x v="32"/>
    <n v="32"/>
    <n v="-8"/>
    <n v="56"/>
    <n v="0"/>
    <n v="1"/>
    <n v="8"/>
  </r>
  <r>
    <x v="5612"/>
    <n v="-8"/>
    <n v="56"/>
    <n v="48"/>
    <n v="32"/>
    <n v="20"/>
    <x v="17"/>
    <n v="18"/>
    <n v="-6"/>
    <n v="68"/>
    <n v="0"/>
    <n v="1"/>
    <n v="6"/>
  </r>
  <r>
    <x v="5613"/>
    <n v="-6"/>
    <n v="68"/>
    <n v="62"/>
    <n v="18"/>
    <n v="27"/>
    <x v="5"/>
    <n v="17"/>
    <n v="4"/>
    <n v="59"/>
    <n v="0.4"/>
    <n v="0"/>
    <n v="0"/>
  </r>
  <r>
    <x v="5614"/>
    <n v="4"/>
    <n v="59"/>
    <n v="63"/>
    <n v="17"/>
    <n v="9"/>
    <x v="21"/>
    <n v="21"/>
    <n v="-8"/>
    <n v="67"/>
    <n v="0"/>
    <n v="1"/>
    <n v="8"/>
  </r>
  <r>
    <x v="5615"/>
    <n v="-8"/>
    <n v="67"/>
    <n v="59"/>
    <n v="21"/>
    <n v="32"/>
    <x v="32"/>
    <n v="21"/>
    <n v="3"/>
    <n v="56"/>
    <n v="0.30000000000000004"/>
    <n v="0"/>
    <n v="0"/>
  </r>
  <r>
    <x v="5616"/>
    <n v="3"/>
    <n v="56"/>
    <n v="59"/>
    <n v="21"/>
    <n v="18"/>
    <x v="5"/>
    <n v="18"/>
    <n v="3"/>
    <n v="59"/>
    <n v="0.30000000000000004"/>
    <n v="0"/>
    <n v="0"/>
  </r>
  <r>
    <x v="5617"/>
    <n v="3"/>
    <n v="59"/>
    <n v="62"/>
    <n v="18"/>
    <n v="17"/>
    <x v="4"/>
    <n v="20"/>
    <n v="0"/>
    <n v="60"/>
    <n v="0"/>
    <n v="0"/>
    <n v="0"/>
  </r>
  <r>
    <x v="5618"/>
    <n v="0"/>
    <n v="60"/>
    <n v="60"/>
    <n v="20"/>
    <n v="21"/>
    <x v="5"/>
    <n v="17"/>
    <n v="4"/>
    <n v="59"/>
    <n v="0.4"/>
    <n v="0"/>
    <n v="0"/>
  </r>
  <r>
    <x v="5619"/>
    <n v="4"/>
    <n v="59"/>
    <n v="63"/>
    <n v="17"/>
    <n v="21"/>
    <x v="27"/>
    <n v="21"/>
    <n v="4"/>
    <n v="55"/>
    <n v="0.4"/>
    <n v="0"/>
    <n v="0"/>
  </r>
  <r>
    <x v="5620"/>
    <n v="4"/>
    <n v="55"/>
    <n v="59"/>
    <n v="21"/>
    <n v="18"/>
    <x v="28"/>
    <n v="20"/>
    <n v="2"/>
    <n v="58"/>
    <n v="0.2"/>
    <n v="0"/>
    <n v="0"/>
  </r>
  <r>
    <x v="5621"/>
    <n v="2"/>
    <n v="58"/>
    <n v="60"/>
    <n v="20"/>
    <n v="20"/>
    <x v="28"/>
    <n v="23"/>
    <n v="-1"/>
    <n v="58"/>
    <n v="0"/>
    <n v="1"/>
    <n v="1"/>
  </r>
  <r>
    <x v="5622"/>
    <n v="-1"/>
    <n v="58"/>
    <n v="57"/>
    <n v="23"/>
    <n v="17"/>
    <x v="8"/>
    <n v="20"/>
    <n v="-4"/>
    <n v="64"/>
    <n v="0"/>
    <n v="1"/>
    <n v="4"/>
  </r>
  <r>
    <x v="5623"/>
    <n v="-4"/>
    <n v="64"/>
    <n v="60"/>
    <n v="20"/>
    <n v="21"/>
    <x v="22"/>
    <n v="26"/>
    <n v="-9"/>
    <n v="63"/>
    <n v="0"/>
    <n v="1"/>
    <n v="9"/>
  </r>
  <r>
    <x v="5624"/>
    <n v="-9"/>
    <n v="63"/>
    <n v="54"/>
    <n v="26"/>
    <n v="20"/>
    <x v="30"/>
    <n v="24"/>
    <n v="-13"/>
    <n v="69"/>
    <n v="0"/>
    <n v="1"/>
    <n v="13"/>
  </r>
  <r>
    <x v="5625"/>
    <n v="-13"/>
    <n v="69"/>
    <n v="56"/>
    <n v="24"/>
    <n v="23"/>
    <x v="6"/>
    <n v="25"/>
    <n v="-15"/>
    <n v="70"/>
    <n v="0"/>
    <n v="1"/>
    <n v="15"/>
  </r>
  <r>
    <x v="5626"/>
    <n v="-15"/>
    <n v="70"/>
    <n v="55"/>
    <n v="25"/>
    <n v="20"/>
    <x v="44"/>
    <n v="19"/>
    <n v="-14"/>
    <n v="75"/>
    <n v="0"/>
    <n v="1"/>
    <n v="14"/>
  </r>
  <r>
    <x v="5627"/>
    <n v="-14"/>
    <n v="75"/>
    <n v="61"/>
    <n v="19"/>
    <n v="26"/>
    <x v="17"/>
    <n v="22"/>
    <n v="-10"/>
    <n v="68"/>
    <n v="0"/>
    <n v="1"/>
    <n v="10"/>
  </r>
  <r>
    <x v="5628"/>
    <n v="-10"/>
    <n v="68"/>
    <n v="58"/>
    <n v="22"/>
    <n v="24"/>
    <x v="7"/>
    <n v="16"/>
    <n v="-2"/>
    <n v="66"/>
    <n v="0"/>
    <n v="1"/>
    <n v="2"/>
  </r>
  <r>
    <x v="5629"/>
    <n v="-2"/>
    <n v="66"/>
    <n v="64"/>
    <n v="16"/>
    <n v="25"/>
    <x v="24"/>
    <n v="27"/>
    <n v="-4"/>
    <n v="57"/>
    <n v="0"/>
    <n v="1"/>
    <n v="4"/>
  </r>
  <r>
    <x v="5630"/>
    <n v="-4"/>
    <n v="57"/>
    <n v="53"/>
    <n v="27"/>
    <n v="19"/>
    <x v="26"/>
    <n v="11"/>
    <n v="4"/>
    <n v="65"/>
    <n v="0.4"/>
    <n v="0"/>
    <n v="0"/>
  </r>
  <r>
    <x v="5631"/>
    <n v="4"/>
    <n v="65"/>
    <n v="69"/>
    <n v="11"/>
    <n v="22"/>
    <x v="16"/>
    <n v="18"/>
    <n v="8"/>
    <n v="54"/>
    <n v="0.8"/>
    <n v="0"/>
    <n v="0"/>
  </r>
  <r>
    <x v="5632"/>
    <n v="8"/>
    <n v="54"/>
    <n v="62"/>
    <n v="18"/>
    <n v="16"/>
    <x v="32"/>
    <n v="19"/>
    <n v="5"/>
    <n v="56"/>
    <n v="0.5"/>
    <n v="0"/>
    <n v="0"/>
  </r>
  <r>
    <x v="5633"/>
    <n v="5"/>
    <n v="56"/>
    <n v="61"/>
    <n v="19"/>
    <n v="27"/>
    <x v="15"/>
    <n v="20"/>
    <n v="12"/>
    <n v="48"/>
    <n v="1.2000000000000002"/>
    <n v="0"/>
    <n v="0"/>
  </r>
  <r>
    <x v="5634"/>
    <n v="12"/>
    <n v="48"/>
    <n v="60"/>
    <n v="20"/>
    <n v="11"/>
    <x v="24"/>
    <n v="28"/>
    <n v="-5"/>
    <n v="57"/>
    <n v="0"/>
    <n v="1"/>
    <n v="5"/>
  </r>
  <r>
    <x v="5635"/>
    <n v="-5"/>
    <n v="57"/>
    <n v="52"/>
    <n v="28"/>
    <n v="18"/>
    <x v="21"/>
    <n v="20"/>
    <n v="-7"/>
    <n v="67"/>
    <n v="0"/>
    <n v="1"/>
    <n v="7"/>
  </r>
  <r>
    <x v="5636"/>
    <n v="-7"/>
    <n v="67"/>
    <n v="60"/>
    <n v="20"/>
    <n v="19"/>
    <x v="17"/>
    <n v="20"/>
    <n v="-8"/>
    <n v="68"/>
    <n v="0"/>
    <n v="1"/>
    <n v="8"/>
  </r>
  <r>
    <x v="5637"/>
    <n v="-8"/>
    <n v="68"/>
    <n v="60"/>
    <n v="20"/>
    <n v="20"/>
    <x v="17"/>
    <n v="14"/>
    <n v="-2"/>
    <n v="68"/>
    <n v="0"/>
    <n v="1"/>
    <n v="2"/>
  </r>
  <r>
    <x v="5638"/>
    <n v="-2"/>
    <n v="68"/>
    <n v="66"/>
    <n v="14"/>
    <n v="28"/>
    <x v="16"/>
    <n v="25"/>
    <n v="1"/>
    <n v="54"/>
    <n v="0.1"/>
    <n v="0"/>
    <n v="0"/>
  </r>
  <r>
    <x v="5639"/>
    <n v="1"/>
    <n v="54"/>
    <n v="55"/>
    <n v="25"/>
    <n v="20"/>
    <x v="5"/>
    <n v="18"/>
    <n v="3"/>
    <n v="59"/>
    <n v="0.30000000000000004"/>
    <n v="0"/>
    <n v="0"/>
  </r>
  <r>
    <x v="5640"/>
    <n v="3"/>
    <n v="59"/>
    <n v="62"/>
    <n v="18"/>
    <n v="20"/>
    <x v="24"/>
    <n v="17"/>
    <n v="6"/>
    <n v="57"/>
    <n v="0.60000000000000009"/>
    <n v="0"/>
    <n v="0"/>
  </r>
  <r>
    <x v="5641"/>
    <n v="6"/>
    <n v="57"/>
    <n v="63"/>
    <n v="17"/>
    <n v="14"/>
    <x v="4"/>
    <n v="18"/>
    <n v="2"/>
    <n v="60"/>
    <n v="0.2"/>
    <n v="0"/>
    <n v="0"/>
  </r>
  <r>
    <x v="5642"/>
    <n v="2"/>
    <n v="60"/>
    <n v="62"/>
    <n v="18"/>
    <n v="25"/>
    <x v="12"/>
    <n v="19"/>
    <n v="8"/>
    <n v="53"/>
    <n v="0.8"/>
    <n v="0"/>
    <n v="0"/>
  </r>
  <r>
    <x v="5643"/>
    <n v="8"/>
    <n v="53"/>
    <n v="61"/>
    <n v="19"/>
    <n v="18"/>
    <x v="16"/>
    <n v="18"/>
    <n v="8"/>
    <n v="54"/>
    <n v="0.8"/>
    <n v="0"/>
    <n v="0"/>
  </r>
  <r>
    <x v="5644"/>
    <n v="8"/>
    <n v="54"/>
    <n v="62"/>
    <n v="18"/>
    <n v="17"/>
    <x v="27"/>
    <n v="16"/>
    <n v="9"/>
    <n v="55"/>
    <n v="0.9"/>
    <n v="0"/>
    <n v="0"/>
  </r>
  <r>
    <x v="5645"/>
    <n v="9"/>
    <n v="55"/>
    <n v="64"/>
    <n v="16"/>
    <n v="18"/>
    <x v="12"/>
    <n v="20"/>
    <n v="7"/>
    <n v="53"/>
    <n v="0.70000000000000007"/>
    <n v="0"/>
    <n v="0"/>
  </r>
  <r>
    <x v="5646"/>
    <n v="7"/>
    <n v="53"/>
    <n v="60"/>
    <n v="20"/>
    <n v="19"/>
    <x v="16"/>
    <n v="26"/>
    <n v="0"/>
    <n v="54"/>
    <n v="0"/>
    <n v="0"/>
    <n v="0"/>
  </r>
  <r>
    <x v="5647"/>
    <n v="0"/>
    <n v="54"/>
    <n v="54"/>
    <n v="26"/>
    <n v="18"/>
    <x v="33"/>
    <n v="10"/>
    <n v="8"/>
    <n v="62"/>
    <n v="0.8"/>
    <n v="0"/>
    <n v="0"/>
  </r>
  <r>
    <x v="5648"/>
    <n v="8"/>
    <n v="62"/>
    <n v="70"/>
    <n v="10"/>
    <n v="16"/>
    <x v="32"/>
    <n v="23"/>
    <n v="1"/>
    <n v="56"/>
    <n v="0.1"/>
    <n v="0"/>
    <n v="0"/>
  </r>
  <r>
    <x v="5649"/>
    <n v="1"/>
    <n v="56"/>
    <n v="57"/>
    <n v="23"/>
    <n v="20"/>
    <x v="5"/>
    <n v="24"/>
    <n v="-3"/>
    <n v="59"/>
    <n v="0"/>
    <n v="1"/>
    <n v="3"/>
  </r>
  <r>
    <x v="5650"/>
    <n v="-3"/>
    <n v="59"/>
    <n v="56"/>
    <n v="24"/>
    <n v="26"/>
    <x v="24"/>
    <n v="22"/>
    <n v="1"/>
    <n v="57"/>
    <n v="0.1"/>
    <n v="0"/>
    <n v="0"/>
  </r>
  <r>
    <x v="5651"/>
    <n v="1"/>
    <n v="57"/>
    <n v="58"/>
    <n v="22"/>
    <n v="10"/>
    <x v="30"/>
    <n v="28"/>
    <n v="-17"/>
    <n v="69"/>
    <n v="0"/>
    <n v="1"/>
    <n v="17"/>
  </r>
  <r>
    <x v="5652"/>
    <n v="-17"/>
    <n v="69"/>
    <n v="52"/>
    <n v="28"/>
    <n v="23"/>
    <x v="39"/>
    <n v="20"/>
    <n v="-14"/>
    <n v="74"/>
    <n v="0"/>
    <n v="1"/>
    <n v="14"/>
  </r>
  <r>
    <x v="5653"/>
    <n v="-14"/>
    <n v="74"/>
    <n v="60"/>
    <n v="20"/>
    <n v="24"/>
    <x v="6"/>
    <n v="20"/>
    <n v="-10"/>
    <n v="70"/>
    <n v="0"/>
    <n v="1"/>
    <n v="10"/>
  </r>
  <r>
    <x v="5654"/>
    <n v="-10"/>
    <n v="70"/>
    <n v="60"/>
    <n v="20"/>
    <n v="22"/>
    <x v="17"/>
    <n v="25"/>
    <n v="-13"/>
    <n v="68"/>
    <n v="0"/>
    <n v="1"/>
    <n v="13"/>
  </r>
  <r>
    <x v="5655"/>
    <n v="-13"/>
    <n v="68"/>
    <n v="55"/>
    <n v="25"/>
    <n v="28"/>
    <x v="26"/>
    <n v="25"/>
    <n v="-10"/>
    <n v="65"/>
    <n v="0"/>
    <n v="1"/>
    <n v="10"/>
  </r>
  <r>
    <x v="5656"/>
    <n v="-10"/>
    <n v="65"/>
    <n v="55"/>
    <n v="25"/>
    <n v="20"/>
    <x v="6"/>
    <n v="22"/>
    <n v="-12"/>
    <n v="70"/>
    <n v="0"/>
    <n v="1"/>
    <n v="12"/>
  </r>
  <r>
    <x v="5657"/>
    <n v="-12"/>
    <n v="70"/>
    <n v="58"/>
    <n v="22"/>
    <n v="20"/>
    <x v="29"/>
    <n v="21"/>
    <n v="-13"/>
    <n v="72"/>
    <n v="0"/>
    <n v="1"/>
    <n v="13"/>
  </r>
  <r>
    <x v="5658"/>
    <n v="-13"/>
    <n v="72"/>
    <n v="59"/>
    <n v="21"/>
    <n v="25"/>
    <x v="17"/>
    <n v="21"/>
    <n v="-9"/>
    <n v="68"/>
    <n v="0"/>
    <n v="1"/>
    <n v="9"/>
  </r>
  <r>
    <x v="5659"/>
    <n v="-9"/>
    <n v="68"/>
    <n v="59"/>
    <n v="21"/>
    <n v="25"/>
    <x v="8"/>
    <n v="23"/>
    <n v="-7"/>
    <n v="64"/>
    <n v="0"/>
    <n v="1"/>
    <n v="7"/>
  </r>
  <r>
    <x v="5660"/>
    <n v="-7"/>
    <n v="64"/>
    <n v="57"/>
    <n v="23"/>
    <n v="22"/>
    <x v="26"/>
    <n v="22"/>
    <n v="-7"/>
    <n v="65"/>
    <n v="0"/>
    <n v="1"/>
    <n v="7"/>
  </r>
  <r>
    <x v="5661"/>
    <n v="-7"/>
    <n v="65"/>
    <n v="58"/>
    <n v="22"/>
    <n v="21"/>
    <x v="7"/>
    <n v="19"/>
    <n v="-5"/>
    <n v="66"/>
    <n v="0"/>
    <n v="1"/>
    <n v="5"/>
  </r>
  <r>
    <x v="5662"/>
    <n v="-5"/>
    <n v="66"/>
    <n v="61"/>
    <n v="19"/>
    <n v="21"/>
    <x v="8"/>
    <n v="20"/>
    <n v="-4"/>
    <n v="64"/>
    <n v="0"/>
    <n v="1"/>
    <n v="4"/>
  </r>
  <r>
    <x v="5663"/>
    <n v="-4"/>
    <n v="64"/>
    <n v="60"/>
    <n v="20"/>
    <n v="23"/>
    <x v="23"/>
    <n v="21"/>
    <n v="-2"/>
    <n v="61"/>
    <n v="0"/>
    <n v="1"/>
    <n v="2"/>
  </r>
  <r>
    <x v="5664"/>
    <n v="-2"/>
    <n v="61"/>
    <n v="59"/>
    <n v="21"/>
    <n v="22"/>
    <x v="4"/>
    <n v="20"/>
    <n v="0"/>
    <n v="60"/>
    <n v="0"/>
    <n v="0"/>
    <n v="0"/>
  </r>
  <r>
    <x v="5665"/>
    <n v="0"/>
    <n v="60"/>
    <n v="60"/>
    <n v="20"/>
    <n v="19"/>
    <x v="23"/>
    <n v="20"/>
    <n v="-1"/>
    <n v="61"/>
    <n v="0"/>
    <n v="1"/>
    <n v="1"/>
  </r>
  <r>
    <x v="5666"/>
    <n v="-1"/>
    <n v="61"/>
    <n v="60"/>
    <n v="20"/>
    <n v="20"/>
    <x v="23"/>
    <n v="18"/>
    <n v="1"/>
    <n v="61"/>
    <n v="0.1"/>
    <n v="0"/>
    <n v="0"/>
  </r>
  <r>
    <x v="5667"/>
    <n v="1"/>
    <n v="61"/>
    <n v="62"/>
    <n v="18"/>
    <n v="21"/>
    <x v="28"/>
    <n v="21"/>
    <n v="1"/>
    <n v="58"/>
    <n v="0.1"/>
    <n v="0"/>
    <n v="0"/>
  </r>
  <r>
    <x v="5668"/>
    <n v="1"/>
    <n v="58"/>
    <n v="59"/>
    <n v="21"/>
    <n v="20"/>
    <x v="5"/>
    <n v="18"/>
    <n v="3"/>
    <n v="59"/>
    <n v="0.30000000000000004"/>
    <n v="0"/>
    <n v="0"/>
  </r>
  <r>
    <x v="5669"/>
    <n v="3"/>
    <n v="59"/>
    <n v="62"/>
    <n v="18"/>
    <n v="20"/>
    <x v="24"/>
    <n v="15"/>
    <n v="8"/>
    <n v="57"/>
    <n v="0.8"/>
    <n v="0"/>
    <n v="0"/>
  </r>
  <r>
    <x v="5670"/>
    <n v="8"/>
    <n v="57"/>
    <n v="65"/>
    <n v="15"/>
    <n v="18"/>
    <x v="16"/>
    <n v="14"/>
    <n v="12"/>
    <n v="54"/>
    <n v="1.2000000000000002"/>
    <n v="0"/>
    <n v="0"/>
  </r>
  <r>
    <x v="5671"/>
    <n v="12"/>
    <n v="54"/>
    <n v="66"/>
    <n v="14"/>
    <n v="21"/>
    <x v="14"/>
    <n v="21"/>
    <n v="12"/>
    <n v="47"/>
    <n v="1.2000000000000002"/>
    <n v="0"/>
    <n v="0"/>
  </r>
  <r>
    <x v="5672"/>
    <n v="12"/>
    <n v="47"/>
    <n v="59"/>
    <n v="21"/>
    <n v="18"/>
    <x v="13"/>
    <n v="25"/>
    <n v="5"/>
    <n v="50"/>
    <n v="0.5"/>
    <n v="0"/>
    <n v="0"/>
  </r>
  <r>
    <x v="5673"/>
    <n v="5"/>
    <n v="50"/>
    <n v="55"/>
    <n v="25"/>
    <n v="15"/>
    <x v="4"/>
    <n v="25"/>
    <n v="-5"/>
    <n v="60"/>
    <n v="0"/>
    <n v="1"/>
    <n v="5"/>
  </r>
  <r>
    <x v="5674"/>
    <n v="-5"/>
    <n v="60"/>
    <n v="55"/>
    <n v="25"/>
    <n v="14"/>
    <x v="20"/>
    <n v="20"/>
    <n v="-11"/>
    <n v="71"/>
    <n v="0"/>
    <n v="1"/>
    <n v="11"/>
  </r>
  <r>
    <x v="5675"/>
    <n v="-11"/>
    <n v="71"/>
    <n v="60"/>
    <n v="20"/>
    <n v="21"/>
    <x v="6"/>
    <n v="14"/>
    <n v="-4"/>
    <n v="70"/>
    <n v="0"/>
    <n v="1"/>
    <n v="4"/>
  </r>
  <r>
    <x v="5676"/>
    <n v="-4"/>
    <n v="70"/>
    <n v="66"/>
    <n v="14"/>
    <n v="25"/>
    <x v="5"/>
    <n v="18"/>
    <n v="3"/>
    <n v="59"/>
    <n v="0.30000000000000004"/>
    <n v="0"/>
    <n v="0"/>
  </r>
  <r>
    <x v="5677"/>
    <n v="3"/>
    <n v="59"/>
    <n v="62"/>
    <n v="18"/>
    <n v="25"/>
    <x v="25"/>
    <n v="15"/>
    <n v="13"/>
    <n v="52"/>
    <n v="1.3"/>
    <n v="0"/>
    <n v="0"/>
  </r>
  <r>
    <x v="5678"/>
    <n v="13"/>
    <n v="52"/>
    <n v="65"/>
    <n v="15"/>
    <n v="20"/>
    <x v="14"/>
    <n v="21"/>
    <n v="12"/>
    <n v="47"/>
    <n v="1.2000000000000002"/>
    <n v="0"/>
    <n v="0"/>
  </r>
  <r>
    <x v="5679"/>
    <n v="12"/>
    <n v="47"/>
    <n v="59"/>
    <n v="21"/>
    <n v="14"/>
    <x v="16"/>
    <n v="21"/>
    <n v="5"/>
    <n v="54"/>
    <n v="0.5"/>
    <n v="0"/>
    <n v="0"/>
  </r>
  <r>
    <x v="5680"/>
    <n v="5"/>
    <n v="54"/>
    <n v="59"/>
    <n v="21"/>
    <n v="18"/>
    <x v="24"/>
    <n v="25"/>
    <n v="-2"/>
    <n v="57"/>
    <n v="0"/>
    <n v="1"/>
    <n v="2"/>
  </r>
  <r>
    <x v="5681"/>
    <n v="-2"/>
    <n v="57"/>
    <n v="55"/>
    <n v="25"/>
    <n v="15"/>
    <x v="21"/>
    <n v="21"/>
    <n v="-8"/>
    <n v="67"/>
    <n v="0"/>
    <n v="1"/>
    <n v="8"/>
  </r>
  <r>
    <x v="5682"/>
    <n v="-8"/>
    <n v="67"/>
    <n v="59"/>
    <n v="21"/>
    <n v="21"/>
    <x v="21"/>
    <n v="25"/>
    <n v="-12"/>
    <n v="67"/>
    <n v="0"/>
    <n v="1"/>
    <n v="12"/>
  </r>
  <r>
    <x v="5683"/>
    <n v="-12"/>
    <n v="67"/>
    <n v="55"/>
    <n v="25"/>
    <n v="21"/>
    <x v="20"/>
    <n v="26"/>
    <n v="-17"/>
    <n v="71"/>
    <n v="0"/>
    <n v="1"/>
    <n v="17"/>
  </r>
  <r>
    <x v="5684"/>
    <n v="-17"/>
    <n v="71"/>
    <n v="54"/>
    <n v="26"/>
    <n v="25"/>
    <x v="29"/>
    <n v="14"/>
    <n v="-6"/>
    <n v="72"/>
    <n v="0"/>
    <n v="1"/>
    <n v="6"/>
  </r>
  <r>
    <x v="5685"/>
    <n v="-6"/>
    <n v="72"/>
    <n v="66"/>
    <n v="14"/>
    <n v="21"/>
    <x v="26"/>
    <n v="25"/>
    <n v="-10"/>
    <n v="65"/>
    <n v="0"/>
    <n v="1"/>
    <n v="10"/>
  </r>
  <r>
    <x v="5686"/>
    <n v="-10"/>
    <n v="65"/>
    <n v="55"/>
    <n v="25"/>
    <n v="25"/>
    <x v="26"/>
    <n v="20"/>
    <n v="-5"/>
    <n v="65"/>
    <n v="0"/>
    <n v="1"/>
    <n v="5"/>
  </r>
  <r>
    <x v="5687"/>
    <n v="-5"/>
    <n v="65"/>
    <n v="60"/>
    <n v="20"/>
    <n v="26"/>
    <x v="5"/>
    <n v="20"/>
    <n v="1"/>
    <n v="59"/>
    <n v="0.1"/>
    <n v="0"/>
    <n v="0"/>
  </r>
  <r>
    <x v="5688"/>
    <n v="1"/>
    <n v="59"/>
    <n v="60"/>
    <n v="20"/>
    <n v="14"/>
    <x v="26"/>
    <n v="19"/>
    <n v="-4"/>
    <n v="65"/>
    <n v="0"/>
    <n v="1"/>
    <n v="4"/>
  </r>
  <r>
    <x v="5689"/>
    <n v="-4"/>
    <n v="65"/>
    <n v="61"/>
    <n v="19"/>
    <n v="25"/>
    <x v="5"/>
    <n v="14"/>
    <n v="7"/>
    <n v="59"/>
    <n v="0.70000000000000007"/>
    <n v="0"/>
    <n v="0"/>
  </r>
  <r>
    <x v="5690"/>
    <n v="7"/>
    <n v="59"/>
    <n v="66"/>
    <n v="14"/>
    <n v="20"/>
    <x v="12"/>
    <n v="23"/>
    <n v="4"/>
    <n v="53"/>
    <n v="0.4"/>
    <n v="0"/>
    <n v="0"/>
  </r>
  <r>
    <x v="5691"/>
    <n v="4"/>
    <n v="53"/>
    <n v="57"/>
    <n v="23"/>
    <n v="20"/>
    <x v="32"/>
    <n v="19"/>
    <n v="5"/>
    <n v="56"/>
    <n v="0.5"/>
    <n v="0"/>
    <n v="0"/>
  </r>
  <r>
    <x v="5692"/>
    <n v="5"/>
    <n v="56"/>
    <n v="61"/>
    <n v="19"/>
    <n v="19"/>
    <x v="32"/>
    <n v="33"/>
    <n v="-9"/>
    <n v="56"/>
    <n v="0"/>
    <n v="1"/>
    <n v="9"/>
  </r>
  <r>
    <x v="5693"/>
    <n v="-9"/>
    <n v="56"/>
    <n v="47"/>
    <n v="33"/>
    <n v="14"/>
    <x v="44"/>
    <n v="20"/>
    <n v="-15"/>
    <n v="75"/>
    <n v="0"/>
    <n v="1"/>
    <n v="15"/>
  </r>
  <r>
    <x v="5694"/>
    <n v="-15"/>
    <n v="75"/>
    <n v="60"/>
    <n v="20"/>
    <n v="23"/>
    <x v="29"/>
    <n v="18"/>
    <n v="-10"/>
    <n v="72"/>
    <n v="0"/>
    <n v="1"/>
    <n v="10"/>
  </r>
  <r>
    <x v="5695"/>
    <n v="-10"/>
    <n v="72"/>
    <n v="62"/>
    <n v="18"/>
    <n v="19"/>
    <x v="20"/>
    <n v="22"/>
    <n v="-13"/>
    <n v="71"/>
    <n v="0"/>
    <n v="1"/>
    <n v="13"/>
  </r>
  <r>
    <x v="5696"/>
    <n v="-13"/>
    <n v="71"/>
    <n v="58"/>
    <n v="22"/>
    <n v="33"/>
    <x v="4"/>
    <n v="14"/>
    <n v="6"/>
    <n v="60"/>
    <n v="0.60000000000000009"/>
    <n v="0"/>
    <n v="0"/>
  </r>
  <r>
    <x v="5697"/>
    <n v="6"/>
    <n v="60"/>
    <n v="66"/>
    <n v="14"/>
    <n v="20"/>
    <x v="16"/>
    <n v="21"/>
    <n v="5"/>
    <n v="54"/>
    <n v="0.5"/>
    <n v="0"/>
    <n v="0"/>
  </r>
  <r>
    <x v="5698"/>
    <n v="5"/>
    <n v="54"/>
    <n v="59"/>
    <n v="21"/>
    <n v="18"/>
    <x v="24"/>
    <n v="22"/>
    <n v="1"/>
    <n v="57"/>
    <n v="0.1"/>
    <n v="0"/>
    <n v="0"/>
  </r>
  <r>
    <x v="5699"/>
    <n v="1"/>
    <n v="57"/>
    <n v="58"/>
    <n v="22"/>
    <n v="22"/>
    <x v="24"/>
    <n v="23"/>
    <n v="0"/>
    <n v="57"/>
    <n v="0"/>
    <n v="0"/>
    <n v="0"/>
  </r>
  <r>
    <x v="5700"/>
    <n v="0"/>
    <n v="57"/>
    <n v="57"/>
    <n v="23"/>
    <n v="14"/>
    <x v="7"/>
    <n v="28"/>
    <n v="-14"/>
    <n v="66"/>
    <n v="0"/>
    <n v="1"/>
    <n v="14"/>
  </r>
  <r>
    <x v="5701"/>
    <n v="-14"/>
    <n v="66"/>
    <n v="52"/>
    <n v="28"/>
    <n v="21"/>
    <x v="31"/>
    <n v="22"/>
    <n v="-15"/>
    <n v="73"/>
    <n v="0"/>
    <n v="1"/>
    <n v="15"/>
  </r>
  <r>
    <x v="5702"/>
    <n v="-15"/>
    <n v="73"/>
    <n v="58"/>
    <n v="22"/>
    <n v="22"/>
    <x v="31"/>
    <n v="22"/>
    <n v="-15"/>
    <n v="73"/>
    <n v="0"/>
    <n v="1"/>
    <n v="15"/>
  </r>
  <r>
    <x v="5703"/>
    <n v="-15"/>
    <n v="73"/>
    <n v="58"/>
    <n v="22"/>
    <n v="23"/>
    <x v="29"/>
    <n v="21"/>
    <n v="-13"/>
    <n v="72"/>
    <n v="0"/>
    <n v="1"/>
    <n v="13"/>
  </r>
  <r>
    <x v="5704"/>
    <n v="-13"/>
    <n v="72"/>
    <n v="59"/>
    <n v="21"/>
    <n v="28"/>
    <x v="26"/>
    <n v="17"/>
    <n v="-2"/>
    <n v="65"/>
    <n v="0"/>
    <n v="1"/>
    <n v="2"/>
  </r>
  <r>
    <x v="5705"/>
    <n v="-2"/>
    <n v="65"/>
    <n v="63"/>
    <n v="17"/>
    <n v="22"/>
    <x v="4"/>
    <n v="14"/>
    <n v="6"/>
    <n v="60"/>
    <n v="0.60000000000000009"/>
    <n v="0"/>
    <n v="0"/>
  </r>
  <r>
    <x v="5706"/>
    <n v="6"/>
    <n v="60"/>
    <n v="66"/>
    <n v="14"/>
    <n v="22"/>
    <x v="25"/>
    <n v="16"/>
    <n v="12"/>
    <n v="52"/>
    <n v="1.2000000000000002"/>
    <n v="0"/>
    <n v="0"/>
  </r>
  <r>
    <x v="5707"/>
    <n v="12"/>
    <n v="52"/>
    <n v="64"/>
    <n v="16"/>
    <n v="21"/>
    <x v="14"/>
    <n v="10"/>
    <n v="23"/>
    <n v="47"/>
    <n v="2.3000000000000003"/>
    <n v="0"/>
    <n v="0"/>
  </r>
  <r>
    <x v="5708"/>
    <n v="23"/>
    <n v="47"/>
    <n v="70"/>
    <n v="10"/>
    <n v="17"/>
    <x v="46"/>
    <n v="25"/>
    <n v="15"/>
    <n v="40"/>
    <n v="1.5"/>
    <n v="0"/>
    <n v="0"/>
  </r>
  <r>
    <x v="5709"/>
    <n v="15"/>
    <n v="40"/>
    <n v="55"/>
    <n v="25"/>
    <n v="14"/>
    <x v="9"/>
    <n v="19"/>
    <n v="10"/>
    <n v="51"/>
    <n v="1"/>
    <n v="0"/>
    <n v="0"/>
  </r>
  <r>
    <x v="5710"/>
    <n v="10"/>
    <n v="51"/>
    <n v="61"/>
    <n v="19"/>
    <n v="16"/>
    <x v="16"/>
    <n v="15"/>
    <n v="11"/>
    <n v="54"/>
    <n v="1.1000000000000001"/>
    <n v="0"/>
    <n v="0"/>
  </r>
  <r>
    <x v="5711"/>
    <n v="11"/>
    <n v="54"/>
    <n v="65"/>
    <n v="15"/>
    <n v="10"/>
    <x v="5"/>
    <n v="19"/>
    <n v="2"/>
    <n v="59"/>
    <n v="0.2"/>
    <n v="0"/>
    <n v="0"/>
  </r>
  <r>
    <x v="5712"/>
    <n v="2"/>
    <n v="59"/>
    <n v="61"/>
    <n v="19"/>
    <n v="25"/>
    <x v="12"/>
    <n v="25"/>
    <n v="2"/>
    <n v="53"/>
    <n v="0.2"/>
    <n v="0"/>
    <n v="0"/>
  </r>
  <r>
    <x v="5713"/>
    <n v="2"/>
    <n v="53"/>
    <n v="55"/>
    <n v="25"/>
    <n v="19"/>
    <x v="5"/>
    <n v="22"/>
    <n v="-1"/>
    <n v="59"/>
    <n v="0"/>
    <n v="1"/>
    <n v="1"/>
  </r>
  <r>
    <x v="5714"/>
    <n v="-1"/>
    <n v="59"/>
    <n v="58"/>
    <n v="22"/>
    <n v="15"/>
    <x v="7"/>
    <n v="9"/>
    <n v="5"/>
    <n v="66"/>
    <n v="0.5"/>
    <n v="0"/>
    <n v="0"/>
  </r>
  <r>
    <x v="5715"/>
    <n v="5"/>
    <n v="66"/>
    <n v="71"/>
    <n v="9"/>
    <n v="19"/>
    <x v="32"/>
    <n v="26"/>
    <n v="-2"/>
    <n v="56"/>
    <n v="0"/>
    <n v="1"/>
    <n v="2"/>
  </r>
  <r>
    <x v="5716"/>
    <n v="-2"/>
    <n v="56"/>
    <n v="54"/>
    <n v="26"/>
    <n v="25"/>
    <x v="24"/>
    <n v="15"/>
    <n v="8"/>
    <n v="57"/>
    <n v="0.8"/>
    <n v="0"/>
    <n v="0"/>
  </r>
  <r>
    <x v="5717"/>
    <n v="8"/>
    <n v="57"/>
    <n v="65"/>
    <n v="15"/>
    <n v="22"/>
    <x v="13"/>
    <n v="16"/>
    <n v="14"/>
    <n v="50"/>
    <n v="1.4000000000000001"/>
    <n v="0"/>
    <n v="0"/>
  </r>
  <r>
    <x v="5718"/>
    <n v="14"/>
    <n v="50"/>
    <n v="64"/>
    <n v="16"/>
    <n v="9"/>
    <x v="24"/>
    <n v="21"/>
    <n v="2"/>
    <n v="57"/>
    <n v="0.2"/>
    <n v="0"/>
    <n v="0"/>
  </r>
  <r>
    <x v="5719"/>
    <n v="2"/>
    <n v="57"/>
    <n v="59"/>
    <n v="21"/>
    <n v="26"/>
    <x v="25"/>
    <n v="16"/>
    <n v="12"/>
    <n v="52"/>
    <n v="1.2000000000000002"/>
    <n v="0"/>
    <n v="0"/>
  </r>
  <r>
    <x v="5720"/>
    <n v="12"/>
    <n v="52"/>
    <n v="64"/>
    <n v="16"/>
    <n v="15"/>
    <x v="12"/>
    <n v="20"/>
    <n v="7"/>
    <n v="53"/>
    <n v="0.70000000000000007"/>
    <n v="0"/>
    <n v="0"/>
  </r>
  <r>
    <x v="5721"/>
    <n v="7"/>
    <n v="53"/>
    <n v="60"/>
    <n v="20"/>
    <n v="16"/>
    <x v="24"/>
    <n v="19"/>
    <n v="4"/>
    <n v="57"/>
    <n v="0.4"/>
    <n v="0"/>
    <n v="0"/>
  </r>
  <r>
    <x v="5722"/>
    <n v="4"/>
    <n v="57"/>
    <n v="61"/>
    <n v="19"/>
    <n v="21"/>
    <x v="27"/>
    <n v="16"/>
    <n v="9"/>
    <n v="55"/>
    <n v="0.9"/>
    <n v="0"/>
    <n v="0"/>
  </r>
  <r>
    <x v="5723"/>
    <n v="9"/>
    <n v="55"/>
    <n v="64"/>
    <n v="16"/>
    <n v="16"/>
    <x v="27"/>
    <n v="17"/>
    <n v="8"/>
    <n v="55"/>
    <n v="0.8"/>
    <n v="0"/>
    <n v="0"/>
  </r>
  <r>
    <x v="5724"/>
    <n v="8"/>
    <n v="55"/>
    <n v="63"/>
    <n v="17"/>
    <n v="20"/>
    <x v="25"/>
    <n v="23"/>
    <n v="5"/>
    <n v="52"/>
    <n v="0.5"/>
    <n v="0"/>
    <n v="0"/>
  </r>
  <r>
    <x v="5725"/>
    <n v="5"/>
    <n v="52"/>
    <n v="57"/>
    <n v="23"/>
    <n v="19"/>
    <x v="32"/>
    <n v="17"/>
    <n v="7"/>
    <n v="56"/>
    <n v="0.70000000000000007"/>
    <n v="0"/>
    <n v="0"/>
  </r>
  <r>
    <x v="5726"/>
    <n v="7"/>
    <n v="56"/>
    <n v="63"/>
    <n v="17"/>
    <n v="16"/>
    <x v="24"/>
    <n v="15"/>
    <n v="8"/>
    <n v="57"/>
    <n v="0.8"/>
    <n v="0"/>
    <n v="0"/>
  </r>
  <r>
    <x v="5727"/>
    <n v="8"/>
    <n v="57"/>
    <n v="65"/>
    <n v="15"/>
    <n v="17"/>
    <x v="27"/>
    <n v="24"/>
    <n v="1"/>
    <n v="55"/>
    <n v="0.1"/>
    <n v="0"/>
    <n v="0"/>
  </r>
  <r>
    <x v="5728"/>
    <n v="1"/>
    <n v="55"/>
    <n v="56"/>
    <n v="24"/>
    <n v="23"/>
    <x v="32"/>
    <n v="19"/>
    <n v="5"/>
    <n v="56"/>
    <n v="0.5"/>
    <n v="0"/>
    <n v="0"/>
  </r>
  <r>
    <x v="5729"/>
    <n v="5"/>
    <n v="56"/>
    <n v="61"/>
    <n v="19"/>
    <n v="17"/>
    <x v="28"/>
    <n v="15"/>
    <n v="7"/>
    <n v="58"/>
    <n v="0.70000000000000007"/>
    <n v="0"/>
    <n v="0"/>
  </r>
  <r>
    <x v="5730"/>
    <n v="7"/>
    <n v="58"/>
    <n v="65"/>
    <n v="15"/>
    <n v="15"/>
    <x v="28"/>
    <n v="17"/>
    <n v="5"/>
    <n v="58"/>
    <n v="0.5"/>
    <n v="0"/>
    <n v="0"/>
  </r>
  <r>
    <x v="5731"/>
    <n v="5"/>
    <n v="58"/>
    <n v="63"/>
    <n v="17"/>
    <n v="24"/>
    <x v="9"/>
    <n v="23"/>
    <n v="6"/>
    <n v="51"/>
    <n v="0.60000000000000009"/>
    <n v="0"/>
    <n v="0"/>
  </r>
  <r>
    <x v="5732"/>
    <n v="6"/>
    <n v="51"/>
    <n v="57"/>
    <n v="23"/>
    <n v="19"/>
    <x v="27"/>
    <n v="19"/>
    <n v="6"/>
    <n v="55"/>
    <n v="0.60000000000000009"/>
    <n v="0"/>
    <n v="0"/>
  </r>
  <r>
    <x v="5733"/>
    <n v="6"/>
    <n v="55"/>
    <n v="61"/>
    <n v="19"/>
    <n v="15"/>
    <x v="5"/>
    <n v="23"/>
    <n v="-2"/>
    <n v="59"/>
    <n v="0"/>
    <n v="1"/>
    <n v="2"/>
  </r>
  <r>
    <x v="5734"/>
    <n v="-2"/>
    <n v="59"/>
    <n v="57"/>
    <n v="23"/>
    <n v="17"/>
    <x v="26"/>
    <n v="31"/>
    <n v="-16"/>
    <n v="65"/>
    <n v="0"/>
    <n v="1"/>
    <n v="16"/>
  </r>
  <r>
    <x v="5735"/>
    <n v="-16"/>
    <n v="65"/>
    <n v="49"/>
    <n v="31"/>
    <n v="23"/>
    <x v="31"/>
    <n v="22"/>
    <n v="-15"/>
    <n v="73"/>
    <n v="0"/>
    <n v="1"/>
    <n v="15"/>
  </r>
  <r>
    <x v="5736"/>
    <n v="-15"/>
    <n v="73"/>
    <n v="58"/>
    <n v="22"/>
    <n v="19"/>
    <x v="37"/>
    <n v="18"/>
    <n v="-14"/>
    <n v="76"/>
    <n v="0"/>
    <n v="1"/>
    <n v="14"/>
  </r>
  <r>
    <x v="5737"/>
    <n v="-14"/>
    <n v="76"/>
    <n v="62"/>
    <n v="18"/>
    <n v="23"/>
    <x v="20"/>
    <n v="25"/>
    <n v="-16"/>
    <n v="71"/>
    <n v="0"/>
    <n v="1"/>
    <n v="16"/>
  </r>
  <r>
    <x v="5738"/>
    <n v="-16"/>
    <n v="71"/>
    <n v="55"/>
    <n v="25"/>
    <n v="31"/>
    <x v="26"/>
    <n v="18"/>
    <n v="-3"/>
    <n v="65"/>
    <n v="0"/>
    <n v="1"/>
    <n v="3"/>
  </r>
  <r>
    <x v="5739"/>
    <n v="-3"/>
    <n v="65"/>
    <n v="62"/>
    <n v="18"/>
    <n v="22"/>
    <x v="23"/>
    <n v="34"/>
    <n v="-15"/>
    <n v="61"/>
    <n v="0"/>
    <n v="1"/>
    <n v="15"/>
  </r>
  <r>
    <x v="5740"/>
    <n v="-15"/>
    <n v="61"/>
    <n v="46"/>
    <n v="34"/>
    <n v="18"/>
    <x v="18"/>
    <n v="12"/>
    <n v="-9"/>
    <n v="77"/>
    <n v="0"/>
    <n v="1"/>
    <n v="9"/>
  </r>
  <r>
    <x v="5741"/>
    <n v="-9"/>
    <n v="77"/>
    <n v="68"/>
    <n v="12"/>
    <n v="25"/>
    <x v="8"/>
    <n v="13"/>
    <n v="3"/>
    <n v="64"/>
    <n v="0.30000000000000004"/>
    <n v="0"/>
    <n v="0"/>
  </r>
  <r>
    <x v="5742"/>
    <n v="3"/>
    <n v="64"/>
    <n v="67"/>
    <n v="13"/>
    <n v="18"/>
    <x v="5"/>
    <n v="22"/>
    <n v="-1"/>
    <n v="59"/>
    <n v="0"/>
    <n v="1"/>
    <n v="1"/>
  </r>
  <r>
    <x v="5743"/>
    <n v="-1"/>
    <n v="59"/>
    <n v="58"/>
    <n v="22"/>
    <n v="34"/>
    <x v="14"/>
    <n v="9"/>
    <n v="24"/>
    <n v="47"/>
    <n v="2.4000000000000004"/>
    <n v="0"/>
    <n v="0"/>
  </r>
  <r>
    <x v="5744"/>
    <n v="24"/>
    <n v="47"/>
    <n v="71"/>
    <n v="9"/>
    <n v="12"/>
    <x v="45"/>
    <n v="23"/>
    <n v="13"/>
    <n v="44"/>
    <n v="1.3"/>
    <n v="0"/>
    <n v="0"/>
  </r>
  <r>
    <x v="5745"/>
    <n v="13"/>
    <n v="44"/>
    <n v="57"/>
    <n v="23"/>
    <n v="13"/>
    <x v="16"/>
    <n v="15"/>
    <n v="11"/>
    <n v="54"/>
    <n v="1.1000000000000001"/>
    <n v="0"/>
    <n v="0"/>
  </r>
  <r>
    <x v="5746"/>
    <n v="11"/>
    <n v="54"/>
    <n v="65"/>
    <n v="15"/>
    <n v="22"/>
    <x v="14"/>
    <n v="24"/>
    <n v="9"/>
    <n v="47"/>
    <n v="0.9"/>
    <n v="0"/>
    <n v="0"/>
  </r>
  <r>
    <x v="5747"/>
    <n v="9"/>
    <n v="47"/>
    <n v="56"/>
    <n v="24"/>
    <n v="9"/>
    <x v="33"/>
    <n v="23"/>
    <n v="-5"/>
    <n v="62"/>
    <n v="0"/>
    <n v="1"/>
    <n v="5"/>
  </r>
  <r>
    <x v="5748"/>
    <n v="-5"/>
    <n v="62"/>
    <n v="57"/>
    <n v="23"/>
    <n v="23"/>
    <x v="33"/>
    <n v="14"/>
    <n v="4"/>
    <n v="62"/>
    <n v="0.4"/>
    <n v="0"/>
    <n v="0"/>
  </r>
  <r>
    <x v="5749"/>
    <n v="4"/>
    <n v="62"/>
    <n v="66"/>
    <n v="14"/>
    <n v="15"/>
    <x v="23"/>
    <n v="21"/>
    <n v="-2"/>
    <n v="61"/>
    <n v="0"/>
    <n v="1"/>
    <n v="2"/>
  </r>
  <r>
    <x v="5750"/>
    <n v="-2"/>
    <n v="61"/>
    <n v="59"/>
    <n v="21"/>
    <n v="24"/>
    <x v="28"/>
    <n v="19"/>
    <n v="3"/>
    <n v="58"/>
    <n v="0.30000000000000004"/>
    <n v="0"/>
    <n v="0"/>
  </r>
  <r>
    <x v="5751"/>
    <n v="3"/>
    <n v="58"/>
    <n v="61"/>
    <n v="19"/>
    <n v="23"/>
    <x v="16"/>
    <n v="19"/>
    <n v="7"/>
    <n v="54"/>
    <n v="0.70000000000000007"/>
    <n v="0"/>
    <n v="0"/>
  </r>
  <r>
    <x v="5752"/>
    <n v="7"/>
    <n v="54"/>
    <n v="61"/>
    <n v="19"/>
    <n v="14"/>
    <x v="5"/>
    <n v="28"/>
    <n v="-7"/>
    <n v="59"/>
    <n v="0"/>
    <n v="1"/>
    <n v="7"/>
  </r>
  <r>
    <x v="5753"/>
    <n v="-7"/>
    <n v="59"/>
    <n v="52"/>
    <n v="28"/>
    <n v="21"/>
    <x v="7"/>
    <n v="22"/>
    <n v="-8"/>
    <n v="66"/>
    <n v="0"/>
    <n v="1"/>
    <n v="8"/>
  </r>
  <r>
    <x v="5754"/>
    <n v="-8"/>
    <n v="66"/>
    <n v="58"/>
    <n v="22"/>
    <n v="19"/>
    <x v="30"/>
    <n v="20"/>
    <n v="-9"/>
    <n v="69"/>
    <n v="0"/>
    <n v="1"/>
    <n v="9"/>
  </r>
  <r>
    <x v="5755"/>
    <n v="-9"/>
    <n v="69"/>
    <n v="60"/>
    <n v="20"/>
    <n v="19"/>
    <x v="6"/>
    <n v="18"/>
    <n v="-8"/>
    <n v="70"/>
    <n v="0"/>
    <n v="1"/>
    <n v="8"/>
  </r>
  <r>
    <x v="5756"/>
    <n v="-8"/>
    <n v="70"/>
    <n v="62"/>
    <n v="18"/>
    <n v="28"/>
    <x v="4"/>
    <n v="12"/>
    <n v="8"/>
    <n v="60"/>
    <n v="0.8"/>
    <n v="0"/>
    <n v="0"/>
  </r>
  <r>
    <x v="5757"/>
    <n v="8"/>
    <n v="60"/>
    <n v="68"/>
    <n v="12"/>
    <n v="22"/>
    <x v="13"/>
    <n v="28"/>
    <n v="2"/>
    <n v="50"/>
    <n v="0.2"/>
    <n v="0"/>
    <n v="0"/>
  </r>
  <r>
    <x v="5758"/>
    <n v="2"/>
    <n v="50"/>
    <n v="52"/>
    <n v="28"/>
    <n v="20"/>
    <x v="28"/>
    <n v="28"/>
    <n v="-6"/>
    <n v="58"/>
    <n v="0"/>
    <n v="1"/>
    <n v="6"/>
  </r>
  <r>
    <x v="5759"/>
    <n v="-6"/>
    <n v="58"/>
    <n v="52"/>
    <n v="28"/>
    <n v="18"/>
    <x v="17"/>
    <n v="19"/>
    <n v="-7"/>
    <n v="68"/>
    <n v="0"/>
    <n v="1"/>
    <n v="7"/>
  </r>
  <r>
    <x v="5760"/>
    <n v="-7"/>
    <n v="68"/>
    <n v="61"/>
    <n v="19"/>
    <n v="12"/>
    <x v="44"/>
    <n v="14"/>
    <n v="-9"/>
    <n v="75"/>
    <n v="0"/>
    <n v="1"/>
    <n v="9"/>
  </r>
  <r>
    <x v="5761"/>
    <n v="-9"/>
    <n v="75"/>
    <n v="66"/>
    <n v="14"/>
    <n v="28"/>
    <x v="23"/>
    <n v="15"/>
    <n v="4"/>
    <n v="61"/>
    <n v="0.4"/>
    <n v="0"/>
    <n v="0"/>
  </r>
  <r>
    <x v="5762"/>
    <n v="4"/>
    <n v="61"/>
    <n v="65"/>
    <n v="15"/>
    <n v="28"/>
    <x v="15"/>
    <n v="22"/>
    <n v="10"/>
    <n v="48"/>
    <n v="1"/>
    <n v="0"/>
    <n v="0"/>
  </r>
  <r>
    <x v="5763"/>
    <n v="10"/>
    <n v="48"/>
    <n v="58"/>
    <n v="22"/>
    <n v="19"/>
    <x v="9"/>
    <n v="17"/>
    <n v="12"/>
    <n v="51"/>
    <n v="1.2000000000000002"/>
    <n v="0"/>
    <n v="0"/>
  </r>
  <r>
    <x v="5764"/>
    <n v="12"/>
    <n v="51"/>
    <n v="63"/>
    <n v="17"/>
    <n v="14"/>
    <x v="16"/>
    <n v="27"/>
    <n v="-1"/>
    <n v="54"/>
    <n v="0"/>
    <n v="1"/>
    <n v="1"/>
  </r>
  <r>
    <x v="5765"/>
    <n v="-1"/>
    <n v="54"/>
    <n v="53"/>
    <n v="27"/>
    <n v="15"/>
    <x v="7"/>
    <n v="16"/>
    <n v="-2"/>
    <n v="66"/>
    <n v="0"/>
    <n v="1"/>
    <n v="2"/>
  </r>
  <r>
    <x v="5766"/>
    <n v="-2"/>
    <n v="66"/>
    <n v="64"/>
    <n v="16"/>
    <n v="22"/>
    <x v="4"/>
    <n v="21"/>
    <n v="-1"/>
    <n v="60"/>
    <n v="0"/>
    <n v="1"/>
    <n v="1"/>
  </r>
  <r>
    <x v="5767"/>
    <n v="-1"/>
    <n v="60"/>
    <n v="59"/>
    <n v="21"/>
    <n v="17"/>
    <x v="8"/>
    <n v="28"/>
    <n v="-12"/>
    <n v="64"/>
    <n v="0"/>
    <n v="1"/>
    <n v="12"/>
  </r>
  <r>
    <x v="5768"/>
    <n v="-12"/>
    <n v="64"/>
    <n v="52"/>
    <n v="28"/>
    <n v="27"/>
    <x v="26"/>
    <n v="18"/>
    <n v="-3"/>
    <n v="65"/>
    <n v="0"/>
    <n v="1"/>
    <n v="3"/>
  </r>
  <r>
    <x v="5769"/>
    <n v="-3"/>
    <n v="65"/>
    <n v="62"/>
    <n v="18"/>
    <n v="16"/>
    <x v="21"/>
    <n v="19"/>
    <n v="-6"/>
    <n v="67"/>
    <n v="0"/>
    <n v="1"/>
    <n v="6"/>
  </r>
  <r>
    <x v="5770"/>
    <n v="-6"/>
    <n v="67"/>
    <n v="61"/>
    <n v="19"/>
    <n v="21"/>
    <x v="26"/>
    <n v="16"/>
    <n v="-1"/>
    <n v="65"/>
    <n v="0"/>
    <n v="1"/>
    <n v="1"/>
  </r>
  <r>
    <x v="5771"/>
    <n v="-1"/>
    <n v="65"/>
    <n v="64"/>
    <n v="16"/>
    <n v="28"/>
    <x v="12"/>
    <n v="16"/>
    <n v="11"/>
    <n v="53"/>
    <n v="1.1000000000000001"/>
    <n v="0"/>
    <n v="0"/>
  </r>
  <r>
    <x v="5772"/>
    <n v="11"/>
    <n v="53"/>
    <n v="64"/>
    <n v="16"/>
    <n v="18"/>
    <x v="9"/>
    <n v="14"/>
    <n v="15"/>
    <n v="51"/>
    <n v="1.5"/>
    <n v="0"/>
    <n v="0"/>
  </r>
  <r>
    <x v="5773"/>
    <n v="15"/>
    <n v="51"/>
    <n v="66"/>
    <n v="14"/>
    <n v="19"/>
    <x v="38"/>
    <n v="18"/>
    <n v="16"/>
    <n v="46"/>
    <n v="1.6"/>
    <n v="0"/>
    <n v="0"/>
  </r>
  <r>
    <x v="5774"/>
    <n v="16"/>
    <n v="46"/>
    <n v="62"/>
    <n v="18"/>
    <n v="16"/>
    <x v="15"/>
    <n v="19"/>
    <n v="13"/>
    <n v="48"/>
    <n v="1.3"/>
    <n v="0"/>
    <n v="0"/>
  </r>
  <r>
    <x v="5775"/>
    <n v="13"/>
    <n v="48"/>
    <n v="61"/>
    <n v="19"/>
    <n v="16"/>
    <x v="9"/>
    <n v="28"/>
    <n v="1"/>
    <n v="51"/>
    <n v="0.1"/>
    <n v="0"/>
    <n v="0"/>
  </r>
  <r>
    <x v="5776"/>
    <n v="1"/>
    <n v="51"/>
    <n v="52"/>
    <n v="28"/>
    <n v="14"/>
    <x v="26"/>
    <n v="16"/>
    <n v="-1"/>
    <n v="65"/>
    <n v="0"/>
    <n v="1"/>
    <n v="1"/>
  </r>
  <r>
    <x v="5777"/>
    <n v="-1"/>
    <n v="65"/>
    <n v="64"/>
    <n v="16"/>
    <n v="18"/>
    <x v="22"/>
    <n v="23"/>
    <n v="-6"/>
    <n v="63"/>
    <n v="0"/>
    <n v="1"/>
    <n v="6"/>
  </r>
  <r>
    <x v="5778"/>
    <n v="-6"/>
    <n v="63"/>
    <n v="57"/>
    <n v="23"/>
    <n v="19"/>
    <x v="21"/>
    <n v="25"/>
    <n v="-12"/>
    <n v="67"/>
    <n v="0"/>
    <n v="1"/>
    <n v="12"/>
  </r>
  <r>
    <x v="5779"/>
    <n v="-12"/>
    <n v="67"/>
    <n v="55"/>
    <n v="25"/>
    <n v="28"/>
    <x v="8"/>
    <n v="14"/>
    <n v="2"/>
    <n v="64"/>
    <n v="0.2"/>
    <n v="0"/>
    <n v="0"/>
  </r>
  <r>
    <x v="5780"/>
    <n v="2"/>
    <n v="64"/>
    <n v="66"/>
    <n v="14"/>
    <n v="16"/>
    <x v="33"/>
    <n v="23"/>
    <n v="-5"/>
    <n v="62"/>
    <n v="0"/>
    <n v="1"/>
    <n v="5"/>
  </r>
  <r>
    <x v="5781"/>
    <n v="-5"/>
    <n v="62"/>
    <n v="57"/>
    <n v="23"/>
    <n v="23"/>
    <x v="33"/>
    <n v="13"/>
    <n v="5"/>
    <n v="62"/>
    <n v="0.5"/>
    <n v="0"/>
    <n v="0"/>
  </r>
  <r>
    <x v="5782"/>
    <n v="5"/>
    <n v="62"/>
    <n v="67"/>
    <n v="13"/>
    <n v="25"/>
    <x v="13"/>
    <n v="28"/>
    <n v="2"/>
    <n v="50"/>
    <n v="0.2"/>
    <n v="0"/>
    <n v="0"/>
  </r>
  <r>
    <x v="5783"/>
    <n v="2"/>
    <n v="50"/>
    <n v="52"/>
    <n v="28"/>
    <n v="14"/>
    <x v="8"/>
    <n v="19"/>
    <n v="-3"/>
    <n v="64"/>
    <n v="0"/>
    <n v="1"/>
    <n v="3"/>
  </r>
  <r>
    <x v="5784"/>
    <n v="-3"/>
    <n v="64"/>
    <n v="61"/>
    <n v="19"/>
    <n v="23"/>
    <x v="4"/>
    <n v="24"/>
    <n v="-4"/>
    <n v="60"/>
    <n v="0"/>
    <n v="1"/>
    <n v="4"/>
  </r>
  <r>
    <x v="5785"/>
    <n v="-4"/>
    <n v="60"/>
    <n v="56"/>
    <n v="24"/>
    <n v="13"/>
    <x v="20"/>
    <n v="24"/>
    <n v="-15"/>
    <n v="71"/>
    <n v="0"/>
    <n v="1"/>
    <n v="15"/>
  </r>
  <r>
    <x v="5786"/>
    <n v="-15"/>
    <n v="71"/>
    <n v="56"/>
    <n v="24"/>
    <n v="28"/>
    <x v="21"/>
    <n v="22"/>
    <n v="-9"/>
    <n v="67"/>
    <n v="0"/>
    <n v="1"/>
    <n v="9"/>
  </r>
  <r>
    <x v="5787"/>
    <n v="-9"/>
    <n v="67"/>
    <n v="58"/>
    <n v="22"/>
    <n v="19"/>
    <x v="6"/>
    <n v="15"/>
    <n v="-5"/>
    <n v="70"/>
    <n v="0"/>
    <n v="1"/>
    <n v="5"/>
  </r>
  <r>
    <x v="5788"/>
    <n v="-5"/>
    <n v="70"/>
    <n v="65"/>
    <n v="15"/>
    <n v="24"/>
    <x v="23"/>
    <n v="18"/>
    <n v="1"/>
    <n v="61"/>
    <n v="0.1"/>
    <n v="0"/>
    <n v="0"/>
  </r>
  <r>
    <x v="5789"/>
    <n v="1"/>
    <n v="61"/>
    <n v="62"/>
    <n v="18"/>
    <n v="24"/>
    <x v="27"/>
    <n v="23"/>
    <n v="2"/>
    <n v="55"/>
    <n v="0.2"/>
    <n v="0"/>
    <n v="0"/>
  </r>
  <r>
    <x v="5790"/>
    <n v="2"/>
    <n v="55"/>
    <n v="57"/>
    <n v="23"/>
    <n v="22"/>
    <x v="32"/>
    <n v="25"/>
    <n v="-1"/>
    <n v="56"/>
    <n v="0"/>
    <n v="1"/>
    <n v="1"/>
  </r>
  <r>
    <x v="5791"/>
    <n v="-1"/>
    <n v="56"/>
    <n v="55"/>
    <n v="25"/>
    <n v="15"/>
    <x v="7"/>
    <n v="19"/>
    <n v="-5"/>
    <n v="66"/>
    <n v="0"/>
    <n v="1"/>
    <n v="5"/>
  </r>
  <r>
    <x v="5792"/>
    <n v="-5"/>
    <n v="66"/>
    <n v="61"/>
    <n v="19"/>
    <n v="18"/>
    <x v="21"/>
    <n v="18"/>
    <n v="-5"/>
    <n v="67"/>
    <n v="0"/>
    <n v="1"/>
    <n v="5"/>
  </r>
  <r>
    <x v="5793"/>
    <n v="-5"/>
    <n v="67"/>
    <n v="62"/>
    <n v="18"/>
    <n v="23"/>
    <x v="33"/>
    <n v="20"/>
    <n v="-2"/>
    <n v="62"/>
    <n v="0"/>
    <n v="1"/>
    <n v="2"/>
  </r>
  <r>
    <x v="5794"/>
    <n v="-2"/>
    <n v="62"/>
    <n v="60"/>
    <n v="20"/>
    <n v="25"/>
    <x v="24"/>
    <n v="17"/>
    <n v="6"/>
    <n v="57"/>
    <n v="0.60000000000000009"/>
    <n v="0"/>
    <n v="0"/>
  </r>
  <r>
    <x v="5795"/>
    <n v="6"/>
    <n v="57"/>
    <n v="63"/>
    <n v="17"/>
    <n v="19"/>
    <x v="27"/>
    <n v="26"/>
    <n v="-1"/>
    <n v="55"/>
    <n v="0"/>
    <n v="1"/>
    <n v="1"/>
  </r>
  <r>
    <x v="5796"/>
    <n v="-1"/>
    <n v="55"/>
    <n v="54"/>
    <n v="26"/>
    <n v="18"/>
    <x v="22"/>
    <n v="18"/>
    <n v="-1"/>
    <n v="63"/>
    <n v="0"/>
    <n v="1"/>
    <n v="1"/>
  </r>
  <r>
    <x v="5797"/>
    <n v="-1"/>
    <n v="63"/>
    <n v="62"/>
    <n v="18"/>
    <n v="20"/>
    <x v="23"/>
    <n v="27"/>
    <n v="-8"/>
    <n v="61"/>
    <n v="0"/>
    <n v="1"/>
    <n v="8"/>
  </r>
  <r>
    <x v="5798"/>
    <n v="-8"/>
    <n v="61"/>
    <n v="53"/>
    <n v="27"/>
    <n v="17"/>
    <x v="20"/>
    <n v="25"/>
    <n v="-16"/>
    <n v="71"/>
    <n v="0"/>
    <n v="1"/>
    <n v="16"/>
  </r>
  <r>
    <x v="5799"/>
    <n v="-16"/>
    <n v="71"/>
    <n v="55"/>
    <n v="25"/>
    <n v="26"/>
    <x v="6"/>
    <n v="20"/>
    <n v="-10"/>
    <n v="70"/>
    <n v="0"/>
    <n v="1"/>
    <n v="10"/>
  </r>
  <r>
    <x v="5800"/>
    <n v="-10"/>
    <n v="70"/>
    <n v="60"/>
    <n v="20"/>
    <n v="18"/>
    <x v="29"/>
    <n v="20"/>
    <n v="-12"/>
    <n v="72"/>
    <n v="0"/>
    <n v="1"/>
    <n v="12"/>
  </r>
  <r>
    <x v="5801"/>
    <n v="-12"/>
    <n v="72"/>
    <n v="60"/>
    <n v="20"/>
    <n v="27"/>
    <x v="26"/>
    <n v="21"/>
    <n v="-6"/>
    <n v="65"/>
    <n v="0"/>
    <n v="1"/>
    <n v="6"/>
  </r>
  <r>
    <x v="5802"/>
    <n v="-6"/>
    <n v="65"/>
    <n v="59"/>
    <n v="21"/>
    <n v="25"/>
    <x v="23"/>
    <n v="29"/>
    <n v="-10"/>
    <n v="61"/>
    <n v="0"/>
    <n v="1"/>
    <n v="10"/>
  </r>
  <r>
    <x v="5803"/>
    <n v="-10"/>
    <n v="61"/>
    <n v="51"/>
    <n v="29"/>
    <n v="20"/>
    <x v="6"/>
    <n v="17"/>
    <n v="-7"/>
    <n v="70"/>
    <n v="0"/>
    <n v="1"/>
    <n v="7"/>
  </r>
  <r>
    <x v="5804"/>
    <n v="-7"/>
    <n v="70"/>
    <n v="63"/>
    <n v="17"/>
    <n v="20"/>
    <x v="21"/>
    <n v="18"/>
    <n v="-5"/>
    <n v="67"/>
    <n v="0"/>
    <n v="1"/>
    <n v="5"/>
  </r>
  <r>
    <x v="5805"/>
    <n v="-5"/>
    <n v="67"/>
    <n v="62"/>
    <n v="18"/>
    <n v="21"/>
    <x v="8"/>
    <n v="19"/>
    <n v="-3"/>
    <n v="64"/>
    <n v="0"/>
    <n v="1"/>
    <n v="3"/>
  </r>
  <r>
    <x v="5806"/>
    <n v="-3"/>
    <n v="64"/>
    <n v="61"/>
    <n v="19"/>
    <n v="29"/>
    <x v="16"/>
    <n v="16"/>
    <n v="10"/>
    <n v="54"/>
    <n v="1"/>
    <n v="0"/>
    <n v="0"/>
  </r>
  <r>
    <x v="5807"/>
    <n v="10"/>
    <n v="54"/>
    <n v="64"/>
    <n v="16"/>
    <n v="17"/>
    <x v="12"/>
    <n v="21"/>
    <n v="6"/>
    <n v="53"/>
    <n v="0.60000000000000009"/>
    <n v="0"/>
    <n v="0"/>
  </r>
  <r>
    <x v="5808"/>
    <n v="6"/>
    <n v="53"/>
    <n v="59"/>
    <n v="21"/>
    <n v="18"/>
    <x v="32"/>
    <n v="23"/>
    <n v="1"/>
    <n v="56"/>
    <n v="0.1"/>
    <n v="0"/>
    <n v="0"/>
  </r>
  <r>
    <x v="5809"/>
    <n v="1"/>
    <n v="56"/>
    <n v="57"/>
    <n v="23"/>
    <n v="19"/>
    <x v="4"/>
    <n v="18"/>
    <n v="2"/>
    <n v="60"/>
    <n v="0.2"/>
    <n v="0"/>
    <n v="0"/>
  </r>
  <r>
    <x v="5810"/>
    <n v="2"/>
    <n v="60"/>
    <n v="62"/>
    <n v="18"/>
    <n v="16"/>
    <x v="33"/>
    <n v="19"/>
    <n v="-1"/>
    <n v="62"/>
    <n v="0"/>
    <n v="1"/>
    <n v="1"/>
  </r>
  <r>
    <x v="5811"/>
    <n v="-1"/>
    <n v="62"/>
    <n v="61"/>
    <n v="19"/>
    <n v="21"/>
    <x v="4"/>
    <n v="15"/>
    <n v="5"/>
    <n v="60"/>
    <n v="0.5"/>
    <n v="0"/>
    <n v="0"/>
  </r>
  <r>
    <x v="5812"/>
    <n v="5"/>
    <n v="60"/>
    <n v="65"/>
    <n v="15"/>
    <n v="23"/>
    <x v="25"/>
    <n v="18"/>
    <n v="10"/>
    <n v="52"/>
    <n v="1"/>
    <n v="0"/>
    <n v="0"/>
  </r>
  <r>
    <x v="5813"/>
    <n v="10"/>
    <n v="52"/>
    <n v="62"/>
    <n v="18"/>
    <n v="18"/>
    <x v="25"/>
    <n v="11"/>
    <n v="17"/>
    <n v="52"/>
    <n v="1.7000000000000002"/>
    <n v="0"/>
    <n v="0"/>
  </r>
  <r>
    <x v="5814"/>
    <n v="17"/>
    <n v="52"/>
    <n v="69"/>
    <n v="11"/>
    <n v="19"/>
    <x v="45"/>
    <n v="23"/>
    <n v="13"/>
    <n v="44"/>
    <n v="1.3"/>
    <n v="0"/>
    <n v="0"/>
  </r>
  <r>
    <x v="5815"/>
    <n v="13"/>
    <n v="44"/>
    <n v="57"/>
    <n v="23"/>
    <n v="15"/>
    <x v="25"/>
    <n v="11"/>
    <n v="17"/>
    <n v="52"/>
    <n v="1.7000000000000002"/>
    <n v="0"/>
    <n v="0"/>
  </r>
  <r>
    <x v="5816"/>
    <n v="17"/>
    <n v="52"/>
    <n v="69"/>
    <n v="11"/>
    <n v="18"/>
    <x v="11"/>
    <n v="14"/>
    <n v="21"/>
    <n v="45"/>
    <n v="2.1"/>
    <n v="0"/>
    <n v="0"/>
  </r>
  <r>
    <x v="5817"/>
    <n v="21"/>
    <n v="45"/>
    <n v="66"/>
    <n v="14"/>
    <n v="11"/>
    <x v="15"/>
    <n v="19"/>
    <n v="13"/>
    <n v="48"/>
    <n v="1.3"/>
    <n v="0"/>
    <n v="0"/>
  </r>
  <r>
    <x v="5818"/>
    <n v="13"/>
    <n v="48"/>
    <n v="61"/>
    <n v="19"/>
    <n v="23"/>
    <x v="45"/>
    <n v="20"/>
    <n v="16"/>
    <n v="44"/>
    <n v="1.6"/>
    <n v="0"/>
    <n v="0"/>
  </r>
  <r>
    <x v="5819"/>
    <n v="16"/>
    <n v="44"/>
    <n v="60"/>
    <n v="20"/>
    <n v="11"/>
    <x v="12"/>
    <n v="18"/>
    <n v="9"/>
    <n v="53"/>
    <n v="0.9"/>
    <n v="0"/>
    <n v="0"/>
  </r>
  <r>
    <x v="5820"/>
    <n v="9"/>
    <n v="53"/>
    <n v="62"/>
    <n v="18"/>
    <n v="14"/>
    <x v="24"/>
    <n v="17"/>
    <n v="6"/>
    <n v="57"/>
    <n v="0.60000000000000009"/>
    <n v="0"/>
    <n v="0"/>
  </r>
  <r>
    <x v="5821"/>
    <n v="6"/>
    <n v="57"/>
    <n v="63"/>
    <n v="17"/>
    <n v="19"/>
    <x v="27"/>
    <n v="25"/>
    <n v="0"/>
    <n v="55"/>
    <n v="0"/>
    <n v="0"/>
    <n v="0"/>
  </r>
  <r>
    <x v="5822"/>
    <n v="0"/>
    <n v="55"/>
    <n v="55"/>
    <n v="25"/>
    <n v="20"/>
    <x v="4"/>
    <n v="12"/>
    <n v="8"/>
    <n v="60"/>
    <n v="0.8"/>
    <n v="0"/>
    <n v="0"/>
  </r>
  <r>
    <x v="5823"/>
    <n v="8"/>
    <n v="60"/>
    <n v="68"/>
    <n v="12"/>
    <n v="18"/>
    <x v="16"/>
    <n v="18"/>
    <n v="8"/>
    <n v="54"/>
    <n v="0.8"/>
    <n v="0"/>
    <n v="0"/>
  </r>
  <r>
    <x v="5824"/>
    <n v="8"/>
    <n v="54"/>
    <n v="62"/>
    <n v="18"/>
    <n v="17"/>
    <x v="27"/>
    <n v="19"/>
    <n v="6"/>
    <n v="55"/>
    <n v="0.60000000000000009"/>
    <n v="0"/>
    <n v="0"/>
  </r>
  <r>
    <x v="5825"/>
    <n v="6"/>
    <n v="55"/>
    <n v="61"/>
    <n v="19"/>
    <n v="25"/>
    <x v="10"/>
    <n v="12"/>
    <n v="19"/>
    <n v="49"/>
    <n v="1.9000000000000001"/>
    <n v="0"/>
    <n v="0"/>
  </r>
  <r>
    <x v="5826"/>
    <n v="19"/>
    <n v="49"/>
    <n v="68"/>
    <n v="12"/>
    <n v="12"/>
    <x v="10"/>
    <n v="15"/>
    <n v="16"/>
    <n v="49"/>
    <n v="1.6"/>
    <n v="0"/>
    <n v="0"/>
  </r>
  <r>
    <x v="5827"/>
    <n v="16"/>
    <n v="49"/>
    <n v="65"/>
    <n v="15"/>
    <n v="18"/>
    <x v="38"/>
    <n v="21"/>
    <n v="13"/>
    <n v="46"/>
    <n v="1.3"/>
    <n v="0"/>
    <n v="0"/>
  </r>
  <r>
    <x v="5828"/>
    <n v="13"/>
    <n v="46"/>
    <n v="59"/>
    <n v="21"/>
    <n v="19"/>
    <x v="15"/>
    <n v="16"/>
    <n v="16"/>
    <n v="48"/>
    <n v="1.6"/>
    <n v="0"/>
    <n v="0"/>
  </r>
  <r>
    <x v="5829"/>
    <n v="16"/>
    <n v="48"/>
    <n v="64"/>
    <n v="16"/>
    <n v="12"/>
    <x v="25"/>
    <n v="15"/>
    <n v="13"/>
    <n v="52"/>
    <n v="1.3"/>
    <n v="0"/>
    <n v="0"/>
  </r>
  <r>
    <x v="5830"/>
    <n v="13"/>
    <n v="52"/>
    <n v="65"/>
    <n v="15"/>
    <n v="15"/>
    <x v="25"/>
    <n v="22"/>
    <n v="6"/>
    <n v="52"/>
    <n v="0.60000000000000009"/>
    <n v="0"/>
    <n v="0"/>
  </r>
  <r>
    <x v="5831"/>
    <n v="6"/>
    <n v="52"/>
    <n v="58"/>
    <n v="22"/>
    <n v="21"/>
    <x v="12"/>
    <n v="23"/>
    <n v="4"/>
    <n v="53"/>
    <n v="0.4"/>
    <n v="0"/>
    <n v="0"/>
  </r>
  <r>
    <x v="5832"/>
    <n v="4"/>
    <n v="53"/>
    <n v="57"/>
    <n v="23"/>
    <n v="16"/>
    <x v="4"/>
    <n v="27"/>
    <n v="-7"/>
    <n v="60"/>
    <n v="0"/>
    <n v="1"/>
    <n v="7"/>
  </r>
  <r>
    <x v="5833"/>
    <n v="-7"/>
    <n v="60"/>
    <n v="53"/>
    <n v="27"/>
    <n v="15"/>
    <x v="29"/>
    <n v="17"/>
    <n v="-9"/>
    <n v="72"/>
    <n v="0"/>
    <n v="1"/>
    <n v="9"/>
  </r>
  <r>
    <x v="5834"/>
    <n v="-9"/>
    <n v="72"/>
    <n v="63"/>
    <n v="17"/>
    <n v="22"/>
    <x v="21"/>
    <n v="22"/>
    <n v="-9"/>
    <n v="67"/>
    <n v="0"/>
    <n v="1"/>
    <n v="9"/>
  </r>
  <r>
    <x v="5835"/>
    <n v="-9"/>
    <n v="67"/>
    <n v="58"/>
    <n v="22"/>
    <n v="23"/>
    <x v="7"/>
    <n v="12"/>
    <n v="2"/>
    <n v="66"/>
    <n v="0.2"/>
    <n v="0"/>
    <n v="0"/>
  </r>
  <r>
    <x v="5836"/>
    <n v="2"/>
    <n v="66"/>
    <n v="68"/>
    <n v="12"/>
    <n v="27"/>
    <x v="9"/>
    <n v="28"/>
    <n v="1"/>
    <n v="51"/>
    <n v="0.1"/>
    <n v="0"/>
    <n v="0"/>
  </r>
  <r>
    <x v="5837"/>
    <n v="1"/>
    <n v="51"/>
    <n v="52"/>
    <n v="28"/>
    <n v="17"/>
    <x v="33"/>
    <n v="14"/>
    <n v="4"/>
    <n v="62"/>
    <n v="0.4"/>
    <n v="0"/>
    <n v="0"/>
  </r>
  <r>
    <x v="5838"/>
    <n v="4"/>
    <n v="62"/>
    <n v="66"/>
    <n v="14"/>
    <n v="22"/>
    <x v="16"/>
    <n v="30"/>
    <n v="-4"/>
    <n v="54"/>
    <n v="0"/>
    <n v="1"/>
    <n v="4"/>
  </r>
  <r>
    <x v="5839"/>
    <n v="-4"/>
    <n v="54"/>
    <n v="50"/>
    <n v="30"/>
    <n v="12"/>
    <x v="29"/>
    <n v="22"/>
    <n v="-14"/>
    <n v="72"/>
    <n v="0"/>
    <n v="1"/>
    <n v="14"/>
  </r>
  <r>
    <x v="5840"/>
    <n v="-14"/>
    <n v="72"/>
    <n v="58"/>
    <n v="22"/>
    <n v="28"/>
    <x v="7"/>
    <n v="17"/>
    <n v="-3"/>
    <n v="66"/>
    <n v="0"/>
    <n v="1"/>
    <n v="3"/>
  </r>
  <r>
    <x v="5841"/>
    <n v="-3"/>
    <n v="66"/>
    <n v="63"/>
    <n v="17"/>
    <n v="14"/>
    <x v="30"/>
    <n v="19"/>
    <n v="-8"/>
    <n v="69"/>
    <n v="0"/>
    <n v="1"/>
    <n v="8"/>
  </r>
  <r>
    <x v="5842"/>
    <n v="-8"/>
    <n v="69"/>
    <n v="61"/>
    <n v="19"/>
    <n v="30"/>
    <x v="28"/>
    <n v="19"/>
    <n v="3"/>
    <n v="58"/>
    <n v="0.30000000000000004"/>
    <n v="0"/>
    <n v="0"/>
  </r>
  <r>
    <x v="5843"/>
    <n v="3"/>
    <n v="58"/>
    <n v="61"/>
    <n v="19"/>
    <n v="22"/>
    <x v="27"/>
    <n v="23"/>
    <n v="2"/>
    <n v="55"/>
    <n v="0.2"/>
    <n v="0"/>
    <n v="0"/>
  </r>
  <r>
    <x v="5844"/>
    <n v="2"/>
    <n v="55"/>
    <n v="57"/>
    <n v="23"/>
    <n v="17"/>
    <x v="23"/>
    <n v="18"/>
    <n v="1"/>
    <n v="61"/>
    <n v="0.1"/>
    <n v="0"/>
    <n v="0"/>
  </r>
  <r>
    <x v="5845"/>
    <n v="1"/>
    <n v="61"/>
    <n v="62"/>
    <n v="18"/>
    <n v="19"/>
    <x v="4"/>
    <n v="23"/>
    <n v="-3"/>
    <n v="60"/>
    <n v="0"/>
    <n v="1"/>
    <n v="3"/>
  </r>
  <r>
    <x v="5846"/>
    <n v="-3"/>
    <n v="60"/>
    <n v="57"/>
    <n v="23"/>
    <n v="19"/>
    <x v="8"/>
    <n v="18"/>
    <n v="-2"/>
    <n v="64"/>
    <n v="0"/>
    <n v="1"/>
    <n v="2"/>
  </r>
  <r>
    <x v="5847"/>
    <n v="-2"/>
    <n v="64"/>
    <n v="62"/>
    <n v="18"/>
    <n v="23"/>
    <x v="5"/>
    <n v="20"/>
    <n v="1"/>
    <n v="59"/>
    <n v="0.1"/>
    <n v="0"/>
    <n v="0"/>
  </r>
  <r>
    <x v="5848"/>
    <n v="1"/>
    <n v="59"/>
    <n v="60"/>
    <n v="20"/>
    <n v="18"/>
    <x v="23"/>
    <n v="21"/>
    <n v="-2"/>
    <n v="61"/>
    <n v="0"/>
    <n v="1"/>
    <n v="2"/>
  </r>
  <r>
    <x v="5849"/>
    <n v="-2"/>
    <n v="61"/>
    <n v="59"/>
    <n v="21"/>
    <n v="23"/>
    <x v="5"/>
    <n v="18"/>
    <n v="3"/>
    <n v="59"/>
    <n v="0.30000000000000004"/>
    <n v="0"/>
    <n v="0"/>
  </r>
  <r>
    <x v="5850"/>
    <n v="3"/>
    <n v="59"/>
    <n v="62"/>
    <n v="18"/>
    <n v="18"/>
    <x v="5"/>
    <n v="21"/>
    <n v="0"/>
    <n v="59"/>
    <n v="0"/>
    <n v="0"/>
    <n v="0"/>
  </r>
  <r>
    <x v="5851"/>
    <n v="0"/>
    <n v="59"/>
    <n v="59"/>
    <n v="21"/>
    <n v="20"/>
    <x v="4"/>
    <n v="14"/>
    <n v="6"/>
    <n v="60"/>
    <n v="0.60000000000000009"/>
    <n v="0"/>
    <n v="0"/>
  </r>
  <r>
    <x v="5852"/>
    <n v="6"/>
    <n v="60"/>
    <n v="66"/>
    <n v="14"/>
    <n v="21"/>
    <x v="12"/>
    <n v="20"/>
    <n v="7"/>
    <n v="53"/>
    <n v="0.70000000000000007"/>
    <n v="0"/>
    <n v="0"/>
  </r>
  <r>
    <x v="5853"/>
    <n v="7"/>
    <n v="53"/>
    <n v="60"/>
    <n v="20"/>
    <n v="18"/>
    <x v="27"/>
    <n v="16"/>
    <n v="9"/>
    <n v="55"/>
    <n v="0.9"/>
    <n v="0"/>
    <n v="0"/>
  </r>
  <r>
    <x v="5854"/>
    <n v="9"/>
    <n v="55"/>
    <n v="64"/>
    <n v="16"/>
    <n v="21"/>
    <x v="13"/>
    <n v="19"/>
    <n v="11"/>
    <n v="50"/>
    <n v="1.1000000000000001"/>
    <n v="0"/>
    <n v="0"/>
  </r>
  <r>
    <x v="5855"/>
    <n v="11"/>
    <n v="50"/>
    <n v="61"/>
    <n v="19"/>
    <n v="14"/>
    <x v="27"/>
    <n v="19"/>
    <n v="6"/>
    <n v="55"/>
    <n v="0.60000000000000009"/>
    <n v="0"/>
    <n v="0"/>
  </r>
  <r>
    <x v="5856"/>
    <n v="6"/>
    <n v="55"/>
    <n v="61"/>
    <n v="19"/>
    <n v="20"/>
    <x v="16"/>
    <n v="21"/>
    <n v="5"/>
    <n v="54"/>
    <n v="0.5"/>
    <n v="0"/>
    <n v="0"/>
  </r>
  <r>
    <x v="5857"/>
    <n v="5"/>
    <n v="54"/>
    <n v="59"/>
    <n v="21"/>
    <n v="16"/>
    <x v="5"/>
    <n v="13"/>
    <n v="8"/>
    <n v="59"/>
    <n v="0.8"/>
    <n v="0"/>
    <n v="0"/>
  </r>
  <r>
    <x v="5858"/>
    <n v="8"/>
    <n v="59"/>
    <n v="67"/>
    <n v="13"/>
    <n v="19"/>
    <x v="12"/>
    <n v="23"/>
    <n v="4"/>
    <n v="53"/>
    <n v="0.4"/>
    <n v="0"/>
    <n v="0"/>
  </r>
  <r>
    <x v="5859"/>
    <n v="4"/>
    <n v="53"/>
    <n v="57"/>
    <n v="23"/>
    <n v="19"/>
    <x v="24"/>
    <n v="21"/>
    <n v="2"/>
    <n v="57"/>
    <n v="0.2"/>
    <n v="0"/>
    <n v="0"/>
  </r>
  <r>
    <x v="5860"/>
    <n v="2"/>
    <n v="57"/>
    <n v="59"/>
    <n v="21"/>
    <n v="21"/>
    <x v="24"/>
    <n v="15"/>
    <n v="8"/>
    <n v="57"/>
    <n v="0.8"/>
    <n v="0"/>
    <n v="0"/>
  </r>
  <r>
    <x v="5861"/>
    <n v="8"/>
    <n v="57"/>
    <n v="65"/>
    <n v="15"/>
    <n v="13"/>
    <x v="5"/>
    <n v="28"/>
    <n v="-7"/>
    <n v="59"/>
    <n v="0"/>
    <n v="1"/>
    <n v="7"/>
  </r>
  <r>
    <x v="5862"/>
    <n v="-7"/>
    <n v="59"/>
    <n v="52"/>
    <n v="28"/>
    <n v="23"/>
    <x v="8"/>
    <n v="22"/>
    <n v="-6"/>
    <n v="64"/>
    <n v="0"/>
    <n v="1"/>
    <n v="6"/>
  </r>
  <r>
    <x v="5863"/>
    <n v="-6"/>
    <n v="64"/>
    <n v="58"/>
    <n v="22"/>
    <n v="21"/>
    <x v="26"/>
    <n v="16"/>
    <n v="-1"/>
    <n v="65"/>
    <n v="0"/>
    <n v="1"/>
    <n v="1"/>
  </r>
  <r>
    <x v="5864"/>
    <n v="-1"/>
    <n v="65"/>
    <n v="64"/>
    <n v="16"/>
    <n v="15"/>
    <x v="7"/>
    <n v="19"/>
    <n v="-5"/>
    <n v="66"/>
    <n v="0"/>
    <n v="1"/>
    <n v="5"/>
  </r>
  <r>
    <x v="5865"/>
    <n v="-5"/>
    <n v="66"/>
    <n v="61"/>
    <n v="19"/>
    <n v="28"/>
    <x v="24"/>
    <n v="16"/>
    <n v="7"/>
    <n v="57"/>
    <n v="0.70000000000000007"/>
    <n v="0"/>
    <n v="0"/>
  </r>
  <r>
    <x v="5866"/>
    <n v="7"/>
    <n v="57"/>
    <n v="64"/>
    <n v="16"/>
    <n v="22"/>
    <x v="9"/>
    <n v="26"/>
    <n v="3"/>
    <n v="51"/>
    <n v="0.30000000000000004"/>
    <n v="0"/>
    <n v="0"/>
  </r>
  <r>
    <x v="5867"/>
    <n v="3"/>
    <n v="51"/>
    <n v="54"/>
    <n v="26"/>
    <n v="16"/>
    <x v="23"/>
    <n v="26"/>
    <n v="-7"/>
    <n v="61"/>
    <n v="0"/>
    <n v="1"/>
    <n v="7"/>
  </r>
  <r>
    <x v="5868"/>
    <n v="-7"/>
    <n v="61"/>
    <n v="54"/>
    <n v="26"/>
    <n v="19"/>
    <x v="17"/>
    <n v="19"/>
    <n v="-7"/>
    <n v="68"/>
    <n v="0"/>
    <n v="1"/>
    <n v="7"/>
  </r>
  <r>
    <x v="5869"/>
    <n v="-7"/>
    <n v="68"/>
    <n v="61"/>
    <n v="19"/>
    <n v="16"/>
    <x v="20"/>
    <n v="19"/>
    <n v="-10"/>
    <n v="71"/>
    <n v="0"/>
    <n v="1"/>
    <n v="10"/>
  </r>
  <r>
    <x v="5870"/>
    <n v="-10"/>
    <n v="71"/>
    <n v="61"/>
    <n v="19"/>
    <n v="26"/>
    <x v="8"/>
    <n v="11"/>
    <n v="5"/>
    <n v="64"/>
    <n v="0.5"/>
    <n v="0"/>
    <n v="0"/>
  </r>
  <r>
    <x v="5871"/>
    <n v="5"/>
    <n v="64"/>
    <n v="69"/>
    <n v="11"/>
    <n v="26"/>
    <x v="10"/>
    <n v="17"/>
    <n v="14"/>
    <n v="49"/>
    <n v="1.4000000000000001"/>
    <n v="0"/>
    <n v="0"/>
  </r>
  <r>
    <x v="5872"/>
    <n v="14"/>
    <n v="49"/>
    <n v="63"/>
    <n v="17"/>
    <n v="19"/>
    <x v="14"/>
    <n v="18"/>
    <n v="15"/>
    <n v="47"/>
    <n v="1.5"/>
    <n v="0"/>
    <n v="0"/>
  </r>
  <r>
    <x v="5873"/>
    <n v="15"/>
    <n v="47"/>
    <n v="62"/>
    <n v="18"/>
    <n v="19"/>
    <x v="38"/>
    <n v="21"/>
    <n v="13"/>
    <n v="46"/>
    <n v="1.3"/>
    <n v="0"/>
    <n v="0"/>
  </r>
  <r>
    <x v="5874"/>
    <n v="13"/>
    <n v="46"/>
    <n v="59"/>
    <n v="21"/>
    <n v="11"/>
    <x v="32"/>
    <n v="24"/>
    <n v="0"/>
    <n v="56"/>
    <n v="0"/>
    <n v="0"/>
    <n v="0"/>
  </r>
  <r>
    <x v="5875"/>
    <n v="0"/>
    <n v="56"/>
    <n v="56"/>
    <n v="24"/>
    <n v="17"/>
    <x v="22"/>
    <n v="19"/>
    <n v="-2"/>
    <n v="63"/>
    <n v="0"/>
    <n v="1"/>
    <n v="2"/>
  </r>
  <r>
    <x v="5876"/>
    <n v="-2"/>
    <n v="63"/>
    <n v="61"/>
    <n v="19"/>
    <n v="18"/>
    <x v="8"/>
    <n v="21"/>
    <n v="-5"/>
    <n v="64"/>
    <n v="0"/>
    <n v="1"/>
    <n v="5"/>
  </r>
  <r>
    <x v="5877"/>
    <n v="-5"/>
    <n v="64"/>
    <n v="59"/>
    <n v="21"/>
    <n v="21"/>
    <x v="8"/>
    <n v="24"/>
    <n v="-8"/>
    <n v="64"/>
    <n v="0"/>
    <n v="1"/>
    <n v="8"/>
  </r>
  <r>
    <x v="5878"/>
    <n v="-8"/>
    <n v="64"/>
    <n v="56"/>
    <n v="24"/>
    <n v="24"/>
    <x v="8"/>
    <n v="23"/>
    <n v="-7"/>
    <n v="64"/>
    <n v="0"/>
    <n v="1"/>
    <n v="7"/>
  </r>
  <r>
    <x v="5879"/>
    <n v="-7"/>
    <n v="64"/>
    <n v="57"/>
    <n v="23"/>
    <n v="19"/>
    <x v="17"/>
    <n v="24"/>
    <n v="-12"/>
    <n v="68"/>
    <n v="0"/>
    <n v="1"/>
    <n v="12"/>
  </r>
  <r>
    <x v="5880"/>
    <n v="-12"/>
    <n v="68"/>
    <n v="56"/>
    <n v="24"/>
    <n v="21"/>
    <x v="20"/>
    <n v="21"/>
    <n v="-12"/>
    <n v="71"/>
    <n v="0"/>
    <n v="1"/>
    <n v="12"/>
  </r>
  <r>
    <x v="5881"/>
    <n v="-12"/>
    <n v="71"/>
    <n v="59"/>
    <n v="21"/>
    <n v="24"/>
    <x v="17"/>
    <n v="20"/>
    <n v="-8"/>
    <n v="68"/>
    <n v="0"/>
    <n v="1"/>
    <n v="8"/>
  </r>
  <r>
    <x v="5882"/>
    <n v="-8"/>
    <n v="68"/>
    <n v="60"/>
    <n v="20"/>
    <n v="23"/>
    <x v="26"/>
    <n v="17"/>
    <n v="-2"/>
    <n v="65"/>
    <n v="0"/>
    <n v="1"/>
    <n v="2"/>
  </r>
  <r>
    <x v="5883"/>
    <n v="-2"/>
    <n v="65"/>
    <n v="63"/>
    <n v="17"/>
    <n v="24"/>
    <x v="28"/>
    <n v="17"/>
    <n v="5"/>
    <n v="58"/>
    <n v="0.5"/>
    <n v="0"/>
    <n v="0"/>
  </r>
  <r>
    <x v="5884"/>
    <n v="5"/>
    <n v="58"/>
    <n v="63"/>
    <n v="17"/>
    <n v="21"/>
    <x v="16"/>
    <n v="19"/>
    <n v="7"/>
    <n v="54"/>
    <n v="0.70000000000000007"/>
    <n v="0"/>
    <n v="0"/>
  </r>
  <r>
    <x v="5885"/>
    <n v="7"/>
    <n v="54"/>
    <n v="61"/>
    <n v="19"/>
    <n v="20"/>
    <x v="12"/>
    <n v="21"/>
    <n v="6"/>
    <n v="53"/>
    <n v="0.60000000000000009"/>
    <n v="0"/>
    <n v="0"/>
  </r>
  <r>
    <x v="5886"/>
    <n v="6"/>
    <n v="53"/>
    <n v="59"/>
    <n v="21"/>
    <n v="17"/>
    <x v="24"/>
    <n v="15"/>
    <n v="8"/>
    <n v="57"/>
    <n v="0.8"/>
    <n v="0"/>
    <n v="0"/>
  </r>
  <r>
    <x v="5887"/>
    <n v="8"/>
    <n v="57"/>
    <n v="65"/>
    <n v="15"/>
    <n v="17"/>
    <x v="27"/>
    <n v="19"/>
    <n v="6"/>
    <n v="55"/>
    <n v="0.60000000000000009"/>
    <n v="0"/>
    <n v="0"/>
  </r>
  <r>
    <x v="5888"/>
    <n v="6"/>
    <n v="55"/>
    <n v="61"/>
    <n v="19"/>
    <n v="19"/>
    <x v="27"/>
    <n v="18"/>
    <n v="7"/>
    <n v="55"/>
    <n v="0.70000000000000007"/>
    <n v="0"/>
    <n v="0"/>
  </r>
  <r>
    <x v="5889"/>
    <n v="7"/>
    <n v="55"/>
    <n v="62"/>
    <n v="18"/>
    <n v="21"/>
    <x v="25"/>
    <n v="12"/>
    <n v="16"/>
    <n v="52"/>
    <n v="1.6"/>
    <n v="0"/>
    <n v="0"/>
  </r>
  <r>
    <x v="5890"/>
    <n v="16"/>
    <n v="52"/>
    <n v="68"/>
    <n v="12"/>
    <n v="15"/>
    <x v="10"/>
    <n v="17"/>
    <n v="14"/>
    <n v="49"/>
    <n v="1.4000000000000001"/>
    <n v="0"/>
    <n v="0"/>
  </r>
  <r>
    <x v="5891"/>
    <n v="14"/>
    <n v="49"/>
    <n v="63"/>
    <n v="17"/>
    <n v="19"/>
    <x v="14"/>
    <n v="20"/>
    <n v="13"/>
    <n v="47"/>
    <n v="1.3"/>
    <n v="0"/>
    <n v="0"/>
  </r>
  <r>
    <x v="5892"/>
    <n v="13"/>
    <n v="47"/>
    <n v="60"/>
    <n v="20"/>
    <n v="18"/>
    <x v="10"/>
    <n v="17"/>
    <n v="14"/>
    <n v="49"/>
    <n v="1.4000000000000001"/>
    <n v="0"/>
    <n v="0"/>
  </r>
  <r>
    <x v="5893"/>
    <n v="14"/>
    <n v="49"/>
    <n v="63"/>
    <n v="17"/>
    <n v="12"/>
    <x v="16"/>
    <n v="23"/>
    <n v="3"/>
    <n v="54"/>
    <n v="0.30000000000000004"/>
    <n v="0"/>
    <n v="0"/>
  </r>
  <r>
    <x v="5894"/>
    <n v="3"/>
    <n v="54"/>
    <n v="57"/>
    <n v="23"/>
    <n v="17"/>
    <x v="4"/>
    <n v="23"/>
    <n v="-3"/>
    <n v="60"/>
    <n v="0"/>
    <n v="1"/>
    <n v="3"/>
  </r>
  <r>
    <x v="5895"/>
    <n v="-3"/>
    <n v="60"/>
    <n v="57"/>
    <n v="23"/>
    <n v="20"/>
    <x v="22"/>
    <n v="16"/>
    <n v="1"/>
    <n v="63"/>
    <n v="0.1"/>
    <n v="0"/>
    <n v="0"/>
  </r>
  <r>
    <x v="5896"/>
    <n v="1"/>
    <n v="63"/>
    <n v="64"/>
    <n v="16"/>
    <n v="17"/>
    <x v="33"/>
    <n v="21"/>
    <n v="-3"/>
    <n v="62"/>
    <n v="0"/>
    <n v="1"/>
    <n v="3"/>
  </r>
  <r>
    <x v="5897"/>
    <n v="-3"/>
    <n v="62"/>
    <n v="59"/>
    <n v="21"/>
    <n v="23"/>
    <x v="4"/>
    <n v="22"/>
    <n v="-2"/>
    <n v="60"/>
    <n v="0"/>
    <n v="1"/>
    <n v="2"/>
  </r>
  <r>
    <x v="5898"/>
    <n v="-2"/>
    <n v="60"/>
    <n v="58"/>
    <n v="22"/>
    <n v="23"/>
    <x v="5"/>
    <n v="14"/>
    <n v="7"/>
    <n v="59"/>
    <n v="0.70000000000000007"/>
    <n v="0"/>
    <n v="0"/>
  </r>
  <r>
    <x v="5899"/>
    <n v="7"/>
    <n v="59"/>
    <n v="66"/>
    <n v="14"/>
    <n v="16"/>
    <x v="24"/>
    <n v="22"/>
    <n v="1"/>
    <n v="57"/>
    <n v="0.1"/>
    <n v="0"/>
    <n v="0"/>
  </r>
  <r>
    <x v="5900"/>
    <n v="1"/>
    <n v="57"/>
    <n v="58"/>
    <n v="22"/>
    <n v="21"/>
    <x v="28"/>
    <n v="24"/>
    <n v="-2"/>
    <n v="58"/>
    <n v="0"/>
    <n v="1"/>
    <n v="2"/>
  </r>
  <r>
    <x v="5901"/>
    <n v="-2"/>
    <n v="58"/>
    <n v="56"/>
    <n v="24"/>
    <n v="22"/>
    <x v="4"/>
    <n v="24"/>
    <n v="-4"/>
    <n v="60"/>
    <n v="0"/>
    <n v="1"/>
    <n v="4"/>
  </r>
  <r>
    <x v="5902"/>
    <n v="-4"/>
    <n v="60"/>
    <n v="56"/>
    <n v="24"/>
    <n v="14"/>
    <x v="6"/>
    <n v="16"/>
    <n v="-6"/>
    <n v="70"/>
    <n v="0"/>
    <n v="1"/>
    <n v="6"/>
  </r>
  <r>
    <x v="5903"/>
    <n v="-6"/>
    <n v="70"/>
    <n v="64"/>
    <n v="16"/>
    <n v="22"/>
    <x v="8"/>
    <n v="22"/>
    <n v="-6"/>
    <n v="64"/>
    <n v="0"/>
    <n v="1"/>
    <n v="6"/>
  </r>
  <r>
    <x v="5904"/>
    <n v="-6"/>
    <n v="64"/>
    <n v="58"/>
    <n v="22"/>
    <n v="24"/>
    <x v="33"/>
    <n v="21"/>
    <n v="-3"/>
    <n v="62"/>
    <n v="0"/>
    <n v="1"/>
    <n v="3"/>
  </r>
  <r>
    <x v="5905"/>
    <n v="-3"/>
    <n v="62"/>
    <n v="59"/>
    <n v="21"/>
    <n v="24"/>
    <x v="5"/>
    <n v="15"/>
    <n v="6"/>
    <n v="59"/>
    <n v="0.60000000000000009"/>
    <n v="0"/>
    <n v="0"/>
  </r>
  <r>
    <x v="5906"/>
    <n v="6"/>
    <n v="59"/>
    <n v="65"/>
    <n v="15"/>
    <n v="16"/>
    <x v="28"/>
    <n v="28"/>
    <n v="-6"/>
    <n v="58"/>
    <n v="0"/>
    <n v="1"/>
    <n v="6"/>
  </r>
  <r>
    <x v="5907"/>
    <n v="-6"/>
    <n v="58"/>
    <n v="52"/>
    <n v="28"/>
    <n v="22"/>
    <x v="8"/>
    <n v="20"/>
    <n v="-4"/>
    <n v="64"/>
    <n v="0"/>
    <n v="1"/>
    <n v="4"/>
  </r>
  <r>
    <x v="5908"/>
    <n v="-4"/>
    <n v="64"/>
    <n v="60"/>
    <n v="20"/>
    <n v="21"/>
    <x v="22"/>
    <n v="15"/>
    <n v="2"/>
    <n v="63"/>
    <n v="0.2"/>
    <n v="0"/>
    <n v="0"/>
  </r>
  <r>
    <x v="5909"/>
    <n v="2"/>
    <n v="63"/>
    <n v="65"/>
    <n v="15"/>
    <n v="15"/>
    <x v="22"/>
    <n v="18"/>
    <n v="-1"/>
    <n v="63"/>
    <n v="0"/>
    <n v="1"/>
    <n v="1"/>
  </r>
  <r>
    <x v="5910"/>
    <n v="-1"/>
    <n v="63"/>
    <n v="62"/>
    <n v="18"/>
    <n v="28"/>
    <x v="12"/>
    <n v="18"/>
    <n v="9"/>
    <n v="53"/>
    <n v="0.9"/>
    <n v="0"/>
    <n v="0"/>
  </r>
  <r>
    <x v="5911"/>
    <n v="9"/>
    <n v="53"/>
    <n v="62"/>
    <n v="18"/>
    <n v="20"/>
    <x v="9"/>
    <n v="20"/>
    <n v="9"/>
    <n v="51"/>
    <n v="0.9"/>
    <n v="0"/>
    <n v="0"/>
  </r>
  <r>
    <x v="5912"/>
    <n v="9"/>
    <n v="51"/>
    <n v="60"/>
    <n v="20"/>
    <n v="15"/>
    <x v="32"/>
    <n v="14"/>
    <n v="10"/>
    <n v="56"/>
    <n v="1"/>
    <n v="0"/>
    <n v="0"/>
  </r>
  <r>
    <x v="5913"/>
    <n v="10"/>
    <n v="56"/>
    <n v="66"/>
    <n v="14"/>
    <n v="18"/>
    <x v="25"/>
    <n v="22"/>
    <n v="6"/>
    <n v="52"/>
    <n v="0.60000000000000009"/>
    <n v="0"/>
    <n v="0"/>
  </r>
  <r>
    <x v="5914"/>
    <n v="6"/>
    <n v="52"/>
    <n v="58"/>
    <n v="22"/>
    <n v="18"/>
    <x v="32"/>
    <n v="19"/>
    <n v="5"/>
    <n v="56"/>
    <n v="0.5"/>
    <n v="0"/>
    <n v="0"/>
  </r>
  <r>
    <x v="5915"/>
    <n v="5"/>
    <n v="56"/>
    <n v="61"/>
    <n v="19"/>
    <n v="20"/>
    <x v="27"/>
    <n v="27"/>
    <n v="-2"/>
    <n v="55"/>
    <n v="0"/>
    <n v="1"/>
    <n v="2"/>
  </r>
  <r>
    <x v="5916"/>
    <n v="-2"/>
    <n v="55"/>
    <n v="53"/>
    <n v="27"/>
    <n v="14"/>
    <x v="17"/>
    <n v="18"/>
    <n v="-6"/>
    <n v="68"/>
    <n v="0"/>
    <n v="1"/>
    <n v="6"/>
  </r>
  <r>
    <x v="5917"/>
    <n v="-6"/>
    <n v="68"/>
    <n v="62"/>
    <n v="18"/>
    <n v="22"/>
    <x v="8"/>
    <n v="17"/>
    <n v="-1"/>
    <n v="64"/>
    <n v="0"/>
    <n v="1"/>
    <n v="1"/>
  </r>
  <r>
    <x v="5918"/>
    <n v="-1"/>
    <n v="64"/>
    <n v="63"/>
    <n v="17"/>
    <n v="19"/>
    <x v="33"/>
    <n v="15"/>
    <n v="3"/>
    <n v="62"/>
    <n v="0.30000000000000004"/>
    <n v="0"/>
    <n v="0"/>
  </r>
  <r>
    <x v="5919"/>
    <n v="3"/>
    <n v="62"/>
    <n v="65"/>
    <n v="15"/>
    <n v="27"/>
    <x v="13"/>
    <n v="13"/>
    <n v="17"/>
    <n v="50"/>
    <n v="1.7000000000000002"/>
    <n v="0"/>
    <n v="0"/>
  </r>
  <r>
    <x v="5920"/>
    <n v="17"/>
    <n v="50"/>
    <n v="67"/>
    <n v="13"/>
    <n v="18"/>
    <x v="11"/>
    <n v="20"/>
    <n v="15"/>
    <n v="45"/>
    <n v="1.5"/>
    <n v="0"/>
    <n v="0"/>
  </r>
  <r>
    <x v="5921"/>
    <n v="15"/>
    <n v="45"/>
    <n v="60"/>
    <n v="20"/>
    <n v="17"/>
    <x v="15"/>
    <n v="22"/>
    <n v="10"/>
    <n v="48"/>
    <n v="1"/>
    <n v="0"/>
    <n v="0"/>
  </r>
  <r>
    <x v="5922"/>
    <n v="10"/>
    <n v="48"/>
    <n v="58"/>
    <n v="22"/>
    <n v="15"/>
    <x v="27"/>
    <n v="20"/>
    <n v="5"/>
    <n v="55"/>
    <n v="0.5"/>
    <n v="0"/>
    <n v="0"/>
  </r>
  <r>
    <x v="5923"/>
    <n v="5"/>
    <n v="55"/>
    <n v="60"/>
    <n v="20"/>
    <n v="13"/>
    <x v="33"/>
    <n v="21"/>
    <n v="-3"/>
    <n v="62"/>
    <n v="0"/>
    <n v="1"/>
    <n v="3"/>
  </r>
  <r>
    <x v="5924"/>
    <n v="-3"/>
    <n v="62"/>
    <n v="59"/>
    <n v="21"/>
    <n v="20"/>
    <x v="22"/>
    <n v="23"/>
    <n v="-6"/>
    <n v="63"/>
    <n v="0"/>
    <n v="1"/>
    <n v="6"/>
  </r>
  <r>
    <x v="5925"/>
    <n v="-6"/>
    <n v="63"/>
    <n v="57"/>
    <n v="23"/>
    <n v="22"/>
    <x v="8"/>
    <n v="18"/>
    <n v="-2"/>
    <n v="64"/>
    <n v="0"/>
    <n v="1"/>
    <n v="2"/>
  </r>
  <r>
    <x v="5926"/>
    <n v="-2"/>
    <n v="64"/>
    <n v="62"/>
    <n v="18"/>
    <n v="20"/>
    <x v="33"/>
    <n v="19"/>
    <n v="-1"/>
    <n v="62"/>
    <n v="0"/>
    <n v="1"/>
    <n v="1"/>
  </r>
  <r>
    <x v="5927"/>
    <n v="-1"/>
    <n v="62"/>
    <n v="61"/>
    <n v="19"/>
    <n v="21"/>
    <x v="4"/>
    <n v="31"/>
    <n v="-11"/>
    <n v="60"/>
    <n v="0"/>
    <n v="1"/>
    <n v="11"/>
  </r>
  <r>
    <x v="5928"/>
    <n v="-11"/>
    <n v="60"/>
    <n v="49"/>
    <n v="31"/>
    <n v="23"/>
    <x v="17"/>
    <n v="23"/>
    <n v="-11"/>
    <n v="68"/>
    <n v="0"/>
    <n v="1"/>
    <n v="11"/>
  </r>
  <r>
    <x v="5929"/>
    <n v="-11"/>
    <n v="68"/>
    <n v="57"/>
    <n v="23"/>
    <n v="18"/>
    <x v="31"/>
    <n v="18"/>
    <n v="-11"/>
    <n v="73"/>
    <n v="0"/>
    <n v="1"/>
    <n v="11"/>
  </r>
  <r>
    <x v="5930"/>
    <n v="-11"/>
    <n v="73"/>
    <n v="62"/>
    <n v="18"/>
    <n v="19"/>
    <x v="29"/>
    <n v="25"/>
    <n v="-17"/>
    <n v="72"/>
    <n v="0"/>
    <n v="1"/>
    <n v="17"/>
  </r>
  <r>
    <x v="5931"/>
    <n v="-17"/>
    <n v="72"/>
    <n v="55"/>
    <n v="25"/>
    <n v="31"/>
    <x v="7"/>
    <n v="20"/>
    <n v="-6"/>
    <n v="66"/>
    <n v="0"/>
    <n v="1"/>
    <n v="6"/>
  </r>
  <r>
    <x v="5932"/>
    <n v="-6"/>
    <n v="66"/>
    <n v="60"/>
    <n v="20"/>
    <n v="23"/>
    <x v="22"/>
    <n v="22"/>
    <n v="-5"/>
    <n v="63"/>
    <n v="0"/>
    <n v="1"/>
    <n v="5"/>
  </r>
  <r>
    <x v="5933"/>
    <n v="-5"/>
    <n v="63"/>
    <n v="58"/>
    <n v="22"/>
    <n v="18"/>
    <x v="21"/>
    <n v="15"/>
    <n v="-2"/>
    <n v="67"/>
    <n v="0"/>
    <n v="1"/>
    <n v="2"/>
  </r>
  <r>
    <x v="5934"/>
    <n v="-2"/>
    <n v="67"/>
    <n v="65"/>
    <n v="15"/>
    <n v="25"/>
    <x v="24"/>
    <n v="23"/>
    <n v="0"/>
    <n v="57"/>
    <n v="0"/>
    <n v="0"/>
    <n v="0"/>
  </r>
  <r>
    <x v="5935"/>
    <n v="0"/>
    <n v="57"/>
    <n v="57"/>
    <n v="23"/>
    <n v="20"/>
    <x v="4"/>
    <n v="13"/>
    <n v="7"/>
    <n v="60"/>
    <n v="0.70000000000000007"/>
    <n v="0"/>
    <n v="0"/>
  </r>
  <r>
    <x v="5936"/>
    <n v="7"/>
    <n v="60"/>
    <n v="67"/>
    <n v="13"/>
    <n v="22"/>
    <x v="9"/>
    <n v="31"/>
    <n v="-2"/>
    <n v="51"/>
    <n v="0"/>
    <n v="1"/>
    <n v="2"/>
  </r>
  <r>
    <x v="5937"/>
    <n v="-2"/>
    <n v="51"/>
    <n v="49"/>
    <n v="31"/>
    <n v="15"/>
    <x v="21"/>
    <n v="20"/>
    <n v="-7"/>
    <n v="67"/>
    <n v="0"/>
    <n v="1"/>
    <n v="7"/>
  </r>
  <r>
    <x v="5938"/>
    <n v="-7"/>
    <n v="67"/>
    <n v="60"/>
    <n v="20"/>
    <n v="23"/>
    <x v="8"/>
    <n v="18"/>
    <n v="-2"/>
    <n v="64"/>
    <n v="0"/>
    <n v="1"/>
    <n v="2"/>
  </r>
  <r>
    <x v="5939"/>
    <n v="-2"/>
    <n v="64"/>
    <n v="62"/>
    <n v="18"/>
    <n v="13"/>
    <x v="30"/>
    <n v="15"/>
    <n v="-4"/>
    <n v="69"/>
    <n v="0"/>
    <n v="1"/>
    <n v="4"/>
  </r>
  <r>
    <x v="5940"/>
    <n v="-4"/>
    <n v="69"/>
    <n v="65"/>
    <n v="15"/>
    <n v="31"/>
    <x v="12"/>
    <n v="19"/>
    <n v="8"/>
    <n v="53"/>
    <n v="0.8"/>
    <n v="0"/>
    <n v="0"/>
  </r>
  <r>
    <x v="5941"/>
    <n v="8"/>
    <n v="53"/>
    <n v="61"/>
    <n v="19"/>
    <n v="20"/>
    <x v="25"/>
    <n v="30"/>
    <n v="-2"/>
    <n v="52"/>
    <n v="0"/>
    <n v="1"/>
    <n v="2"/>
  </r>
  <r>
    <x v="5942"/>
    <n v="-2"/>
    <n v="52"/>
    <n v="50"/>
    <n v="30"/>
    <n v="18"/>
    <x v="8"/>
    <n v="23"/>
    <n v="-7"/>
    <n v="64"/>
    <n v="0"/>
    <n v="1"/>
    <n v="7"/>
  </r>
  <r>
    <x v="5943"/>
    <n v="-7"/>
    <n v="64"/>
    <n v="57"/>
    <n v="23"/>
    <n v="15"/>
    <x v="29"/>
    <n v="11"/>
    <n v="-3"/>
    <n v="72"/>
    <n v="0"/>
    <n v="1"/>
    <n v="3"/>
  </r>
  <r>
    <x v="5944"/>
    <n v="-3"/>
    <n v="72"/>
    <n v="69"/>
    <n v="11"/>
    <n v="19"/>
    <x v="8"/>
    <n v="22"/>
    <n v="-6"/>
    <n v="64"/>
    <n v="0"/>
    <n v="1"/>
    <n v="6"/>
  </r>
  <r>
    <x v="5945"/>
    <n v="-6"/>
    <n v="64"/>
    <n v="58"/>
    <n v="22"/>
    <n v="30"/>
    <x v="32"/>
    <n v="22"/>
    <n v="2"/>
    <n v="56"/>
    <n v="0.2"/>
    <n v="0"/>
    <n v="0"/>
  </r>
  <r>
    <x v="5946"/>
    <n v="2"/>
    <n v="56"/>
    <n v="58"/>
    <n v="22"/>
    <n v="23"/>
    <x v="27"/>
    <n v="20"/>
    <n v="5"/>
    <n v="55"/>
    <n v="0.5"/>
    <n v="0"/>
    <n v="0"/>
  </r>
  <r>
    <x v="5947"/>
    <n v="5"/>
    <n v="55"/>
    <n v="60"/>
    <n v="20"/>
    <n v="11"/>
    <x v="8"/>
    <n v="20"/>
    <n v="-4"/>
    <n v="64"/>
    <n v="0"/>
    <n v="1"/>
    <n v="4"/>
  </r>
  <r>
    <x v="5948"/>
    <n v="-4"/>
    <n v="64"/>
    <n v="60"/>
    <n v="20"/>
    <n v="22"/>
    <x v="33"/>
    <n v="17"/>
    <n v="1"/>
    <n v="62"/>
    <n v="0.1"/>
    <n v="0"/>
    <n v="0"/>
  </r>
  <r>
    <x v="5949"/>
    <n v="1"/>
    <n v="62"/>
    <n v="63"/>
    <n v="17"/>
    <n v="22"/>
    <x v="24"/>
    <n v="19"/>
    <n v="4"/>
    <n v="57"/>
    <n v="0.4"/>
    <n v="0"/>
    <n v="0"/>
  </r>
  <r>
    <x v="5950"/>
    <n v="4"/>
    <n v="57"/>
    <n v="61"/>
    <n v="19"/>
    <n v="20"/>
    <x v="32"/>
    <n v="25"/>
    <n v="-1"/>
    <n v="56"/>
    <n v="0"/>
    <n v="1"/>
    <n v="1"/>
  </r>
  <r>
    <x v="5951"/>
    <n v="-1"/>
    <n v="56"/>
    <n v="55"/>
    <n v="25"/>
    <n v="20"/>
    <x v="23"/>
    <n v="18"/>
    <n v="1"/>
    <n v="61"/>
    <n v="0.1"/>
    <n v="0"/>
    <n v="0"/>
  </r>
  <r>
    <x v="5952"/>
    <n v="1"/>
    <n v="61"/>
    <n v="62"/>
    <n v="18"/>
    <n v="17"/>
    <x v="33"/>
    <n v="23"/>
    <n v="-5"/>
    <n v="62"/>
    <n v="0"/>
    <n v="1"/>
    <n v="5"/>
  </r>
  <r>
    <x v="5953"/>
    <n v="-5"/>
    <n v="62"/>
    <n v="57"/>
    <n v="23"/>
    <n v="19"/>
    <x v="7"/>
    <n v="24"/>
    <n v="-10"/>
    <n v="66"/>
    <n v="0"/>
    <n v="1"/>
    <n v="10"/>
  </r>
  <r>
    <x v="5954"/>
    <n v="-10"/>
    <n v="66"/>
    <n v="56"/>
    <n v="24"/>
    <n v="25"/>
    <x v="26"/>
    <n v="19"/>
    <n v="-4"/>
    <n v="65"/>
    <n v="0"/>
    <n v="1"/>
    <n v="4"/>
  </r>
  <r>
    <x v="5955"/>
    <n v="-4"/>
    <n v="65"/>
    <n v="61"/>
    <n v="19"/>
    <n v="18"/>
    <x v="7"/>
    <n v="18"/>
    <n v="-4"/>
    <n v="66"/>
    <n v="0"/>
    <n v="1"/>
    <n v="4"/>
  </r>
  <r>
    <x v="5956"/>
    <n v="-4"/>
    <n v="66"/>
    <n v="62"/>
    <n v="18"/>
    <n v="23"/>
    <x v="23"/>
    <n v="22"/>
    <n v="-3"/>
    <n v="61"/>
    <n v="0"/>
    <n v="1"/>
    <n v="3"/>
  </r>
  <r>
    <x v="5957"/>
    <n v="-3"/>
    <n v="61"/>
    <n v="58"/>
    <n v="22"/>
    <n v="24"/>
    <x v="5"/>
    <n v="20"/>
    <n v="1"/>
    <n v="59"/>
    <n v="0.1"/>
    <n v="0"/>
    <n v="0"/>
  </r>
  <r>
    <x v="5958"/>
    <n v="1"/>
    <n v="59"/>
    <n v="60"/>
    <n v="20"/>
    <n v="19"/>
    <x v="4"/>
    <n v="28"/>
    <n v="-8"/>
    <n v="60"/>
    <n v="0"/>
    <n v="1"/>
    <n v="8"/>
  </r>
  <r>
    <x v="5959"/>
    <n v="-8"/>
    <n v="60"/>
    <n v="52"/>
    <n v="28"/>
    <n v="18"/>
    <x v="6"/>
    <n v="27"/>
    <n v="-17"/>
    <n v="70"/>
    <n v="0"/>
    <n v="1"/>
    <n v="17"/>
  </r>
  <r>
    <x v="5960"/>
    <n v="-17"/>
    <n v="70"/>
    <n v="53"/>
    <n v="27"/>
    <n v="22"/>
    <x v="44"/>
    <n v="28"/>
    <n v="-23"/>
    <n v="75"/>
    <n v="0"/>
    <n v="1"/>
    <n v="23"/>
  </r>
  <r>
    <x v="5961"/>
    <n v="-23"/>
    <n v="75"/>
    <n v="52"/>
    <n v="28"/>
    <n v="20"/>
    <x v="42"/>
    <n v="26"/>
    <n v="-29"/>
    <n v="83"/>
    <n v="0"/>
    <n v="1"/>
    <n v="26"/>
  </r>
  <r>
    <x v="5962"/>
    <n v="-29"/>
    <n v="83"/>
    <n v="54"/>
    <n v="26"/>
    <n v="28"/>
    <x v="41"/>
    <n v="30"/>
    <n v="-31"/>
    <n v="81"/>
    <n v="0"/>
    <n v="1"/>
    <n v="30"/>
  </r>
  <r>
    <x v="5963"/>
    <n v="-31"/>
    <n v="81"/>
    <n v="50"/>
    <n v="30"/>
    <n v="27"/>
    <x v="53"/>
    <n v="15"/>
    <n v="-19"/>
    <n v="84"/>
    <n v="0"/>
    <n v="1"/>
    <n v="15"/>
  </r>
  <r>
    <x v="5964"/>
    <n v="-19"/>
    <n v="84"/>
    <n v="65"/>
    <n v="15"/>
    <n v="28"/>
    <x v="20"/>
    <n v="13"/>
    <n v="-4"/>
    <n v="71"/>
    <n v="0"/>
    <n v="1"/>
    <n v="4"/>
  </r>
  <r>
    <x v="5965"/>
    <n v="-4"/>
    <n v="71"/>
    <n v="67"/>
    <n v="13"/>
    <n v="26"/>
    <x v="28"/>
    <n v="25"/>
    <n v="-3"/>
    <n v="58"/>
    <n v="0"/>
    <n v="1"/>
    <n v="3"/>
  </r>
  <r>
    <x v="5966"/>
    <n v="-3"/>
    <n v="58"/>
    <n v="55"/>
    <n v="25"/>
    <n v="30"/>
    <x v="12"/>
    <n v="21"/>
    <n v="6"/>
    <n v="53"/>
    <n v="0.60000000000000009"/>
    <n v="0"/>
    <n v="0"/>
  </r>
  <r>
    <x v="5967"/>
    <n v="6"/>
    <n v="53"/>
    <n v="59"/>
    <n v="21"/>
    <n v="15"/>
    <x v="5"/>
    <n v="23"/>
    <n v="-2"/>
    <n v="59"/>
    <n v="0"/>
    <n v="1"/>
    <n v="2"/>
  </r>
  <r>
    <x v="5968"/>
    <n v="-2"/>
    <n v="59"/>
    <n v="57"/>
    <n v="23"/>
    <n v="13"/>
    <x v="30"/>
    <n v="14"/>
    <n v="-3"/>
    <n v="69"/>
    <n v="0"/>
    <n v="1"/>
    <n v="3"/>
  </r>
  <r>
    <x v="5969"/>
    <n v="-3"/>
    <n v="69"/>
    <n v="66"/>
    <n v="14"/>
    <n v="25"/>
    <x v="28"/>
    <n v="23"/>
    <n v="-1"/>
    <n v="58"/>
    <n v="0"/>
    <n v="1"/>
    <n v="1"/>
  </r>
  <r>
    <x v="5970"/>
    <n v="-1"/>
    <n v="58"/>
    <n v="57"/>
    <n v="23"/>
    <n v="21"/>
    <x v="4"/>
    <n v="27"/>
    <n v="-7"/>
    <n v="60"/>
    <n v="0"/>
    <n v="1"/>
    <n v="7"/>
  </r>
  <r>
    <x v="5971"/>
    <n v="-7"/>
    <n v="60"/>
    <n v="53"/>
    <n v="27"/>
    <n v="23"/>
    <x v="8"/>
    <n v="22"/>
    <n v="-6"/>
    <n v="64"/>
    <n v="0"/>
    <n v="1"/>
    <n v="6"/>
  </r>
  <r>
    <x v="5972"/>
    <n v="-6"/>
    <n v="64"/>
    <n v="58"/>
    <n v="22"/>
    <n v="14"/>
    <x v="29"/>
    <n v="20"/>
    <n v="-12"/>
    <n v="72"/>
    <n v="0"/>
    <n v="1"/>
    <n v="12"/>
  </r>
  <r>
    <x v="5973"/>
    <n v="-12"/>
    <n v="72"/>
    <n v="60"/>
    <n v="20"/>
    <n v="23"/>
    <x v="30"/>
    <n v="12"/>
    <n v="-1"/>
    <n v="69"/>
    <n v="0"/>
    <n v="1"/>
    <n v="1"/>
  </r>
  <r>
    <x v="5974"/>
    <n v="-1"/>
    <n v="69"/>
    <n v="68"/>
    <n v="12"/>
    <n v="27"/>
    <x v="16"/>
    <n v="25"/>
    <n v="1"/>
    <n v="54"/>
    <n v="0.1"/>
    <n v="0"/>
    <n v="0"/>
  </r>
  <r>
    <x v="5975"/>
    <n v="1"/>
    <n v="54"/>
    <n v="55"/>
    <n v="25"/>
    <n v="22"/>
    <x v="24"/>
    <n v="19"/>
    <n v="4"/>
    <n v="57"/>
    <n v="0.4"/>
    <n v="0"/>
    <n v="0"/>
  </r>
  <r>
    <x v="5976"/>
    <n v="4"/>
    <n v="57"/>
    <n v="61"/>
    <n v="19"/>
    <n v="20"/>
    <x v="32"/>
    <n v="16"/>
    <n v="8"/>
    <n v="56"/>
    <n v="0.8"/>
    <n v="0"/>
    <n v="0"/>
  </r>
  <r>
    <x v="5977"/>
    <n v="8"/>
    <n v="56"/>
    <n v="64"/>
    <n v="16"/>
    <n v="12"/>
    <x v="4"/>
    <n v="16"/>
    <n v="4"/>
    <n v="60"/>
    <n v="0.4"/>
    <n v="0"/>
    <n v="0"/>
  </r>
  <r>
    <x v="5978"/>
    <n v="4"/>
    <n v="60"/>
    <n v="64"/>
    <n v="16"/>
    <n v="25"/>
    <x v="9"/>
    <n v="30"/>
    <n v="-1"/>
    <n v="51"/>
    <n v="0"/>
    <n v="1"/>
    <n v="1"/>
  </r>
  <r>
    <x v="5979"/>
    <n v="-1"/>
    <n v="51"/>
    <n v="50"/>
    <n v="30"/>
    <n v="19"/>
    <x v="33"/>
    <n v="18"/>
    <n v="0"/>
    <n v="62"/>
    <n v="0"/>
    <n v="0"/>
    <n v="0"/>
  </r>
  <r>
    <x v="5980"/>
    <n v="0"/>
    <n v="62"/>
    <n v="62"/>
    <n v="18"/>
    <n v="16"/>
    <x v="8"/>
    <n v="20"/>
    <n v="-4"/>
    <n v="64"/>
    <n v="0"/>
    <n v="1"/>
    <n v="4"/>
  </r>
  <r>
    <x v="5981"/>
    <n v="-4"/>
    <n v="64"/>
    <n v="60"/>
    <n v="20"/>
    <n v="16"/>
    <x v="17"/>
    <n v="18"/>
    <n v="-6"/>
    <n v="68"/>
    <n v="0"/>
    <n v="1"/>
    <n v="6"/>
  </r>
  <r>
    <x v="5982"/>
    <n v="-6"/>
    <n v="68"/>
    <n v="62"/>
    <n v="18"/>
    <n v="30"/>
    <x v="32"/>
    <n v="26"/>
    <n v="-2"/>
    <n v="56"/>
    <n v="0"/>
    <n v="1"/>
    <n v="2"/>
  </r>
  <r>
    <x v="5983"/>
    <n v="-2"/>
    <n v="56"/>
    <n v="54"/>
    <n v="26"/>
    <n v="18"/>
    <x v="8"/>
    <n v="26"/>
    <n v="-10"/>
    <n v="64"/>
    <n v="0"/>
    <n v="1"/>
    <n v="10"/>
  </r>
  <r>
    <x v="5984"/>
    <n v="-10"/>
    <n v="64"/>
    <n v="54"/>
    <n v="26"/>
    <n v="20"/>
    <x v="6"/>
    <n v="24"/>
    <n v="-14"/>
    <n v="70"/>
    <n v="0"/>
    <n v="1"/>
    <n v="14"/>
  </r>
  <r>
    <x v="5985"/>
    <n v="-14"/>
    <n v="70"/>
    <n v="56"/>
    <n v="24"/>
    <n v="18"/>
    <x v="37"/>
    <n v="20"/>
    <n v="-16"/>
    <n v="76"/>
    <n v="0"/>
    <n v="1"/>
    <n v="16"/>
  </r>
  <r>
    <x v="5986"/>
    <n v="-16"/>
    <n v="76"/>
    <n v="60"/>
    <n v="20"/>
    <n v="26"/>
    <x v="6"/>
    <n v="12"/>
    <n v="-2"/>
    <n v="70"/>
    <n v="0"/>
    <n v="1"/>
    <n v="2"/>
  </r>
  <r>
    <x v="5987"/>
    <n v="-2"/>
    <n v="70"/>
    <n v="68"/>
    <n v="12"/>
    <n v="26"/>
    <x v="32"/>
    <n v="17"/>
    <n v="7"/>
    <n v="56"/>
    <n v="0.70000000000000007"/>
    <n v="0"/>
    <n v="0"/>
  </r>
  <r>
    <x v="5988"/>
    <n v="7"/>
    <n v="56"/>
    <n v="63"/>
    <n v="17"/>
    <n v="24"/>
    <x v="10"/>
    <n v="26"/>
    <n v="5"/>
    <n v="49"/>
    <n v="0.5"/>
    <n v="0"/>
    <n v="0"/>
  </r>
  <r>
    <x v="5989"/>
    <n v="5"/>
    <n v="49"/>
    <n v="54"/>
    <n v="26"/>
    <n v="20"/>
    <x v="27"/>
    <n v="16"/>
    <n v="9"/>
    <n v="55"/>
    <n v="0.9"/>
    <n v="0"/>
    <n v="0"/>
  </r>
  <r>
    <x v="5990"/>
    <n v="9"/>
    <n v="55"/>
    <n v="64"/>
    <n v="16"/>
    <n v="12"/>
    <x v="5"/>
    <n v="26"/>
    <n v="-5"/>
    <n v="59"/>
    <n v="0"/>
    <n v="1"/>
    <n v="5"/>
  </r>
  <r>
    <x v="5991"/>
    <n v="-5"/>
    <n v="59"/>
    <n v="54"/>
    <n v="26"/>
    <n v="17"/>
    <x v="17"/>
    <n v="19"/>
    <n v="-7"/>
    <n v="68"/>
    <n v="0"/>
    <n v="1"/>
    <n v="7"/>
  </r>
  <r>
    <x v="5992"/>
    <n v="-7"/>
    <n v="68"/>
    <n v="61"/>
    <n v="19"/>
    <n v="26"/>
    <x v="23"/>
    <n v="17"/>
    <n v="2"/>
    <n v="61"/>
    <n v="0.2"/>
    <n v="0"/>
    <n v="0"/>
  </r>
  <r>
    <x v="5993"/>
    <n v="2"/>
    <n v="61"/>
    <n v="63"/>
    <n v="17"/>
    <n v="16"/>
    <x v="33"/>
    <n v="25"/>
    <n v="-7"/>
    <n v="62"/>
    <n v="0"/>
    <n v="1"/>
    <n v="7"/>
  </r>
  <r>
    <x v="5994"/>
    <n v="-7"/>
    <n v="62"/>
    <n v="55"/>
    <n v="25"/>
    <n v="26"/>
    <x v="23"/>
    <n v="15"/>
    <n v="4"/>
    <n v="61"/>
    <n v="0.4"/>
    <n v="0"/>
    <n v="0"/>
  </r>
  <r>
    <x v="5995"/>
    <n v="4"/>
    <n v="61"/>
    <n v="65"/>
    <n v="15"/>
    <n v="19"/>
    <x v="24"/>
    <n v="14"/>
    <n v="9"/>
    <n v="57"/>
    <n v="0.9"/>
    <n v="0"/>
    <n v="0"/>
  </r>
  <r>
    <x v="5996"/>
    <n v="9"/>
    <n v="57"/>
    <n v="66"/>
    <n v="14"/>
    <n v="17"/>
    <x v="16"/>
    <n v="27"/>
    <n v="-1"/>
    <n v="54"/>
    <n v="0"/>
    <n v="1"/>
    <n v="1"/>
  </r>
  <r>
    <x v="5997"/>
    <n v="-1"/>
    <n v="54"/>
    <n v="53"/>
    <n v="27"/>
    <n v="25"/>
    <x v="32"/>
    <n v="26"/>
    <n v="-2"/>
    <n v="56"/>
    <n v="0"/>
    <n v="1"/>
    <n v="2"/>
  </r>
  <r>
    <x v="5998"/>
    <n v="-2"/>
    <n v="56"/>
    <n v="54"/>
    <n v="26"/>
    <n v="15"/>
    <x v="21"/>
    <n v="21"/>
    <n v="-8"/>
    <n v="67"/>
    <n v="0"/>
    <n v="1"/>
    <n v="8"/>
  </r>
  <r>
    <x v="5999"/>
    <n v="-8"/>
    <n v="67"/>
    <n v="59"/>
    <n v="21"/>
    <n v="14"/>
    <x v="39"/>
    <n v="12"/>
    <n v="-6"/>
    <n v="74"/>
    <n v="0"/>
    <n v="1"/>
    <n v="6"/>
  </r>
  <r>
    <x v="6000"/>
    <n v="-6"/>
    <n v="74"/>
    <n v="68"/>
    <n v="12"/>
    <n v="27"/>
    <x v="5"/>
    <n v="16"/>
    <n v="5"/>
    <n v="59"/>
    <n v="0.5"/>
    <n v="0"/>
    <n v="0"/>
  </r>
  <r>
    <x v="6001"/>
    <n v="5"/>
    <n v="59"/>
    <n v="64"/>
    <n v="16"/>
    <n v="26"/>
    <x v="10"/>
    <n v="13"/>
    <n v="18"/>
    <n v="49"/>
    <n v="1.8"/>
    <n v="0"/>
    <n v="0"/>
  </r>
  <r>
    <x v="6002"/>
    <n v="18"/>
    <n v="49"/>
    <n v="67"/>
    <n v="13"/>
    <n v="21"/>
    <x v="52"/>
    <n v="27"/>
    <n v="12"/>
    <n v="41"/>
    <n v="1.2000000000000002"/>
    <n v="0"/>
    <n v="0"/>
  </r>
  <r>
    <x v="6003"/>
    <n v="12"/>
    <n v="41"/>
    <n v="53"/>
    <n v="27"/>
    <n v="12"/>
    <x v="32"/>
    <n v="8"/>
    <n v="16"/>
    <n v="56"/>
    <n v="1.6"/>
    <n v="0"/>
    <n v="0"/>
  </r>
  <r>
    <x v="6004"/>
    <n v="16"/>
    <n v="56"/>
    <n v="72"/>
    <n v="8"/>
    <n v="16"/>
    <x v="15"/>
    <n v="22"/>
    <n v="10"/>
    <n v="48"/>
    <n v="1"/>
    <n v="0"/>
    <n v="0"/>
  </r>
  <r>
    <x v="6005"/>
    <n v="10"/>
    <n v="48"/>
    <n v="58"/>
    <n v="22"/>
    <n v="13"/>
    <x v="24"/>
    <n v="20"/>
    <n v="3"/>
    <n v="57"/>
    <n v="0.30000000000000004"/>
    <n v="0"/>
    <n v="0"/>
  </r>
  <r>
    <x v="6006"/>
    <n v="3"/>
    <n v="57"/>
    <n v="60"/>
    <n v="20"/>
    <n v="27"/>
    <x v="13"/>
    <n v="16"/>
    <n v="14"/>
    <n v="50"/>
    <n v="1.4000000000000001"/>
    <n v="0"/>
    <n v="0"/>
  </r>
  <r>
    <x v="6007"/>
    <n v="14"/>
    <n v="50"/>
    <n v="64"/>
    <n v="16"/>
    <n v="8"/>
    <x v="28"/>
    <n v="26"/>
    <n v="-4"/>
    <n v="58"/>
    <n v="0"/>
    <n v="1"/>
    <n v="4"/>
  </r>
  <r>
    <x v="6008"/>
    <n v="-4"/>
    <n v="58"/>
    <n v="54"/>
    <n v="26"/>
    <n v="22"/>
    <x v="33"/>
    <n v="20"/>
    <n v="-2"/>
    <n v="62"/>
    <n v="0"/>
    <n v="1"/>
    <n v="2"/>
  </r>
  <r>
    <x v="6009"/>
    <n v="-2"/>
    <n v="62"/>
    <n v="60"/>
    <n v="20"/>
    <n v="20"/>
    <x v="33"/>
    <n v="27"/>
    <n v="-9"/>
    <n v="62"/>
    <n v="0"/>
    <n v="1"/>
    <n v="9"/>
  </r>
  <r>
    <x v="6010"/>
    <n v="-9"/>
    <n v="62"/>
    <n v="53"/>
    <n v="27"/>
    <n v="16"/>
    <x v="31"/>
    <n v="20"/>
    <n v="-13"/>
    <n v="73"/>
    <n v="0"/>
    <n v="1"/>
    <n v="13"/>
  </r>
  <r>
    <x v="6011"/>
    <n v="-13"/>
    <n v="73"/>
    <n v="60"/>
    <n v="20"/>
    <n v="26"/>
    <x v="21"/>
    <n v="17"/>
    <n v="-4"/>
    <n v="67"/>
    <n v="0"/>
    <n v="1"/>
    <n v="4"/>
  </r>
  <r>
    <x v="6012"/>
    <n v="-4"/>
    <n v="67"/>
    <n v="63"/>
    <n v="17"/>
    <n v="20"/>
    <x v="8"/>
    <n v="21"/>
    <n v="-5"/>
    <n v="64"/>
    <n v="0"/>
    <n v="1"/>
    <n v="5"/>
  </r>
  <r>
    <x v="6013"/>
    <n v="-5"/>
    <n v="64"/>
    <n v="59"/>
    <n v="21"/>
    <n v="27"/>
    <x v="28"/>
    <n v="24"/>
    <n v="-2"/>
    <n v="58"/>
    <n v="0"/>
    <n v="1"/>
    <n v="2"/>
  </r>
  <r>
    <x v="6014"/>
    <n v="-2"/>
    <n v="58"/>
    <n v="56"/>
    <n v="24"/>
    <n v="20"/>
    <x v="33"/>
    <n v="20"/>
    <n v="-2"/>
    <n v="62"/>
    <n v="0"/>
    <n v="1"/>
    <n v="2"/>
  </r>
  <r>
    <x v="6015"/>
    <n v="-2"/>
    <n v="62"/>
    <n v="60"/>
    <n v="20"/>
    <n v="17"/>
    <x v="26"/>
    <n v="19"/>
    <n v="-4"/>
    <n v="65"/>
    <n v="0"/>
    <n v="1"/>
    <n v="4"/>
  </r>
  <r>
    <x v="6016"/>
    <n v="-4"/>
    <n v="65"/>
    <n v="61"/>
    <n v="19"/>
    <n v="21"/>
    <x v="22"/>
    <n v="16"/>
    <n v="1"/>
    <n v="63"/>
    <n v="0.1"/>
    <n v="0"/>
    <n v="0"/>
  </r>
  <r>
    <x v="6017"/>
    <n v="1"/>
    <n v="63"/>
    <n v="64"/>
    <n v="16"/>
    <n v="24"/>
    <x v="27"/>
    <n v="19"/>
    <n v="6"/>
    <n v="55"/>
    <n v="0.60000000000000009"/>
    <n v="0"/>
    <n v="0"/>
  </r>
  <r>
    <x v="6018"/>
    <n v="6"/>
    <n v="55"/>
    <n v="61"/>
    <n v="19"/>
    <n v="20"/>
    <x v="16"/>
    <n v="19"/>
    <n v="7"/>
    <n v="54"/>
    <n v="0.70000000000000007"/>
    <n v="0"/>
    <n v="0"/>
  </r>
  <r>
    <x v="6019"/>
    <n v="7"/>
    <n v="54"/>
    <n v="61"/>
    <n v="19"/>
    <n v="19"/>
    <x v="16"/>
    <n v="13"/>
    <n v="13"/>
    <n v="54"/>
    <n v="1.3"/>
    <n v="0"/>
    <n v="0"/>
  </r>
  <r>
    <x v="6020"/>
    <n v="13"/>
    <n v="54"/>
    <n v="67"/>
    <n v="13"/>
    <n v="16"/>
    <x v="9"/>
    <n v="27"/>
    <n v="2"/>
    <n v="51"/>
    <n v="0.2"/>
    <n v="0"/>
    <n v="0"/>
  </r>
  <r>
    <x v="6021"/>
    <n v="2"/>
    <n v="51"/>
    <n v="53"/>
    <n v="27"/>
    <n v="19"/>
    <x v="5"/>
    <n v="25"/>
    <n v="-4"/>
    <n v="59"/>
    <n v="0"/>
    <n v="1"/>
    <n v="4"/>
  </r>
  <r>
    <x v="6022"/>
    <n v="-4"/>
    <n v="59"/>
    <n v="55"/>
    <n v="25"/>
    <n v="19"/>
    <x v="26"/>
    <n v="24"/>
    <n v="-9"/>
    <n v="65"/>
    <n v="0"/>
    <n v="1"/>
    <n v="9"/>
  </r>
  <r>
    <x v="6023"/>
    <n v="-9"/>
    <n v="65"/>
    <n v="56"/>
    <n v="24"/>
    <n v="13"/>
    <x v="37"/>
    <n v="28"/>
    <n v="-24"/>
    <n v="76"/>
    <n v="0"/>
    <n v="1"/>
    <n v="24"/>
  </r>
  <r>
    <x v="6024"/>
    <n v="-24"/>
    <n v="76"/>
    <n v="52"/>
    <n v="28"/>
    <n v="27"/>
    <x v="18"/>
    <n v="25"/>
    <n v="-22"/>
    <n v="77"/>
    <n v="0"/>
    <n v="1"/>
    <n v="22"/>
  </r>
  <r>
    <x v="6025"/>
    <n v="-22"/>
    <n v="77"/>
    <n v="55"/>
    <n v="25"/>
    <n v="25"/>
    <x v="18"/>
    <n v="14"/>
    <n v="-11"/>
    <n v="77"/>
    <n v="0"/>
    <n v="1"/>
    <n v="11"/>
  </r>
  <r>
    <x v="6026"/>
    <n v="-11"/>
    <n v="77"/>
    <n v="66"/>
    <n v="14"/>
    <n v="24"/>
    <x v="21"/>
    <n v="27"/>
    <n v="-14"/>
    <n v="67"/>
    <n v="0"/>
    <n v="1"/>
    <n v="14"/>
  </r>
  <r>
    <x v="6027"/>
    <n v="-14"/>
    <n v="67"/>
    <n v="53"/>
    <n v="27"/>
    <n v="28"/>
    <x v="7"/>
    <n v="23"/>
    <n v="-9"/>
    <n v="66"/>
    <n v="0"/>
    <n v="1"/>
    <n v="9"/>
  </r>
  <r>
    <x v="6028"/>
    <n v="-9"/>
    <n v="66"/>
    <n v="57"/>
    <n v="23"/>
    <n v="25"/>
    <x v="8"/>
    <n v="21"/>
    <n v="-5"/>
    <n v="64"/>
    <n v="0"/>
    <n v="1"/>
    <n v="5"/>
  </r>
  <r>
    <x v="6029"/>
    <n v="-5"/>
    <n v="64"/>
    <n v="59"/>
    <n v="21"/>
    <n v="14"/>
    <x v="20"/>
    <n v="20"/>
    <n v="-11"/>
    <n v="71"/>
    <n v="0"/>
    <n v="1"/>
    <n v="11"/>
  </r>
  <r>
    <x v="6030"/>
    <n v="-11"/>
    <n v="71"/>
    <n v="60"/>
    <n v="20"/>
    <n v="27"/>
    <x v="8"/>
    <n v="21"/>
    <n v="-5"/>
    <n v="64"/>
    <n v="0"/>
    <n v="1"/>
    <n v="5"/>
  </r>
  <r>
    <x v="6031"/>
    <n v="-5"/>
    <n v="64"/>
    <n v="59"/>
    <n v="21"/>
    <n v="23"/>
    <x v="33"/>
    <n v="21"/>
    <n v="-3"/>
    <n v="62"/>
    <n v="0"/>
    <n v="1"/>
    <n v="3"/>
  </r>
  <r>
    <x v="6032"/>
    <n v="-3"/>
    <n v="62"/>
    <n v="59"/>
    <n v="21"/>
    <n v="21"/>
    <x v="33"/>
    <n v="19"/>
    <n v="-1"/>
    <n v="62"/>
    <n v="0"/>
    <n v="1"/>
    <n v="1"/>
  </r>
  <r>
    <x v="6033"/>
    <n v="-1"/>
    <n v="62"/>
    <n v="61"/>
    <n v="19"/>
    <n v="20"/>
    <x v="23"/>
    <n v="14"/>
    <n v="5"/>
    <n v="61"/>
    <n v="0.5"/>
    <n v="0"/>
    <n v="0"/>
  </r>
  <r>
    <x v="6034"/>
    <n v="5"/>
    <n v="61"/>
    <n v="66"/>
    <n v="14"/>
    <n v="21"/>
    <x v="16"/>
    <n v="21"/>
    <n v="5"/>
    <n v="54"/>
    <n v="0.5"/>
    <n v="0"/>
    <n v="0"/>
  </r>
  <r>
    <x v="6035"/>
    <n v="5"/>
    <n v="54"/>
    <n v="59"/>
    <n v="21"/>
    <n v="21"/>
    <x v="16"/>
    <n v="25"/>
    <n v="1"/>
    <n v="54"/>
    <n v="0.1"/>
    <n v="0"/>
    <n v="0"/>
  </r>
  <r>
    <x v="6036"/>
    <n v="1"/>
    <n v="54"/>
    <n v="55"/>
    <n v="25"/>
    <n v="19"/>
    <x v="4"/>
    <n v="19"/>
    <n v="1"/>
    <n v="60"/>
    <n v="0.1"/>
    <n v="0"/>
    <n v="0"/>
  </r>
  <r>
    <x v="6037"/>
    <n v="1"/>
    <n v="60"/>
    <n v="61"/>
    <n v="19"/>
    <n v="14"/>
    <x v="26"/>
    <n v="26"/>
    <n v="-11"/>
    <n v="65"/>
    <n v="0"/>
    <n v="1"/>
    <n v="11"/>
  </r>
  <r>
    <x v="6038"/>
    <n v="-11"/>
    <n v="65"/>
    <n v="54"/>
    <n v="26"/>
    <n v="21"/>
    <x v="6"/>
    <n v="16"/>
    <n v="-6"/>
    <n v="70"/>
    <n v="0"/>
    <n v="1"/>
    <n v="6"/>
  </r>
  <r>
    <x v="6039"/>
    <n v="-6"/>
    <n v="70"/>
    <n v="64"/>
    <n v="16"/>
    <n v="25"/>
    <x v="23"/>
    <n v="21"/>
    <n v="-2"/>
    <n v="61"/>
    <n v="0"/>
    <n v="1"/>
    <n v="2"/>
  </r>
  <r>
    <x v="6040"/>
    <n v="-2"/>
    <n v="61"/>
    <n v="59"/>
    <n v="21"/>
    <n v="19"/>
    <x v="22"/>
    <n v="19"/>
    <n v="-2"/>
    <n v="63"/>
    <n v="0"/>
    <n v="1"/>
    <n v="2"/>
  </r>
  <r>
    <x v="6041"/>
    <n v="-2"/>
    <n v="63"/>
    <n v="61"/>
    <n v="19"/>
    <n v="26"/>
    <x v="32"/>
    <n v="19"/>
    <n v="5"/>
    <n v="56"/>
    <n v="0.5"/>
    <n v="0"/>
    <n v="0"/>
  </r>
  <r>
    <x v="6042"/>
    <n v="5"/>
    <n v="56"/>
    <n v="61"/>
    <n v="19"/>
    <n v="16"/>
    <x v="5"/>
    <n v="29"/>
    <n v="-8"/>
    <n v="59"/>
    <n v="0"/>
    <n v="1"/>
    <n v="8"/>
  </r>
  <r>
    <x v="6043"/>
    <n v="-8"/>
    <n v="59"/>
    <n v="51"/>
    <n v="29"/>
    <n v="21"/>
    <x v="21"/>
    <n v="25"/>
    <n v="-12"/>
    <n v="67"/>
    <n v="0"/>
    <n v="1"/>
    <n v="12"/>
  </r>
  <r>
    <x v="6044"/>
    <n v="-12"/>
    <n v="67"/>
    <n v="55"/>
    <n v="25"/>
    <n v="19"/>
    <x v="31"/>
    <n v="24"/>
    <n v="-17"/>
    <n v="73"/>
    <n v="0"/>
    <n v="1"/>
    <n v="17"/>
  </r>
  <r>
    <x v="6045"/>
    <n v="-17"/>
    <n v="73"/>
    <n v="56"/>
    <n v="24"/>
    <n v="19"/>
    <x v="35"/>
    <n v="25"/>
    <n v="-23"/>
    <n v="78"/>
    <n v="0"/>
    <n v="1"/>
    <n v="23"/>
  </r>
  <r>
    <x v="6046"/>
    <n v="-23"/>
    <n v="78"/>
    <n v="55"/>
    <n v="25"/>
    <n v="29"/>
    <x v="39"/>
    <n v="18"/>
    <n v="-12"/>
    <n v="74"/>
    <n v="0"/>
    <n v="1"/>
    <n v="12"/>
  </r>
  <r>
    <x v="6047"/>
    <n v="-12"/>
    <n v="74"/>
    <n v="62"/>
    <n v="18"/>
    <n v="25"/>
    <x v="21"/>
    <n v="21"/>
    <n v="-8"/>
    <n v="67"/>
    <n v="0"/>
    <n v="1"/>
    <n v="8"/>
  </r>
  <r>
    <x v="6048"/>
    <n v="-8"/>
    <n v="67"/>
    <n v="59"/>
    <n v="21"/>
    <n v="24"/>
    <x v="8"/>
    <n v="19"/>
    <n v="-3"/>
    <n v="64"/>
    <n v="0"/>
    <n v="1"/>
    <n v="3"/>
  </r>
  <r>
    <x v="6049"/>
    <n v="-3"/>
    <n v="64"/>
    <n v="61"/>
    <n v="19"/>
    <n v="25"/>
    <x v="28"/>
    <n v="12"/>
    <n v="10"/>
    <n v="58"/>
    <n v="1"/>
    <n v="0"/>
    <n v="0"/>
  </r>
  <r>
    <x v="6050"/>
    <n v="10"/>
    <n v="58"/>
    <n v="68"/>
    <n v="12"/>
    <n v="18"/>
    <x v="25"/>
    <n v="22"/>
    <n v="6"/>
    <n v="52"/>
    <n v="0.60000000000000009"/>
    <n v="0"/>
    <n v="0"/>
  </r>
  <r>
    <x v="6051"/>
    <n v="6"/>
    <n v="52"/>
    <n v="58"/>
    <n v="22"/>
    <n v="21"/>
    <x v="12"/>
    <n v="18"/>
    <n v="9"/>
    <n v="53"/>
    <n v="0.9"/>
    <n v="0"/>
    <n v="0"/>
  </r>
  <r>
    <x v="6052"/>
    <n v="9"/>
    <n v="53"/>
    <n v="62"/>
    <n v="18"/>
    <n v="19"/>
    <x v="25"/>
    <n v="21"/>
    <n v="7"/>
    <n v="52"/>
    <n v="0.70000000000000007"/>
    <n v="0"/>
    <n v="0"/>
  </r>
  <r>
    <x v="6053"/>
    <n v="7"/>
    <n v="52"/>
    <n v="59"/>
    <n v="21"/>
    <n v="12"/>
    <x v="23"/>
    <n v="16"/>
    <n v="3"/>
    <n v="61"/>
    <n v="0.30000000000000004"/>
    <n v="0"/>
    <n v="0"/>
  </r>
  <r>
    <x v="6054"/>
    <n v="3"/>
    <n v="61"/>
    <n v="64"/>
    <n v="16"/>
    <n v="22"/>
    <x v="27"/>
    <n v="21"/>
    <n v="4"/>
    <n v="55"/>
    <n v="0.4"/>
    <n v="0"/>
    <n v="0"/>
  </r>
  <r>
    <x v="6055"/>
    <n v="4"/>
    <n v="55"/>
    <n v="59"/>
    <n v="21"/>
    <n v="18"/>
    <x v="28"/>
    <n v="20"/>
    <n v="2"/>
    <n v="58"/>
    <n v="0.2"/>
    <n v="0"/>
    <n v="0"/>
  </r>
  <r>
    <x v="6056"/>
    <n v="2"/>
    <n v="58"/>
    <n v="60"/>
    <n v="20"/>
    <n v="21"/>
    <x v="24"/>
    <n v="23"/>
    <n v="0"/>
    <n v="57"/>
    <n v="0"/>
    <n v="0"/>
    <n v="0"/>
  </r>
  <r>
    <x v="6057"/>
    <n v="0"/>
    <n v="57"/>
    <n v="57"/>
    <n v="23"/>
    <n v="16"/>
    <x v="8"/>
    <n v="13"/>
    <n v="3"/>
    <n v="64"/>
    <n v="0.30000000000000004"/>
    <n v="0"/>
    <n v="0"/>
  </r>
  <r>
    <x v="6058"/>
    <n v="3"/>
    <n v="64"/>
    <n v="67"/>
    <n v="13"/>
    <n v="21"/>
    <x v="32"/>
    <n v="16"/>
    <n v="8"/>
    <n v="56"/>
    <n v="0.8"/>
    <n v="0"/>
    <n v="0"/>
  </r>
  <r>
    <x v="6059"/>
    <n v="8"/>
    <n v="56"/>
    <n v="64"/>
    <n v="16"/>
    <n v="20"/>
    <x v="25"/>
    <n v="18"/>
    <n v="10"/>
    <n v="52"/>
    <n v="1"/>
    <n v="0"/>
    <n v="0"/>
  </r>
  <r>
    <x v="6060"/>
    <n v="10"/>
    <n v="52"/>
    <n v="62"/>
    <n v="18"/>
    <n v="23"/>
    <x v="14"/>
    <n v="17"/>
    <n v="16"/>
    <n v="47"/>
    <n v="1.6"/>
    <n v="0"/>
    <n v="0"/>
  </r>
  <r>
    <x v="6061"/>
    <n v="16"/>
    <n v="47"/>
    <n v="63"/>
    <n v="17"/>
    <n v="13"/>
    <x v="9"/>
    <n v="15"/>
    <n v="14"/>
    <n v="51"/>
    <n v="1.4000000000000001"/>
    <n v="0"/>
    <n v="0"/>
  </r>
  <r>
    <x v="6062"/>
    <n v="14"/>
    <n v="51"/>
    <n v="65"/>
    <n v="15"/>
    <n v="16"/>
    <x v="13"/>
    <n v="20"/>
    <n v="10"/>
    <n v="50"/>
    <n v="1"/>
    <n v="0"/>
    <n v="0"/>
  </r>
  <r>
    <x v="6063"/>
    <n v="10"/>
    <n v="50"/>
    <n v="60"/>
    <n v="20"/>
    <n v="18"/>
    <x v="25"/>
    <n v="29"/>
    <n v="-1"/>
    <n v="52"/>
    <n v="0"/>
    <n v="1"/>
    <n v="1"/>
  </r>
  <r>
    <x v="6064"/>
    <n v="-1"/>
    <n v="52"/>
    <n v="51"/>
    <n v="29"/>
    <n v="17"/>
    <x v="8"/>
    <n v="17"/>
    <n v="-1"/>
    <n v="64"/>
    <n v="0"/>
    <n v="1"/>
    <n v="1"/>
  </r>
  <r>
    <x v="6065"/>
    <n v="-1"/>
    <n v="64"/>
    <n v="63"/>
    <n v="17"/>
    <n v="15"/>
    <x v="7"/>
    <n v="24"/>
    <n v="-10"/>
    <n v="66"/>
    <n v="0"/>
    <n v="1"/>
    <n v="10"/>
  </r>
  <r>
    <x v="6066"/>
    <n v="-10"/>
    <n v="66"/>
    <n v="56"/>
    <n v="24"/>
    <n v="20"/>
    <x v="6"/>
    <n v="15"/>
    <n v="-5"/>
    <n v="70"/>
    <n v="0"/>
    <n v="1"/>
    <n v="5"/>
  </r>
  <r>
    <x v="6067"/>
    <n v="-5"/>
    <n v="70"/>
    <n v="65"/>
    <n v="15"/>
    <n v="29"/>
    <x v="32"/>
    <n v="30"/>
    <n v="-6"/>
    <n v="56"/>
    <n v="0"/>
    <n v="1"/>
    <n v="6"/>
  </r>
  <r>
    <x v="6068"/>
    <n v="-6"/>
    <n v="56"/>
    <n v="50"/>
    <n v="30"/>
    <n v="17"/>
    <x v="30"/>
    <n v="23"/>
    <n v="-12"/>
    <n v="69"/>
    <n v="0"/>
    <n v="1"/>
    <n v="12"/>
  </r>
  <r>
    <x v="6069"/>
    <n v="-12"/>
    <n v="69"/>
    <n v="57"/>
    <n v="23"/>
    <n v="24"/>
    <x v="17"/>
    <n v="22"/>
    <n v="-10"/>
    <n v="68"/>
    <n v="0"/>
    <n v="1"/>
    <n v="10"/>
  </r>
  <r>
    <x v="6070"/>
    <n v="-10"/>
    <n v="68"/>
    <n v="58"/>
    <n v="22"/>
    <n v="15"/>
    <x v="44"/>
    <n v="18"/>
    <n v="-13"/>
    <n v="75"/>
    <n v="0"/>
    <n v="1"/>
    <n v="13"/>
  </r>
  <r>
    <x v="6071"/>
    <n v="-13"/>
    <n v="75"/>
    <n v="62"/>
    <n v="18"/>
    <n v="30"/>
    <x v="22"/>
    <n v="25"/>
    <n v="-8"/>
    <n v="63"/>
    <n v="0"/>
    <n v="1"/>
    <n v="8"/>
  </r>
  <r>
    <x v="6072"/>
    <n v="-8"/>
    <n v="63"/>
    <n v="55"/>
    <n v="25"/>
    <n v="23"/>
    <x v="26"/>
    <n v="21"/>
    <n v="-6"/>
    <n v="65"/>
    <n v="0"/>
    <n v="1"/>
    <n v="6"/>
  </r>
  <r>
    <x v="6073"/>
    <n v="-6"/>
    <n v="65"/>
    <n v="59"/>
    <n v="21"/>
    <n v="22"/>
    <x v="8"/>
    <n v="18"/>
    <n v="-2"/>
    <n v="64"/>
    <n v="0"/>
    <n v="1"/>
    <n v="2"/>
  </r>
  <r>
    <x v="6074"/>
    <n v="-2"/>
    <n v="64"/>
    <n v="62"/>
    <n v="18"/>
    <n v="18"/>
    <x v="8"/>
    <n v="25"/>
    <n v="-9"/>
    <n v="64"/>
    <n v="0"/>
    <n v="1"/>
    <n v="9"/>
  </r>
  <r>
    <x v="6075"/>
    <n v="-9"/>
    <n v="64"/>
    <n v="55"/>
    <n v="25"/>
    <n v="25"/>
    <x v="8"/>
    <n v="14"/>
    <n v="2"/>
    <n v="64"/>
    <n v="0.2"/>
    <n v="0"/>
    <n v="0"/>
  </r>
  <r>
    <x v="6076"/>
    <n v="2"/>
    <n v="64"/>
    <n v="66"/>
    <n v="14"/>
    <n v="21"/>
    <x v="24"/>
    <n v="15"/>
    <n v="8"/>
    <n v="57"/>
    <n v="0.8"/>
    <n v="0"/>
    <n v="0"/>
  </r>
  <r>
    <x v="6077"/>
    <n v="8"/>
    <n v="57"/>
    <n v="65"/>
    <n v="15"/>
    <n v="18"/>
    <x v="16"/>
    <n v="14"/>
    <n v="12"/>
    <n v="54"/>
    <n v="1.2000000000000002"/>
    <n v="0"/>
    <n v="0"/>
  </r>
  <r>
    <x v="6078"/>
    <n v="12"/>
    <n v="54"/>
    <n v="66"/>
    <n v="14"/>
    <n v="25"/>
    <x v="51"/>
    <n v="28"/>
    <n v="9"/>
    <n v="43"/>
    <n v="0.9"/>
    <n v="0"/>
    <n v="0"/>
  </r>
  <r>
    <x v="6079"/>
    <n v="9"/>
    <n v="43"/>
    <n v="52"/>
    <n v="28"/>
    <n v="14"/>
    <x v="24"/>
    <n v="16"/>
    <n v="7"/>
    <n v="57"/>
    <n v="0.70000000000000007"/>
    <n v="0"/>
    <n v="0"/>
  </r>
  <r>
    <x v="6080"/>
    <n v="7"/>
    <n v="57"/>
    <n v="64"/>
    <n v="16"/>
    <n v="15"/>
    <x v="28"/>
    <n v="21"/>
    <n v="1"/>
    <n v="58"/>
    <n v="0.1"/>
    <n v="0"/>
    <n v="0"/>
  </r>
  <r>
    <x v="6081"/>
    <n v="1"/>
    <n v="58"/>
    <n v="59"/>
    <n v="21"/>
    <n v="14"/>
    <x v="26"/>
    <n v="15"/>
    <n v="0"/>
    <n v="65"/>
    <n v="0"/>
    <n v="0"/>
    <n v="0"/>
  </r>
  <r>
    <x v="6082"/>
    <n v="0"/>
    <n v="65"/>
    <n v="65"/>
    <n v="15"/>
    <n v="28"/>
    <x v="25"/>
    <n v="12"/>
    <n v="16"/>
    <n v="52"/>
    <n v="1.6"/>
    <n v="0"/>
    <n v="0"/>
  </r>
  <r>
    <x v="6083"/>
    <n v="16"/>
    <n v="52"/>
    <n v="68"/>
    <n v="12"/>
    <n v="16"/>
    <x v="15"/>
    <n v="22"/>
    <n v="10"/>
    <n v="48"/>
    <n v="1"/>
    <n v="0"/>
    <n v="0"/>
  </r>
  <r>
    <x v="6084"/>
    <n v="10"/>
    <n v="48"/>
    <n v="58"/>
    <n v="22"/>
    <n v="21"/>
    <x v="10"/>
    <n v="19"/>
    <n v="12"/>
    <n v="49"/>
    <n v="1.2000000000000002"/>
    <n v="0"/>
    <n v="0"/>
  </r>
  <r>
    <x v="6085"/>
    <n v="12"/>
    <n v="49"/>
    <n v="61"/>
    <n v="19"/>
    <n v="15"/>
    <x v="12"/>
    <n v="17"/>
    <n v="10"/>
    <n v="53"/>
    <n v="1"/>
    <n v="0"/>
    <n v="0"/>
  </r>
  <r>
    <x v="6086"/>
    <n v="10"/>
    <n v="53"/>
    <n v="63"/>
    <n v="17"/>
    <n v="12"/>
    <x v="28"/>
    <n v="29"/>
    <n v="-7"/>
    <n v="58"/>
    <n v="0"/>
    <n v="1"/>
    <n v="7"/>
  </r>
  <r>
    <x v="6087"/>
    <n v="-7"/>
    <n v="58"/>
    <n v="51"/>
    <n v="29"/>
    <n v="22"/>
    <x v="26"/>
    <n v="35"/>
    <n v="-20"/>
    <n v="65"/>
    <n v="0"/>
    <n v="1"/>
    <n v="20"/>
  </r>
  <r>
    <x v="6088"/>
    <n v="-20"/>
    <n v="65"/>
    <n v="45"/>
    <n v="35"/>
    <n v="19"/>
    <x v="41"/>
    <n v="14"/>
    <n v="-15"/>
    <n v="81"/>
    <n v="0"/>
    <n v="1"/>
    <n v="14"/>
  </r>
  <r>
    <x v="6089"/>
    <n v="-15"/>
    <n v="81"/>
    <n v="66"/>
    <n v="14"/>
    <n v="17"/>
    <x v="35"/>
    <n v="23"/>
    <n v="-21"/>
    <n v="78"/>
    <n v="0"/>
    <n v="1"/>
    <n v="21"/>
  </r>
  <r>
    <x v="6090"/>
    <n v="-21"/>
    <n v="78"/>
    <n v="57"/>
    <n v="23"/>
    <n v="29"/>
    <x v="29"/>
    <n v="17"/>
    <n v="-9"/>
    <n v="72"/>
    <n v="0"/>
    <n v="1"/>
    <n v="9"/>
  </r>
  <r>
    <x v="6091"/>
    <n v="-9"/>
    <n v="72"/>
    <n v="63"/>
    <n v="17"/>
    <n v="35"/>
    <x v="16"/>
    <n v="24"/>
    <n v="2"/>
    <n v="54"/>
    <n v="0.2"/>
    <n v="0"/>
    <n v="0"/>
  </r>
  <r>
    <x v="6092"/>
    <n v="2"/>
    <n v="54"/>
    <n v="56"/>
    <n v="24"/>
    <n v="14"/>
    <x v="8"/>
    <n v="15"/>
    <n v="1"/>
    <n v="64"/>
    <n v="0.1"/>
    <n v="0"/>
    <n v="0"/>
  </r>
  <r>
    <x v="6093"/>
    <n v="1"/>
    <n v="64"/>
    <n v="65"/>
    <n v="15"/>
    <n v="23"/>
    <x v="32"/>
    <n v="22"/>
    <n v="2"/>
    <n v="56"/>
    <n v="0.2"/>
    <n v="0"/>
    <n v="0"/>
  </r>
  <r>
    <x v="6094"/>
    <n v="2"/>
    <n v="56"/>
    <n v="58"/>
    <n v="22"/>
    <n v="17"/>
    <x v="23"/>
    <n v="20"/>
    <n v="-1"/>
    <n v="61"/>
    <n v="0"/>
    <n v="1"/>
    <n v="1"/>
  </r>
  <r>
    <x v="6095"/>
    <n v="-1"/>
    <n v="61"/>
    <n v="60"/>
    <n v="20"/>
    <n v="24"/>
    <x v="24"/>
    <n v="17"/>
    <n v="6"/>
    <n v="57"/>
    <n v="0.60000000000000009"/>
    <n v="0"/>
    <n v="0"/>
  </r>
  <r>
    <x v="6096"/>
    <n v="6"/>
    <n v="57"/>
    <n v="63"/>
    <n v="17"/>
    <n v="15"/>
    <x v="5"/>
    <n v="18"/>
    <n v="3"/>
    <n v="59"/>
    <n v="0.30000000000000004"/>
    <n v="0"/>
    <n v="0"/>
  </r>
  <r>
    <x v="6097"/>
    <n v="3"/>
    <n v="59"/>
    <n v="62"/>
    <n v="18"/>
    <n v="22"/>
    <x v="27"/>
    <n v="16"/>
    <n v="9"/>
    <n v="55"/>
    <n v="0.9"/>
    <n v="0"/>
    <n v="0"/>
  </r>
  <r>
    <x v="6098"/>
    <n v="9"/>
    <n v="55"/>
    <n v="64"/>
    <n v="16"/>
    <n v="20"/>
    <x v="9"/>
    <n v="12"/>
    <n v="17"/>
    <n v="51"/>
    <n v="1.7000000000000002"/>
    <n v="0"/>
    <n v="0"/>
  </r>
  <r>
    <x v="6099"/>
    <n v="17"/>
    <n v="51"/>
    <n v="68"/>
    <n v="12"/>
    <n v="17"/>
    <x v="38"/>
    <n v="19"/>
    <n v="15"/>
    <n v="46"/>
    <n v="1.5"/>
    <n v="0"/>
    <n v="0"/>
  </r>
  <r>
    <x v="6100"/>
    <n v="15"/>
    <n v="46"/>
    <n v="61"/>
    <n v="19"/>
    <n v="18"/>
    <x v="14"/>
    <n v="23"/>
    <n v="10"/>
    <n v="47"/>
    <n v="1"/>
    <n v="0"/>
    <n v="0"/>
  </r>
  <r>
    <x v="6101"/>
    <n v="10"/>
    <n v="47"/>
    <n v="57"/>
    <n v="23"/>
    <n v="16"/>
    <x v="16"/>
    <n v="19"/>
    <n v="7"/>
    <n v="54"/>
    <n v="0.70000000000000007"/>
    <n v="0"/>
    <n v="0"/>
  </r>
  <r>
    <x v="6102"/>
    <n v="7"/>
    <n v="54"/>
    <n v="61"/>
    <n v="19"/>
    <n v="12"/>
    <x v="23"/>
    <n v="24"/>
    <n v="-5"/>
    <n v="61"/>
    <n v="0"/>
    <n v="1"/>
    <n v="5"/>
  </r>
  <r>
    <x v="6103"/>
    <n v="-5"/>
    <n v="61"/>
    <n v="56"/>
    <n v="24"/>
    <n v="19"/>
    <x v="7"/>
    <n v="27"/>
    <n v="-13"/>
    <n v="66"/>
    <n v="0"/>
    <n v="1"/>
    <n v="13"/>
  </r>
  <r>
    <x v="6104"/>
    <n v="-13"/>
    <n v="66"/>
    <n v="53"/>
    <n v="27"/>
    <n v="23"/>
    <x v="6"/>
    <n v="20"/>
    <n v="-10"/>
    <n v="70"/>
    <n v="0"/>
    <n v="1"/>
    <n v="10"/>
  </r>
  <r>
    <x v="6105"/>
    <n v="-10"/>
    <n v="70"/>
    <n v="60"/>
    <n v="20"/>
    <n v="19"/>
    <x v="20"/>
    <n v="25"/>
    <n v="-16"/>
    <n v="71"/>
    <n v="0"/>
    <n v="1"/>
    <n v="16"/>
  </r>
  <r>
    <x v="6106"/>
    <n v="-16"/>
    <n v="71"/>
    <n v="55"/>
    <n v="25"/>
    <n v="24"/>
    <x v="29"/>
    <n v="17"/>
    <n v="-9"/>
    <n v="72"/>
    <n v="0"/>
    <n v="1"/>
    <n v="9"/>
  </r>
  <r>
    <x v="6107"/>
    <n v="-9"/>
    <n v="72"/>
    <n v="63"/>
    <n v="17"/>
    <n v="27"/>
    <x v="33"/>
    <n v="25"/>
    <n v="-7"/>
    <n v="62"/>
    <n v="0"/>
    <n v="1"/>
    <n v="7"/>
  </r>
  <r>
    <x v="6108"/>
    <n v="-7"/>
    <n v="62"/>
    <n v="55"/>
    <n v="25"/>
    <n v="20"/>
    <x v="21"/>
    <n v="18"/>
    <n v="-5"/>
    <n v="67"/>
    <n v="0"/>
    <n v="1"/>
    <n v="5"/>
  </r>
  <r>
    <x v="6109"/>
    <n v="-5"/>
    <n v="67"/>
    <n v="62"/>
    <n v="18"/>
    <n v="25"/>
    <x v="4"/>
    <n v="16"/>
    <n v="4"/>
    <n v="60"/>
    <n v="0.4"/>
    <n v="0"/>
    <n v="0"/>
  </r>
  <r>
    <x v="6110"/>
    <n v="4"/>
    <n v="60"/>
    <n v="64"/>
    <n v="16"/>
    <n v="17"/>
    <x v="5"/>
    <n v="24"/>
    <n v="-3"/>
    <n v="59"/>
    <n v="0"/>
    <n v="1"/>
    <n v="3"/>
  </r>
  <r>
    <x v="6111"/>
    <n v="-3"/>
    <n v="59"/>
    <n v="56"/>
    <n v="24"/>
    <n v="25"/>
    <x v="28"/>
    <n v="17"/>
    <n v="5"/>
    <n v="58"/>
    <n v="0.5"/>
    <n v="0"/>
    <n v="0"/>
  </r>
  <r>
    <x v="6112"/>
    <n v="5"/>
    <n v="58"/>
    <n v="63"/>
    <n v="17"/>
    <n v="18"/>
    <x v="24"/>
    <n v="18"/>
    <n v="5"/>
    <n v="57"/>
    <n v="0.5"/>
    <n v="0"/>
    <n v="0"/>
  </r>
  <r>
    <x v="6113"/>
    <n v="5"/>
    <n v="57"/>
    <n v="62"/>
    <n v="18"/>
    <n v="16"/>
    <x v="5"/>
    <n v="21"/>
    <n v="0"/>
    <n v="59"/>
    <n v="0"/>
    <n v="0"/>
    <n v="0"/>
  </r>
  <r>
    <x v="6114"/>
    <n v="0"/>
    <n v="59"/>
    <n v="59"/>
    <n v="21"/>
    <n v="24"/>
    <x v="32"/>
    <n v="28"/>
    <n v="-4"/>
    <n v="56"/>
    <n v="0"/>
    <n v="1"/>
    <n v="4"/>
  </r>
  <r>
    <x v="6115"/>
    <n v="-4"/>
    <n v="56"/>
    <n v="52"/>
    <n v="28"/>
    <n v="17"/>
    <x v="21"/>
    <n v="15"/>
    <n v="-2"/>
    <n v="67"/>
    <n v="0"/>
    <n v="1"/>
    <n v="2"/>
  </r>
  <r>
    <x v="6116"/>
    <n v="-2"/>
    <n v="67"/>
    <n v="65"/>
    <n v="15"/>
    <n v="18"/>
    <x v="8"/>
    <n v="23"/>
    <n v="-7"/>
    <n v="64"/>
    <n v="0"/>
    <n v="1"/>
    <n v="7"/>
  </r>
  <r>
    <x v="6117"/>
    <n v="-7"/>
    <n v="64"/>
    <n v="57"/>
    <n v="23"/>
    <n v="21"/>
    <x v="7"/>
    <n v="22"/>
    <n v="-8"/>
    <n v="66"/>
    <n v="0"/>
    <n v="1"/>
    <n v="8"/>
  </r>
  <r>
    <x v="6118"/>
    <n v="-8"/>
    <n v="66"/>
    <n v="58"/>
    <n v="22"/>
    <n v="28"/>
    <x v="4"/>
    <n v="19"/>
    <n v="1"/>
    <n v="60"/>
    <n v="0.1"/>
    <n v="0"/>
    <n v="0"/>
  </r>
  <r>
    <x v="6119"/>
    <n v="1"/>
    <n v="60"/>
    <n v="61"/>
    <n v="19"/>
    <n v="15"/>
    <x v="8"/>
    <n v="15"/>
    <n v="1"/>
    <n v="64"/>
    <n v="0.1"/>
    <n v="0"/>
    <n v="0"/>
  </r>
  <r>
    <x v="6120"/>
    <n v="1"/>
    <n v="64"/>
    <n v="65"/>
    <n v="15"/>
    <n v="23"/>
    <x v="32"/>
    <n v="10"/>
    <n v="14"/>
    <n v="56"/>
    <n v="1.4000000000000001"/>
    <n v="0"/>
    <n v="0"/>
  </r>
  <r>
    <x v="6121"/>
    <n v="14"/>
    <n v="56"/>
    <n v="70"/>
    <n v="10"/>
    <n v="22"/>
    <x v="45"/>
    <n v="11"/>
    <n v="25"/>
    <n v="44"/>
    <n v="2.5"/>
    <n v="0"/>
    <n v="0"/>
  </r>
  <r>
    <x v="6122"/>
    <n v="25"/>
    <n v="44"/>
    <n v="69"/>
    <n v="11"/>
    <n v="19"/>
    <x v="57"/>
    <n v="22"/>
    <n v="22"/>
    <n v="36"/>
    <n v="2.2000000000000002"/>
    <n v="0"/>
    <n v="0"/>
  </r>
  <r>
    <x v="6123"/>
    <n v="22"/>
    <n v="36"/>
    <n v="58"/>
    <n v="22"/>
    <n v="15"/>
    <x v="51"/>
    <n v="23"/>
    <n v="14"/>
    <n v="43"/>
    <n v="1.4000000000000001"/>
    <n v="0"/>
    <n v="0"/>
  </r>
  <r>
    <x v="6124"/>
    <n v="14"/>
    <n v="43"/>
    <n v="57"/>
    <n v="23"/>
    <n v="10"/>
    <x v="32"/>
    <n v="20"/>
    <n v="4"/>
    <n v="56"/>
    <n v="0.4"/>
    <n v="0"/>
    <n v="0"/>
  </r>
  <r>
    <x v="6125"/>
    <n v="4"/>
    <n v="56"/>
    <n v="60"/>
    <n v="20"/>
    <n v="11"/>
    <x v="26"/>
    <n v="18"/>
    <n v="-3"/>
    <n v="65"/>
    <n v="0"/>
    <n v="1"/>
    <n v="3"/>
  </r>
  <r>
    <x v="6126"/>
    <n v="-3"/>
    <n v="65"/>
    <n v="62"/>
    <n v="18"/>
    <n v="22"/>
    <x v="23"/>
    <n v="21"/>
    <n v="-2"/>
    <n v="61"/>
    <n v="0"/>
    <n v="1"/>
    <n v="2"/>
  </r>
  <r>
    <x v="6127"/>
    <n v="-2"/>
    <n v="61"/>
    <n v="59"/>
    <n v="21"/>
    <n v="23"/>
    <x v="5"/>
    <n v="25"/>
    <n v="-4"/>
    <n v="59"/>
    <n v="0"/>
    <n v="1"/>
    <n v="4"/>
  </r>
  <r>
    <x v="6128"/>
    <n v="-4"/>
    <n v="59"/>
    <n v="55"/>
    <n v="25"/>
    <n v="20"/>
    <x v="8"/>
    <n v="22"/>
    <n v="-6"/>
    <n v="64"/>
    <n v="0"/>
    <n v="1"/>
    <n v="6"/>
  </r>
  <r>
    <x v="6129"/>
    <n v="-6"/>
    <n v="64"/>
    <n v="58"/>
    <n v="22"/>
    <n v="18"/>
    <x v="17"/>
    <n v="25"/>
    <n v="-13"/>
    <n v="68"/>
    <n v="0"/>
    <n v="1"/>
    <n v="13"/>
  </r>
  <r>
    <x v="6130"/>
    <n v="-13"/>
    <n v="68"/>
    <n v="55"/>
    <n v="25"/>
    <n v="21"/>
    <x v="29"/>
    <n v="15"/>
    <n v="-7"/>
    <n v="72"/>
    <n v="0"/>
    <n v="1"/>
    <n v="7"/>
  </r>
  <r>
    <x v="6131"/>
    <n v="-7"/>
    <n v="72"/>
    <n v="65"/>
    <n v="15"/>
    <n v="25"/>
    <x v="33"/>
    <n v="18"/>
    <n v="0"/>
    <n v="62"/>
    <n v="0"/>
    <n v="0"/>
    <n v="0"/>
  </r>
  <r>
    <x v="6132"/>
    <n v="0"/>
    <n v="62"/>
    <n v="62"/>
    <n v="18"/>
    <n v="22"/>
    <x v="28"/>
    <n v="22"/>
    <n v="0"/>
    <n v="58"/>
    <n v="0"/>
    <n v="0"/>
    <n v="0"/>
  </r>
  <r>
    <x v="6133"/>
    <n v="0"/>
    <n v="58"/>
    <n v="58"/>
    <n v="22"/>
    <n v="25"/>
    <x v="27"/>
    <n v="18"/>
    <n v="7"/>
    <n v="55"/>
    <n v="0.70000000000000007"/>
    <n v="0"/>
    <n v="0"/>
  </r>
  <r>
    <x v="6134"/>
    <n v="7"/>
    <n v="55"/>
    <n v="62"/>
    <n v="18"/>
    <n v="15"/>
    <x v="28"/>
    <n v="16"/>
    <n v="6"/>
    <n v="58"/>
    <n v="0.60000000000000009"/>
    <n v="0"/>
    <n v="0"/>
  </r>
  <r>
    <x v="6135"/>
    <n v="6"/>
    <n v="58"/>
    <n v="64"/>
    <n v="16"/>
    <n v="18"/>
    <x v="32"/>
    <n v="23"/>
    <n v="1"/>
    <n v="56"/>
    <n v="0.1"/>
    <n v="0"/>
    <n v="0"/>
  </r>
  <r>
    <x v="6136"/>
    <n v="1"/>
    <n v="56"/>
    <n v="57"/>
    <n v="23"/>
    <n v="22"/>
    <x v="24"/>
    <n v="17"/>
    <n v="6"/>
    <n v="57"/>
    <n v="0.60000000000000009"/>
    <n v="0"/>
    <n v="0"/>
  </r>
  <r>
    <x v="6137"/>
    <n v="6"/>
    <n v="57"/>
    <n v="63"/>
    <n v="17"/>
    <n v="18"/>
    <x v="32"/>
    <n v="13"/>
    <n v="11"/>
    <n v="56"/>
    <n v="1.1000000000000001"/>
    <n v="0"/>
    <n v="0"/>
  </r>
  <r>
    <x v="6138"/>
    <n v="11"/>
    <n v="56"/>
    <n v="67"/>
    <n v="13"/>
    <n v="16"/>
    <x v="12"/>
    <n v="21"/>
    <n v="6"/>
    <n v="53"/>
    <n v="0.60000000000000009"/>
    <n v="0"/>
    <n v="0"/>
  </r>
  <r>
    <x v="6139"/>
    <n v="6"/>
    <n v="53"/>
    <n v="59"/>
    <n v="21"/>
    <n v="23"/>
    <x v="9"/>
    <n v="11"/>
    <n v="18"/>
    <n v="51"/>
    <n v="1.8"/>
    <n v="0"/>
    <n v="0"/>
  </r>
  <r>
    <x v="6140"/>
    <n v="18"/>
    <n v="51"/>
    <n v="69"/>
    <n v="11"/>
    <n v="17"/>
    <x v="11"/>
    <n v="23"/>
    <n v="12"/>
    <n v="45"/>
    <n v="1.2000000000000002"/>
    <n v="0"/>
    <n v="0"/>
  </r>
  <r>
    <x v="6141"/>
    <n v="12"/>
    <n v="45"/>
    <n v="57"/>
    <n v="23"/>
    <n v="13"/>
    <x v="27"/>
    <n v="15"/>
    <n v="10"/>
    <n v="55"/>
    <n v="1"/>
    <n v="0"/>
    <n v="0"/>
  </r>
  <r>
    <x v="6142"/>
    <n v="10"/>
    <n v="55"/>
    <n v="65"/>
    <n v="15"/>
    <n v="21"/>
    <x v="10"/>
    <n v="21"/>
    <n v="10"/>
    <n v="49"/>
    <n v="1"/>
    <n v="0"/>
    <n v="0"/>
  </r>
  <r>
    <x v="6143"/>
    <n v="10"/>
    <n v="49"/>
    <n v="59"/>
    <n v="21"/>
    <n v="11"/>
    <x v="5"/>
    <n v="23"/>
    <n v="-2"/>
    <n v="59"/>
    <n v="0"/>
    <n v="1"/>
    <n v="2"/>
  </r>
  <r>
    <x v="6144"/>
    <n v="-2"/>
    <n v="59"/>
    <n v="57"/>
    <n v="23"/>
    <n v="23"/>
    <x v="5"/>
    <n v="16"/>
    <n v="5"/>
    <n v="59"/>
    <n v="0.5"/>
    <n v="0"/>
    <n v="0"/>
  </r>
  <r>
    <x v="6145"/>
    <n v="5"/>
    <n v="59"/>
    <n v="64"/>
    <n v="16"/>
    <n v="15"/>
    <x v="4"/>
    <n v="14"/>
    <n v="6"/>
    <n v="60"/>
    <n v="0.60000000000000009"/>
    <n v="0"/>
    <n v="0"/>
  </r>
  <r>
    <x v="6146"/>
    <n v="6"/>
    <n v="60"/>
    <n v="66"/>
    <n v="14"/>
    <n v="21"/>
    <x v="12"/>
    <n v="22"/>
    <n v="5"/>
    <n v="53"/>
    <n v="0.5"/>
    <n v="0"/>
    <n v="0"/>
  </r>
  <r>
    <x v="6147"/>
    <n v="5"/>
    <n v="53"/>
    <n v="58"/>
    <n v="22"/>
    <n v="23"/>
    <x v="25"/>
    <n v="21"/>
    <n v="7"/>
    <n v="52"/>
    <n v="0.70000000000000007"/>
    <n v="0"/>
    <n v="0"/>
  </r>
  <r>
    <x v="6148"/>
    <n v="7"/>
    <n v="52"/>
    <n v="59"/>
    <n v="21"/>
    <n v="16"/>
    <x v="24"/>
    <n v="17"/>
    <n v="6"/>
    <n v="57"/>
    <n v="0.60000000000000009"/>
    <n v="0"/>
    <n v="0"/>
  </r>
  <r>
    <x v="6149"/>
    <n v="6"/>
    <n v="57"/>
    <n v="63"/>
    <n v="17"/>
    <n v="14"/>
    <x v="4"/>
    <n v="13"/>
    <n v="7"/>
    <n v="60"/>
    <n v="0.70000000000000007"/>
    <n v="0"/>
    <n v="0"/>
  </r>
  <r>
    <x v="6150"/>
    <n v="7"/>
    <n v="60"/>
    <n v="67"/>
    <n v="13"/>
    <n v="22"/>
    <x v="9"/>
    <n v="21"/>
    <n v="8"/>
    <n v="51"/>
    <n v="0.8"/>
    <n v="0"/>
    <n v="0"/>
  </r>
  <r>
    <x v="6151"/>
    <n v="8"/>
    <n v="51"/>
    <n v="59"/>
    <n v="21"/>
    <n v="21"/>
    <x v="9"/>
    <n v="25"/>
    <n v="4"/>
    <n v="51"/>
    <n v="0.4"/>
    <n v="0"/>
    <n v="0"/>
  </r>
  <r>
    <x v="6152"/>
    <n v="4"/>
    <n v="51"/>
    <n v="55"/>
    <n v="25"/>
    <n v="17"/>
    <x v="5"/>
    <n v="17"/>
    <n v="4"/>
    <n v="59"/>
    <n v="0.4"/>
    <n v="0"/>
    <n v="0"/>
  </r>
  <r>
    <x v="6153"/>
    <n v="4"/>
    <n v="59"/>
    <n v="63"/>
    <n v="17"/>
    <n v="13"/>
    <x v="22"/>
    <n v="20"/>
    <n v="-3"/>
    <n v="63"/>
    <n v="0"/>
    <n v="1"/>
    <n v="3"/>
  </r>
  <r>
    <x v="6154"/>
    <n v="-3"/>
    <n v="63"/>
    <n v="60"/>
    <n v="20"/>
    <n v="21"/>
    <x v="33"/>
    <n v="22"/>
    <n v="-4"/>
    <n v="62"/>
    <n v="0"/>
    <n v="1"/>
    <n v="4"/>
  </r>
  <r>
    <x v="6155"/>
    <n v="-4"/>
    <n v="62"/>
    <n v="58"/>
    <n v="22"/>
    <n v="25"/>
    <x v="5"/>
    <n v="21"/>
    <n v="0"/>
    <n v="59"/>
    <n v="0"/>
    <n v="0"/>
    <n v="0"/>
  </r>
  <r>
    <x v="6156"/>
    <n v="0"/>
    <n v="59"/>
    <n v="59"/>
    <n v="21"/>
    <n v="17"/>
    <x v="22"/>
    <n v="21"/>
    <n v="-4"/>
    <n v="63"/>
    <n v="0"/>
    <n v="1"/>
    <n v="4"/>
  </r>
  <r>
    <x v="6157"/>
    <n v="-4"/>
    <n v="63"/>
    <n v="59"/>
    <n v="21"/>
    <n v="20"/>
    <x v="8"/>
    <n v="16"/>
    <n v="0"/>
    <n v="64"/>
    <n v="0"/>
    <n v="0"/>
    <n v="0"/>
  </r>
  <r>
    <x v="6158"/>
    <n v="0"/>
    <n v="64"/>
    <n v="64"/>
    <n v="16"/>
    <n v="22"/>
    <x v="28"/>
    <n v="21"/>
    <n v="1"/>
    <n v="58"/>
    <n v="0.1"/>
    <n v="0"/>
    <n v="0"/>
  </r>
  <r>
    <x v="6159"/>
    <n v="1"/>
    <n v="58"/>
    <n v="59"/>
    <n v="21"/>
    <n v="21"/>
    <x v="28"/>
    <n v="32"/>
    <n v="-10"/>
    <n v="58"/>
    <n v="0"/>
    <n v="1"/>
    <n v="10"/>
  </r>
  <r>
    <x v="6160"/>
    <n v="-10"/>
    <n v="58"/>
    <n v="48"/>
    <n v="32"/>
    <n v="21"/>
    <x v="30"/>
    <n v="19"/>
    <n v="-8"/>
    <n v="69"/>
    <n v="0"/>
    <n v="1"/>
    <n v="8"/>
  </r>
  <r>
    <x v="6161"/>
    <n v="-8"/>
    <n v="69"/>
    <n v="61"/>
    <n v="19"/>
    <n v="16"/>
    <x v="29"/>
    <n v="28"/>
    <n v="-20"/>
    <n v="72"/>
    <n v="0"/>
    <n v="1"/>
    <n v="20"/>
  </r>
  <r>
    <x v="6162"/>
    <n v="-20"/>
    <n v="72"/>
    <n v="52"/>
    <n v="28"/>
    <n v="21"/>
    <x v="43"/>
    <n v="17"/>
    <n v="-16"/>
    <n v="79"/>
    <n v="0"/>
    <n v="1"/>
    <n v="16"/>
  </r>
  <r>
    <x v="6163"/>
    <n v="-16"/>
    <n v="79"/>
    <n v="63"/>
    <n v="17"/>
    <n v="32"/>
    <x v="8"/>
    <n v="21"/>
    <n v="-5"/>
    <n v="64"/>
    <n v="0"/>
    <n v="1"/>
    <n v="5"/>
  </r>
  <r>
    <x v="6164"/>
    <n v="-5"/>
    <n v="64"/>
    <n v="59"/>
    <n v="21"/>
    <n v="19"/>
    <x v="7"/>
    <n v="28"/>
    <n v="-14"/>
    <n v="66"/>
    <n v="0"/>
    <n v="1"/>
    <n v="14"/>
  </r>
  <r>
    <x v="6165"/>
    <n v="-14"/>
    <n v="66"/>
    <n v="52"/>
    <n v="28"/>
    <n v="28"/>
    <x v="7"/>
    <n v="22"/>
    <n v="-8"/>
    <n v="66"/>
    <n v="0"/>
    <n v="1"/>
    <n v="8"/>
  </r>
  <r>
    <x v="6166"/>
    <n v="-8"/>
    <n v="66"/>
    <n v="58"/>
    <n v="22"/>
    <n v="17"/>
    <x v="20"/>
    <n v="22"/>
    <n v="-13"/>
    <n v="71"/>
    <n v="0"/>
    <n v="1"/>
    <n v="13"/>
  </r>
  <r>
    <x v="6167"/>
    <n v="-13"/>
    <n v="71"/>
    <n v="58"/>
    <n v="22"/>
    <n v="21"/>
    <x v="29"/>
    <n v="14"/>
    <n v="-6"/>
    <n v="72"/>
    <n v="0"/>
    <n v="1"/>
    <n v="6"/>
  </r>
  <r>
    <x v="6168"/>
    <n v="-6"/>
    <n v="72"/>
    <n v="66"/>
    <n v="14"/>
    <n v="28"/>
    <x v="28"/>
    <n v="21"/>
    <n v="1"/>
    <n v="58"/>
    <n v="0.1"/>
    <n v="0"/>
    <n v="0"/>
  </r>
  <r>
    <x v="6169"/>
    <n v="1"/>
    <n v="58"/>
    <n v="59"/>
    <n v="21"/>
    <n v="22"/>
    <x v="24"/>
    <n v="20"/>
    <n v="3"/>
    <n v="57"/>
    <n v="0.30000000000000004"/>
    <n v="0"/>
    <n v="0"/>
  </r>
  <r>
    <x v="6170"/>
    <n v="3"/>
    <n v="57"/>
    <n v="60"/>
    <n v="20"/>
    <n v="22"/>
    <x v="27"/>
    <n v="22"/>
    <n v="3"/>
    <n v="55"/>
    <n v="0.30000000000000004"/>
    <n v="0"/>
    <n v="0"/>
  </r>
  <r>
    <x v="6171"/>
    <n v="3"/>
    <n v="55"/>
    <n v="58"/>
    <n v="22"/>
    <n v="14"/>
    <x v="22"/>
    <n v="13"/>
    <n v="4"/>
    <n v="63"/>
    <n v="0.4"/>
    <n v="0"/>
    <n v="0"/>
  </r>
  <r>
    <x v="6172"/>
    <n v="4"/>
    <n v="63"/>
    <n v="67"/>
    <n v="13"/>
    <n v="21"/>
    <x v="27"/>
    <n v="21"/>
    <n v="4"/>
    <n v="55"/>
    <n v="0.4"/>
    <n v="0"/>
    <n v="0"/>
  </r>
  <r>
    <x v="6173"/>
    <n v="4"/>
    <n v="55"/>
    <n v="59"/>
    <n v="21"/>
    <n v="20"/>
    <x v="32"/>
    <n v="13"/>
    <n v="11"/>
    <n v="56"/>
    <n v="1.1000000000000001"/>
    <n v="0"/>
    <n v="0"/>
  </r>
  <r>
    <x v="6174"/>
    <n v="11"/>
    <n v="56"/>
    <n v="67"/>
    <n v="13"/>
    <n v="22"/>
    <x v="14"/>
    <n v="25"/>
    <n v="8"/>
    <n v="47"/>
    <n v="0.8"/>
    <n v="0"/>
    <n v="0"/>
  </r>
  <r>
    <x v="6175"/>
    <n v="8"/>
    <n v="47"/>
    <n v="55"/>
    <n v="25"/>
    <n v="13"/>
    <x v="5"/>
    <n v="19"/>
    <n v="2"/>
    <n v="59"/>
    <n v="0.2"/>
    <n v="0"/>
    <n v="0"/>
  </r>
  <r>
    <x v="6176"/>
    <n v="2"/>
    <n v="59"/>
    <n v="61"/>
    <n v="19"/>
    <n v="21"/>
    <x v="24"/>
    <n v="17"/>
    <n v="6"/>
    <n v="57"/>
    <n v="0.60000000000000009"/>
    <n v="0"/>
    <n v="0"/>
  </r>
  <r>
    <x v="6177"/>
    <n v="6"/>
    <n v="57"/>
    <n v="63"/>
    <n v="17"/>
    <n v="13"/>
    <x v="23"/>
    <n v="24"/>
    <n v="-5"/>
    <n v="61"/>
    <n v="0"/>
    <n v="1"/>
    <n v="5"/>
  </r>
  <r>
    <x v="6178"/>
    <n v="-5"/>
    <n v="61"/>
    <n v="56"/>
    <n v="24"/>
    <n v="25"/>
    <x v="4"/>
    <n v="22"/>
    <n v="-2"/>
    <n v="60"/>
    <n v="0"/>
    <n v="1"/>
    <n v="2"/>
  </r>
  <r>
    <x v="6179"/>
    <n v="-2"/>
    <n v="60"/>
    <n v="58"/>
    <n v="22"/>
    <n v="19"/>
    <x v="22"/>
    <n v="25"/>
    <n v="-8"/>
    <n v="63"/>
    <n v="0"/>
    <n v="1"/>
    <n v="8"/>
  </r>
  <r>
    <x v="6180"/>
    <n v="-8"/>
    <n v="63"/>
    <n v="55"/>
    <n v="25"/>
    <n v="17"/>
    <x v="20"/>
    <n v="20"/>
    <n v="-11"/>
    <n v="71"/>
    <n v="0"/>
    <n v="1"/>
    <n v="11"/>
  </r>
  <r>
    <x v="6181"/>
    <n v="-11"/>
    <n v="71"/>
    <n v="60"/>
    <n v="20"/>
    <n v="24"/>
    <x v="21"/>
    <n v="21"/>
    <n v="-8"/>
    <n v="67"/>
    <n v="0"/>
    <n v="1"/>
    <n v="8"/>
  </r>
  <r>
    <x v="6182"/>
    <n v="-8"/>
    <n v="67"/>
    <n v="59"/>
    <n v="21"/>
    <n v="22"/>
    <x v="7"/>
    <n v="22"/>
    <n v="-8"/>
    <n v="66"/>
    <n v="0"/>
    <n v="1"/>
    <n v="8"/>
  </r>
  <r>
    <x v="6183"/>
    <n v="-8"/>
    <n v="66"/>
    <n v="58"/>
    <n v="22"/>
    <n v="25"/>
    <x v="22"/>
    <n v="13"/>
    <n v="4"/>
    <n v="63"/>
    <n v="0.4"/>
    <n v="0"/>
    <n v="0"/>
  </r>
  <r>
    <x v="6184"/>
    <n v="4"/>
    <n v="63"/>
    <n v="67"/>
    <n v="13"/>
    <n v="20"/>
    <x v="32"/>
    <n v="21"/>
    <n v="3"/>
    <n v="56"/>
    <n v="0.30000000000000004"/>
    <n v="0"/>
    <n v="0"/>
  </r>
  <r>
    <x v="6185"/>
    <n v="3"/>
    <n v="56"/>
    <n v="59"/>
    <n v="21"/>
    <n v="21"/>
    <x v="32"/>
    <n v="23"/>
    <n v="1"/>
    <n v="56"/>
    <n v="0.1"/>
    <n v="0"/>
    <n v="0"/>
  </r>
  <r>
    <x v="6186"/>
    <n v="1"/>
    <n v="56"/>
    <n v="57"/>
    <n v="23"/>
    <n v="22"/>
    <x v="24"/>
    <n v="16"/>
    <n v="7"/>
    <n v="57"/>
    <n v="0.70000000000000007"/>
    <n v="0"/>
    <n v="0"/>
  </r>
  <r>
    <x v="6187"/>
    <n v="7"/>
    <n v="57"/>
    <n v="64"/>
    <n v="16"/>
    <n v="13"/>
    <x v="4"/>
    <n v="18"/>
    <n v="2"/>
    <n v="60"/>
    <n v="0.2"/>
    <n v="0"/>
    <n v="0"/>
  </r>
  <r>
    <x v="6188"/>
    <n v="2"/>
    <n v="60"/>
    <n v="62"/>
    <n v="18"/>
    <n v="21"/>
    <x v="24"/>
    <n v="21"/>
    <n v="2"/>
    <n v="57"/>
    <n v="0.2"/>
    <n v="0"/>
    <n v="0"/>
  </r>
  <r>
    <x v="6189"/>
    <n v="2"/>
    <n v="57"/>
    <n v="59"/>
    <n v="21"/>
    <n v="23"/>
    <x v="27"/>
    <n v="21"/>
    <n v="4"/>
    <n v="55"/>
    <n v="0.4"/>
    <n v="0"/>
    <n v="0"/>
  </r>
  <r>
    <x v="6190"/>
    <n v="4"/>
    <n v="55"/>
    <n v="59"/>
    <n v="21"/>
    <n v="16"/>
    <x v="4"/>
    <n v="16"/>
    <n v="4"/>
    <n v="60"/>
    <n v="0.4"/>
    <n v="0"/>
    <n v="0"/>
  </r>
  <r>
    <x v="6191"/>
    <n v="4"/>
    <n v="60"/>
    <n v="64"/>
    <n v="16"/>
    <n v="18"/>
    <x v="28"/>
    <n v="17"/>
    <n v="5"/>
    <n v="58"/>
    <n v="0.5"/>
    <n v="0"/>
    <n v="0"/>
  </r>
  <r>
    <x v="6192"/>
    <n v="5"/>
    <n v="58"/>
    <n v="63"/>
    <n v="17"/>
    <n v="21"/>
    <x v="16"/>
    <n v="16"/>
    <n v="10"/>
    <n v="54"/>
    <n v="1"/>
    <n v="0"/>
    <n v="0"/>
  </r>
  <r>
    <x v="6193"/>
    <n v="10"/>
    <n v="54"/>
    <n v="64"/>
    <n v="16"/>
    <n v="21"/>
    <x v="10"/>
    <n v="16"/>
    <n v="15"/>
    <n v="49"/>
    <n v="1.5"/>
    <n v="0"/>
    <n v="0"/>
  </r>
  <r>
    <x v="6194"/>
    <n v="15"/>
    <n v="49"/>
    <n v="64"/>
    <n v="16"/>
    <n v="16"/>
    <x v="10"/>
    <n v="20"/>
    <n v="11"/>
    <n v="49"/>
    <n v="1.1000000000000001"/>
    <n v="0"/>
    <n v="0"/>
  </r>
  <r>
    <x v="6195"/>
    <n v="11"/>
    <n v="49"/>
    <n v="60"/>
    <n v="20"/>
    <n v="17"/>
    <x v="25"/>
    <n v="18"/>
    <n v="10"/>
    <n v="52"/>
    <n v="1"/>
    <n v="0"/>
    <n v="0"/>
  </r>
  <r>
    <x v="6196"/>
    <n v="10"/>
    <n v="52"/>
    <n v="62"/>
    <n v="18"/>
    <n v="16"/>
    <x v="16"/>
    <n v="18"/>
    <n v="8"/>
    <n v="54"/>
    <n v="0.8"/>
    <n v="0"/>
    <n v="0"/>
  </r>
  <r>
    <x v="6197"/>
    <n v="8"/>
    <n v="54"/>
    <n v="62"/>
    <n v="18"/>
    <n v="16"/>
    <x v="32"/>
    <n v="17"/>
    <n v="7"/>
    <n v="56"/>
    <n v="0.70000000000000007"/>
    <n v="0"/>
    <n v="0"/>
  </r>
  <r>
    <x v="6198"/>
    <n v="7"/>
    <n v="56"/>
    <n v="63"/>
    <n v="17"/>
    <n v="20"/>
    <x v="12"/>
    <n v="20"/>
    <n v="7"/>
    <n v="53"/>
    <n v="0.70000000000000007"/>
    <n v="0"/>
    <n v="0"/>
  </r>
  <r>
    <x v="6199"/>
    <n v="7"/>
    <n v="53"/>
    <n v="60"/>
    <n v="20"/>
    <n v="18"/>
    <x v="27"/>
    <n v="17"/>
    <n v="8"/>
    <n v="55"/>
    <n v="0.8"/>
    <n v="0"/>
    <n v="0"/>
  </r>
  <r>
    <x v="6200"/>
    <n v="8"/>
    <n v="55"/>
    <n v="63"/>
    <n v="17"/>
    <n v="18"/>
    <x v="16"/>
    <n v="17"/>
    <n v="9"/>
    <n v="54"/>
    <n v="0.9"/>
    <n v="0"/>
    <n v="0"/>
  </r>
  <r>
    <x v="6201"/>
    <n v="9"/>
    <n v="54"/>
    <n v="63"/>
    <n v="17"/>
    <n v="17"/>
    <x v="16"/>
    <n v="24"/>
    <n v="2"/>
    <n v="54"/>
    <n v="0.2"/>
    <n v="0"/>
    <n v="0"/>
  </r>
  <r>
    <x v="6202"/>
    <n v="2"/>
    <n v="54"/>
    <n v="56"/>
    <n v="24"/>
    <n v="20"/>
    <x v="28"/>
    <n v="19"/>
    <n v="3"/>
    <n v="58"/>
    <n v="0.30000000000000004"/>
    <n v="0"/>
    <n v="0"/>
  </r>
  <r>
    <x v="6203"/>
    <n v="3"/>
    <n v="58"/>
    <n v="61"/>
    <n v="19"/>
    <n v="17"/>
    <x v="4"/>
    <n v="27"/>
    <n v="-7"/>
    <n v="60"/>
    <n v="0"/>
    <n v="1"/>
    <n v="7"/>
  </r>
  <r>
    <x v="6204"/>
    <n v="-7"/>
    <n v="60"/>
    <n v="53"/>
    <n v="27"/>
    <n v="17"/>
    <x v="6"/>
    <n v="18"/>
    <n v="-8"/>
    <n v="70"/>
    <n v="0"/>
    <n v="1"/>
    <n v="8"/>
  </r>
  <r>
    <x v="6205"/>
    <n v="-8"/>
    <n v="70"/>
    <n v="62"/>
    <n v="18"/>
    <n v="24"/>
    <x v="8"/>
    <n v="24"/>
    <n v="-8"/>
    <n v="64"/>
    <n v="0"/>
    <n v="1"/>
    <n v="8"/>
  </r>
  <r>
    <x v="6206"/>
    <n v="-8"/>
    <n v="64"/>
    <n v="56"/>
    <n v="24"/>
    <n v="19"/>
    <x v="30"/>
    <n v="24"/>
    <n v="-13"/>
    <n v="69"/>
    <n v="0"/>
    <n v="1"/>
    <n v="13"/>
  </r>
  <r>
    <x v="6207"/>
    <n v="-13"/>
    <n v="69"/>
    <n v="56"/>
    <n v="24"/>
    <n v="27"/>
    <x v="7"/>
    <n v="21"/>
    <n v="-7"/>
    <n v="66"/>
    <n v="0"/>
    <n v="1"/>
    <n v="7"/>
  </r>
  <r>
    <x v="6208"/>
    <n v="-7"/>
    <n v="66"/>
    <n v="59"/>
    <n v="21"/>
    <n v="18"/>
    <x v="30"/>
    <n v="18"/>
    <n v="-7"/>
    <n v="69"/>
    <n v="0"/>
    <n v="1"/>
    <n v="7"/>
  </r>
  <r>
    <x v="6209"/>
    <n v="-7"/>
    <n v="69"/>
    <n v="62"/>
    <n v="18"/>
    <n v="24"/>
    <x v="22"/>
    <n v="20"/>
    <n v="-3"/>
    <n v="63"/>
    <n v="0"/>
    <n v="1"/>
    <n v="3"/>
  </r>
  <r>
    <x v="6210"/>
    <n v="-3"/>
    <n v="63"/>
    <n v="60"/>
    <n v="20"/>
    <n v="24"/>
    <x v="5"/>
    <n v="20"/>
    <n v="1"/>
    <n v="59"/>
    <n v="0.1"/>
    <n v="0"/>
    <n v="0"/>
  </r>
  <r>
    <x v="6211"/>
    <n v="1"/>
    <n v="59"/>
    <n v="60"/>
    <n v="20"/>
    <n v="21"/>
    <x v="28"/>
    <n v="26"/>
    <n v="-4"/>
    <n v="58"/>
    <n v="0"/>
    <n v="1"/>
    <n v="4"/>
  </r>
  <r>
    <x v="6212"/>
    <n v="-4"/>
    <n v="58"/>
    <n v="54"/>
    <n v="26"/>
    <n v="18"/>
    <x v="7"/>
    <n v="18"/>
    <n v="-4"/>
    <n v="66"/>
    <n v="0"/>
    <n v="1"/>
    <n v="4"/>
  </r>
  <r>
    <x v="6213"/>
    <n v="-4"/>
    <n v="66"/>
    <n v="62"/>
    <n v="18"/>
    <n v="20"/>
    <x v="8"/>
    <n v="25"/>
    <n v="-9"/>
    <n v="64"/>
    <n v="0"/>
    <n v="1"/>
    <n v="9"/>
  </r>
  <r>
    <x v="6214"/>
    <n v="-9"/>
    <n v="64"/>
    <n v="55"/>
    <n v="25"/>
    <n v="20"/>
    <x v="30"/>
    <n v="19"/>
    <n v="-8"/>
    <n v="69"/>
    <n v="0"/>
    <n v="1"/>
    <n v="8"/>
  </r>
  <r>
    <x v="6215"/>
    <n v="-8"/>
    <n v="69"/>
    <n v="61"/>
    <n v="19"/>
    <n v="26"/>
    <x v="33"/>
    <n v="22"/>
    <n v="-4"/>
    <n v="62"/>
    <n v="0"/>
    <n v="1"/>
    <n v="4"/>
  </r>
  <r>
    <x v="6216"/>
    <n v="-4"/>
    <n v="62"/>
    <n v="58"/>
    <n v="22"/>
    <n v="18"/>
    <x v="7"/>
    <n v="17"/>
    <n v="-3"/>
    <n v="66"/>
    <n v="0"/>
    <n v="1"/>
    <n v="3"/>
  </r>
  <r>
    <x v="6217"/>
    <n v="-3"/>
    <n v="66"/>
    <n v="63"/>
    <n v="17"/>
    <n v="25"/>
    <x v="28"/>
    <n v="26"/>
    <n v="-4"/>
    <n v="58"/>
    <n v="0"/>
    <n v="1"/>
    <n v="4"/>
  </r>
  <r>
    <x v="6218"/>
    <n v="-4"/>
    <n v="58"/>
    <n v="54"/>
    <n v="26"/>
    <n v="19"/>
    <x v="26"/>
    <n v="21"/>
    <n v="-6"/>
    <n v="65"/>
    <n v="0"/>
    <n v="1"/>
    <n v="6"/>
  </r>
  <r>
    <x v="6219"/>
    <n v="-6"/>
    <n v="65"/>
    <n v="59"/>
    <n v="21"/>
    <n v="22"/>
    <x v="8"/>
    <n v="26"/>
    <n v="-10"/>
    <n v="64"/>
    <n v="0"/>
    <n v="1"/>
    <n v="10"/>
  </r>
  <r>
    <x v="6220"/>
    <n v="-10"/>
    <n v="64"/>
    <n v="54"/>
    <n v="26"/>
    <n v="17"/>
    <x v="31"/>
    <n v="25"/>
    <n v="-18"/>
    <n v="73"/>
    <n v="0"/>
    <n v="1"/>
    <n v="18"/>
  </r>
  <r>
    <x v="6221"/>
    <n v="-18"/>
    <n v="73"/>
    <n v="55"/>
    <n v="25"/>
    <n v="26"/>
    <x v="29"/>
    <n v="21"/>
    <n v="-13"/>
    <n v="72"/>
    <n v="0"/>
    <n v="1"/>
    <n v="13"/>
  </r>
  <r>
    <x v="6222"/>
    <n v="-13"/>
    <n v="72"/>
    <n v="59"/>
    <n v="21"/>
    <n v="21"/>
    <x v="29"/>
    <n v="20"/>
    <n v="-12"/>
    <n v="72"/>
    <n v="0"/>
    <n v="1"/>
    <n v="12"/>
  </r>
  <r>
    <x v="6223"/>
    <n v="-12"/>
    <n v="72"/>
    <n v="60"/>
    <n v="20"/>
    <n v="26"/>
    <x v="7"/>
    <n v="17"/>
    <n v="-3"/>
    <n v="66"/>
    <n v="0"/>
    <n v="1"/>
    <n v="3"/>
  </r>
  <r>
    <x v="6224"/>
    <n v="-3"/>
    <n v="66"/>
    <n v="63"/>
    <n v="17"/>
    <n v="25"/>
    <x v="28"/>
    <n v="21"/>
    <n v="1"/>
    <n v="58"/>
    <n v="0.1"/>
    <n v="0"/>
    <n v="0"/>
  </r>
  <r>
    <x v="6225"/>
    <n v="1"/>
    <n v="58"/>
    <n v="59"/>
    <n v="21"/>
    <n v="21"/>
    <x v="28"/>
    <n v="13"/>
    <n v="9"/>
    <n v="58"/>
    <n v="0.9"/>
    <n v="0"/>
    <n v="0"/>
  </r>
  <r>
    <x v="6226"/>
    <n v="9"/>
    <n v="58"/>
    <n v="67"/>
    <n v="13"/>
    <n v="20"/>
    <x v="9"/>
    <n v="26"/>
    <n v="3"/>
    <n v="51"/>
    <n v="0.30000000000000004"/>
    <n v="0"/>
    <n v="0"/>
  </r>
  <r>
    <x v="6227"/>
    <n v="3"/>
    <n v="51"/>
    <n v="54"/>
    <n v="26"/>
    <n v="17"/>
    <x v="4"/>
    <n v="23"/>
    <n v="-3"/>
    <n v="60"/>
    <n v="0"/>
    <n v="1"/>
    <n v="3"/>
  </r>
  <r>
    <x v="6228"/>
    <n v="-3"/>
    <n v="60"/>
    <n v="57"/>
    <n v="23"/>
    <n v="21"/>
    <x v="33"/>
    <n v="17"/>
    <n v="1"/>
    <n v="62"/>
    <n v="0.1"/>
    <n v="0"/>
    <n v="0"/>
  </r>
  <r>
    <x v="6229"/>
    <n v="1"/>
    <n v="62"/>
    <n v="63"/>
    <n v="17"/>
    <n v="13"/>
    <x v="7"/>
    <n v="19"/>
    <n v="-5"/>
    <n v="66"/>
    <n v="0"/>
    <n v="1"/>
    <n v="5"/>
  </r>
  <r>
    <x v="6230"/>
    <n v="-5"/>
    <n v="66"/>
    <n v="61"/>
    <n v="19"/>
    <n v="26"/>
    <x v="5"/>
    <n v="24"/>
    <n v="-3"/>
    <n v="59"/>
    <n v="0"/>
    <n v="1"/>
    <n v="3"/>
  </r>
  <r>
    <x v="6231"/>
    <n v="-3"/>
    <n v="59"/>
    <n v="56"/>
    <n v="24"/>
    <n v="23"/>
    <x v="4"/>
    <n v="26"/>
    <n v="-6"/>
    <n v="60"/>
    <n v="0"/>
    <n v="1"/>
    <n v="6"/>
  </r>
  <r>
    <x v="6232"/>
    <n v="-6"/>
    <n v="60"/>
    <n v="54"/>
    <n v="26"/>
    <n v="17"/>
    <x v="30"/>
    <n v="18"/>
    <n v="-7"/>
    <n v="69"/>
    <n v="0"/>
    <n v="1"/>
    <n v="7"/>
  </r>
  <r>
    <x v="6233"/>
    <n v="-7"/>
    <n v="69"/>
    <n v="62"/>
    <n v="18"/>
    <n v="19"/>
    <x v="17"/>
    <n v="20"/>
    <n v="-8"/>
    <n v="68"/>
    <n v="0"/>
    <n v="1"/>
    <n v="8"/>
  </r>
  <r>
    <x v="6234"/>
    <n v="-8"/>
    <n v="68"/>
    <n v="60"/>
    <n v="20"/>
    <n v="24"/>
    <x v="8"/>
    <n v="18"/>
    <n v="-2"/>
    <n v="64"/>
    <n v="0"/>
    <n v="1"/>
    <n v="2"/>
  </r>
  <r>
    <x v="6235"/>
    <n v="-2"/>
    <n v="64"/>
    <n v="62"/>
    <n v="18"/>
    <n v="26"/>
    <x v="32"/>
    <n v="22"/>
    <n v="2"/>
    <n v="56"/>
    <n v="0.2"/>
    <n v="0"/>
    <n v="0"/>
  </r>
  <r>
    <x v="6236"/>
    <n v="2"/>
    <n v="56"/>
    <n v="58"/>
    <n v="22"/>
    <n v="18"/>
    <x v="4"/>
    <n v="27"/>
    <n v="-7"/>
    <n v="60"/>
    <n v="0"/>
    <n v="1"/>
    <n v="7"/>
  </r>
  <r>
    <x v="6237"/>
    <n v="-7"/>
    <n v="60"/>
    <n v="53"/>
    <n v="27"/>
    <n v="20"/>
    <x v="21"/>
    <n v="15"/>
    <n v="-2"/>
    <n v="67"/>
    <n v="0"/>
    <n v="1"/>
    <n v="2"/>
  </r>
  <r>
    <x v="6238"/>
    <n v="-2"/>
    <n v="67"/>
    <n v="65"/>
    <n v="15"/>
    <n v="18"/>
    <x v="8"/>
    <n v="23"/>
    <n v="-7"/>
    <n v="64"/>
    <n v="0"/>
    <n v="1"/>
    <n v="7"/>
  </r>
  <r>
    <x v="6239"/>
    <n v="-7"/>
    <n v="64"/>
    <n v="57"/>
    <n v="23"/>
    <n v="22"/>
    <x v="26"/>
    <n v="22"/>
    <n v="-7"/>
    <n v="65"/>
    <n v="0"/>
    <n v="1"/>
    <n v="7"/>
  </r>
  <r>
    <x v="6240"/>
    <n v="-7"/>
    <n v="65"/>
    <n v="58"/>
    <n v="22"/>
    <n v="27"/>
    <x v="4"/>
    <n v="28"/>
    <n v="-8"/>
    <n v="60"/>
    <n v="0"/>
    <n v="1"/>
    <n v="8"/>
  </r>
  <r>
    <x v="6241"/>
    <n v="-8"/>
    <n v="60"/>
    <n v="52"/>
    <n v="28"/>
    <n v="15"/>
    <x v="31"/>
    <n v="16"/>
    <n v="-9"/>
    <n v="73"/>
    <n v="0"/>
    <n v="1"/>
    <n v="9"/>
  </r>
  <r>
    <x v="6242"/>
    <n v="-9"/>
    <n v="73"/>
    <n v="64"/>
    <n v="16"/>
    <n v="23"/>
    <x v="7"/>
    <n v="25"/>
    <n v="-11"/>
    <n v="66"/>
    <n v="0"/>
    <n v="1"/>
    <n v="11"/>
  </r>
  <r>
    <x v="6243"/>
    <n v="-11"/>
    <n v="66"/>
    <n v="55"/>
    <n v="25"/>
    <n v="22"/>
    <x v="30"/>
    <n v="12"/>
    <n v="-1"/>
    <n v="69"/>
    <n v="0"/>
    <n v="1"/>
    <n v="1"/>
  </r>
  <r>
    <x v="6244"/>
    <n v="-1"/>
    <n v="69"/>
    <n v="68"/>
    <n v="12"/>
    <n v="28"/>
    <x v="12"/>
    <n v="18"/>
    <n v="9"/>
    <n v="53"/>
    <n v="0.9"/>
    <n v="0"/>
    <n v="0"/>
  </r>
  <r>
    <x v="6245"/>
    <n v="9"/>
    <n v="53"/>
    <n v="62"/>
    <n v="18"/>
    <n v="16"/>
    <x v="27"/>
    <n v="17"/>
    <n v="8"/>
    <n v="55"/>
    <n v="0.8"/>
    <n v="0"/>
    <n v="0"/>
  </r>
  <r>
    <x v="6246"/>
    <n v="8"/>
    <n v="55"/>
    <n v="63"/>
    <n v="17"/>
    <n v="25"/>
    <x v="14"/>
    <n v="24"/>
    <n v="9"/>
    <n v="47"/>
    <n v="0.9"/>
    <n v="0"/>
    <n v="0"/>
  </r>
  <r>
    <x v="6247"/>
    <n v="9"/>
    <n v="47"/>
    <n v="56"/>
    <n v="24"/>
    <n v="12"/>
    <x v="5"/>
    <n v="14"/>
    <n v="7"/>
    <n v="59"/>
    <n v="0.70000000000000007"/>
    <n v="0"/>
    <n v="0"/>
  </r>
  <r>
    <x v="6248"/>
    <n v="7"/>
    <n v="59"/>
    <n v="66"/>
    <n v="14"/>
    <n v="18"/>
    <x v="27"/>
    <n v="17"/>
    <n v="8"/>
    <n v="55"/>
    <n v="0.8"/>
    <n v="0"/>
    <n v="0"/>
  </r>
  <r>
    <x v="6249"/>
    <n v="8"/>
    <n v="55"/>
    <n v="63"/>
    <n v="17"/>
    <n v="17"/>
    <x v="27"/>
    <n v="29"/>
    <n v="-4"/>
    <n v="55"/>
    <n v="0"/>
    <n v="1"/>
    <n v="4"/>
  </r>
  <r>
    <x v="6250"/>
    <n v="-4"/>
    <n v="55"/>
    <n v="51"/>
    <n v="29"/>
    <n v="24"/>
    <x v="4"/>
    <n v="14"/>
    <n v="6"/>
    <n v="60"/>
    <n v="0.60000000000000009"/>
    <n v="0"/>
    <n v="0"/>
  </r>
  <r>
    <x v="6251"/>
    <n v="6"/>
    <n v="60"/>
    <n v="66"/>
    <n v="14"/>
    <n v="14"/>
    <x v="4"/>
    <n v="21"/>
    <n v="-1"/>
    <n v="60"/>
    <n v="0"/>
    <n v="1"/>
    <n v="1"/>
  </r>
  <r>
    <x v="6252"/>
    <n v="-1"/>
    <n v="60"/>
    <n v="59"/>
    <n v="21"/>
    <n v="17"/>
    <x v="8"/>
    <n v="19"/>
    <n v="-3"/>
    <n v="64"/>
    <n v="0"/>
    <n v="1"/>
    <n v="3"/>
  </r>
  <r>
    <x v="6253"/>
    <n v="-3"/>
    <n v="64"/>
    <n v="61"/>
    <n v="19"/>
    <n v="29"/>
    <x v="16"/>
    <n v="19"/>
    <n v="7"/>
    <n v="54"/>
    <n v="0.70000000000000007"/>
    <n v="0"/>
    <n v="0"/>
  </r>
  <r>
    <x v="6254"/>
    <n v="7"/>
    <n v="54"/>
    <n v="61"/>
    <n v="19"/>
    <n v="14"/>
    <x v="5"/>
    <n v="21"/>
    <n v="0"/>
    <n v="59"/>
    <n v="0"/>
    <n v="0"/>
    <n v="0"/>
  </r>
  <r>
    <x v="6255"/>
    <n v="0"/>
    <n v="59"/>
    <n v="59"/>
    <n v="21"/>
    <n v="21"/>
    <x v="5"/>
    <n v="16"/>
    <n v="5"/>
    <n v="59"/>
    <n v="0.5"/>
    <n v="0"/>
    <n v="0"/>
  </r>
  <r>
    <x v="6256"/>
    <n v="5"/>
    <n v="59"/>
    <n v="64"/>
    <n v="16"/>
    <n v="19"/>
    <x v="32"/>
    <n v="14"/>
    <n v="10"/>
    <n v="56"/>
    <n v="1"/>
    <n v="0"/>
    <n v="0"/>
  </r>
  <r>
    <x v="6257"/>
    <n v="10"/>
    <n v="56"/>
    <n v="66"/>
    <n v="14"/>
    <n v="19"/>
    <x v="9"/>
    <n v="19"/>
    <n v="10"/>
    <n v="51"/>
    <n v="1"/>
    <n v="0"/>
    <n v="0"/>
  </r>
  <r>
    <x v="6258"/>
    <n v="10"/>
    <n v="51"/>
    <n v="61"/>
    <n v="19"/>
    <n v="21"/>
    <x v="10"/>
    <n v="27"/>
    <n v="4"/>
    <n v="49"/>
    <n v="0.4"/>
    <n v="0"/>
    <n v="0"/>
  </r>
  <r>
    <x v="6259"/>
    <n v="4"/>
    <n v="49"/>
    <n v="53"/>
    <n v="27"/>
    <n v="16"/>
    <x v="4"/>
    <n v="21"/>
    <n v="-1"/>
    <n v="60"/>
    <n v="0"/>
    <n v="1"/>
    <n v="1"/>
  </r>
  <r>
    <x v="6260"/>
    <n v="-1"/>
    <n v="60"/>
    <n v="59"/>
    <n v="21"/>
    <n v="14"/>
    <x v="21"/>
    <n v="15"/>
    <n v="-2"/>
    <n v="67"/>
    <n v="0"/>
    <n v="1"/>
    <n v="2"/>
  </r>
  <r>
    <x v="6261"/>
    <n v="-2"/>
    <n v="67"/>
    <n v="65"/>
    <n v="15"/>
    <n v="19"/>
    <x v="22"/>
    <n v="20"/>
    <n v="-3"/>
    <n v="63"/>
    <n v="0"/>
    <n v="1"/>
    <n v="3"/>
  </r>
  <r>
    <x v="6262"/>
    <n v="-3"/>
    <n v="63"/>
    <n v="60"/>
    <n v="20"/>
    <n v="27"/>
    <x v="32"/>
    <n v="21"/>
    <n v="3"/>
    <n v="56"/>
    <n v="0.30000000000000004"/>
    <n v="0"/>
    <n v="0"/>
  </r>
  <r>
    <x v="6263"/>
    <n v="3"/>
    <n v="56"/>
    <n v="59"/>
    <n v="21"/>
    <n v="21"/>
    <x v="32"/>
    <n v="22"/>
    <n v="2"/>
    <n v="56"/>
    <n v="0.2"/>
    <n v="0"/>
    <n v="0"/>
  </r>
  <r>
    <x v="6264"/>
    <n v="2"/>
    <n v="56"/>
    <n v="58"/>
    <n v="22"/>
    <n v="15"/>
    <x v="22"/>
    <n v="15"/>
    <n v="2"/>
    <n v="63"/>
    <n v="0.2"/>
    <n v="0"/>
    <n v="0"/>
  </r>
  <r>
    <x v="6265"/>
    <n v="2"/>
    <n v="63"/>
    <n v="65"/>
    <n v="15"/>
    <n v="20"/>
    <x v="28"/>
    <n v="18"/>
    <n v="4"/>
    <n v="58"/>
    <n v="0.4"/>
    <n v="0"/>
    <n v="0"/>
  </r>
  <r>
    <x v="6266"/>
    <n v="4"/>
    <n v="58"/>
    <n v="62"/>
    <n v="18"/>
    <n v="21"/>
    <x v="27"/>
    <n v="25"/>
    <n v="0"/>
    <n v="55"/>
    <n v="0"/>
    <n v="0"/>
    <n v="0"/>
  </r>
  <r>
    <x v="6267"/>
    <n v="0"/>
    <n v="55"/>
    <n v="55"/>
    <n v="25"/>
    <n v="22"/>
    <x v="28"/>
    <n v="24"/>
    <n v="-2"/>
    <n v="58"/>
    <n v="0"/>
    <n v="1"/>
    <n v="2"/>
  </r>
  <r>
    <x v="6268"/>
    <n v="-2"/>
    <n v="58"/>
    <n v="56"/>
    <n v="24"/>
    <n v="15"/>
    <x v="21"/>
    <n v="24"/>
    <n v="-11"/>
    <n v="67"/>
    <n v="0"/>
    <n v="1"/>
    <n v="11"/>
  </r>
  <r>
    <x v="6269"/>
    <n v="-11"/>
    <n v="67"/>
    <n v="56"/>
    <n v="24"/>
    <n v="18"/>
    <x v="31"/>
    <n v="13"/>
    <n v="-6"/>
    <n v="73"/>
    <n v="0"/>
    <n v="1"/>
    <n v="6"/>
  </r>
  <r>
    <x v="6270"/>
    <n v="-6"/>
    <n v="73"/>
    <n v="67"/>
    <n v="13"/>
    <n v="25"/>
    <x v="23"/>
    <n v="13"/>
    <n v="6"/>
    <n v="61"/>
    <n v="0.60000000000000009"/>
    <n v="0"/>
    <n v="0"/>
  </r>
  <r>
    <x v="6271"/>
    <n v="6"/>
    <n v="61"/>
    <n v="67"/>
    <n v="13"/>
    <n v="24"/>
    <x v="13"/>
    <n v="17"/>
    <n v="13"/>
    <n v="50"/>
    <n v="1.3"/>
    <n v="0"/>
    <n v="0"/>
  </r>
  <r>
    <x v="6272"/>
    <n v="13"/>
    <n v="50"/>
    <n v="63"/>
    <n v="17"/>
    <n v="24"/>
    <x v="51"/>
    <n v="22"/>
    <n v="15"/>
    <n v="43"/>
    <n v="1.5"/>
    <n v="0"/>
    <n v="0"/>
  </r>
  <r>
    <x v="6273"/>
    <n v="15"/>
    <n v="43"/>
    <n v="58"/>
    <n v="22"/>
    <n v="13"/>
    <x v="25"/>
    <n v="21"/>
    <n v="7"/>
    <n v="52"/>
    <n v="0.70000000000000007"/>
    <n v="0"/>
    <n v="0"/>
  </r>
  <r>
    <x v="6274"/>
    <n v="7"/>
    <n v="52"/>
    <n v="59"/>
    <n v="21"/>
    <n v="13"/>
    <x v="4"/>
    <n v="20"/>
    <n v="0"/>
    <n v="60"/>
    <n v="0"/>
    <n v="0"/>
    <n v="0"/>
  </r>
  <r>
    <x v="6275"/>
    <n v="0"/>
    <n v="60"/>
    <n v="60"/>
    <n v="20"/>
    <n v="17"/>
    <x v="22"/>
    <n v="25"/>
    <n v="-8"/>
    <n v="63"/>
    <n v="0"/>
    <n v="1"/>
    <n v="8"/>
  </r>
  <r>
    <x v="6276"/>
    <n v="-8"/>
    <n v="63"/>
    <n v="55"/>
    <n v="25"/>
    <n v="22"/>
    <x v="7"/>
    <n v="21"/>
    <n v="-7"/>
    <n v="66"/>
    <n v="0"/>
    <n v="1"/>
    <n v="7"/>
  </r>
  <r>
    <x v="6277"/>
    <n v="-7"/>
    <n v="66"/>
    <n v="59"/>
    <n v="21"/>
    <n v="21"/>
    <x v="7"/>
    <n v="18"/>
    <n v="-4"/>
    <n v="66"/>
    <n v="0"/>
    <n v="1"/>
    <n v="4"/>
  </r>
  <r>
    <x v="6278"/>
    <n v="-4"/>
    <n v="66"/>
    <n v="62"/>
    <n v="18"/>
    <n v="20"/>
    <x v="8"/>
    <n v="13"/>
    <n v="3"/>
    <n v="64"/>
    <n v="0.30000000000000004"/>
    <n v="0"/>
    <n v="0"/>
  </r>
  <r>
    <x v="6279"/>
    <n v="3"/>
    <n v="64"/>
    <n v="67"/>
    <n v="13"/>
    <n v="25"/>
    <x v="25"/>
    <n v="22"/>
    <n v="6"/>
    <n v="52"/>
    <n v="0.60000000000000009"/>
    <n v="0"/>
    <n v="0"/>
  </r>
  <r>
    <x v="6280"/>
    <n v="6"/>
    <n v="52"/>
    <n v="58"/>
    <n v="22"/>
    <n v="21"/>
    <x v="12"/>
    <n v="24"/>
    <n v="3"/>
    <n v="53"/>
    <n v="0.30000000000000004"/>
    <n v="0"/>
    <n v="0"/>
  </r>
  <r>
    <x v="6281"/>
    <n v="3"/>
    <n v="53"/>
    <n v="56"/>
    <n v="24"/>
    <n v="18"/>
    <x v="5"/>
    <n v="22"/>
    <n v="-1"/>
    <n v="59"/>
    <n v="0"/>
    <n v="1"/>
    <n v="1"/>
  </r>
  <r>
    <x v="6282"/>
    <n v="-1"/>
    <n v="59"/>
    <n v="58"/>
    <n v="22"/>
    <n v="13"/>
    <x v="17"/>
    <n v="24"/>
    <n v="-12"/>
    <n v="68"/>
    <n v="0"/>
    <n v="1"/>
    <n v="12"/>
  </r>
  <r>
    <x v="6283"/>
    <n v="-12"/>
    <n v="68"/>
    <n v="56"/>
    <n v="24"/>
    <n v="22"/>
    <x v="6"/>
    <n v="18"/>
    <n v="-8"/>
    <n v="70"/>
    <n v="0"/>
    <n v="1"/>
    <n v="8"/>
  </r>
  <r>
    <x v="6284"/>
    <n v="-8"/>
    <n v="70"/>
    <n v="62"/>
    <n v="18"/>
    <n v="24"/>
    <x v="8"/>
    <n v="22"/>
    <n v="-6"/>
    <n v="64"/>
    <n v="0"/>
    <n v="1"/>
    <n v="6"/>
  </r>
  <r>
    <x v="6285"/>
    <n v="-6"/>
    <n v="64"/>
    <n v="58"/>
    <n v="22"/>
    <n v="22"/>
    <x v="8"/>
    <n v="23"/>
    <n v="-7"/>
    <n v="64"/>
    <n v="0"/>
    <n v="1"/>
    <n v="7"/>
  </r>
  <r>
    <x v="6286"/>
    <n v="-7"/>
    <n v="64"/>
    <n v="57"/>
    <n v="23"/>
    <n v="24"/>
    <x v="22"/>
    <n v="13"/>
    <n v="4"/>
    <n v="63"/>
    <n v="0.4"/>
    <n v="0"/>
    <n v="0"/>
  </r>
  <r>
    <x v="6287"/>
    <n v="4"/>
    <n v="63"/>
    <n v="67"/>
    <n v="13"/>
    <n v="18"/>
    <x v="28"/>
    <n v="28"/>
    <n v="-6"/>
    <n v="58"/>
    <n v="0"/>
    <n v="1"/>
    <n v="6"/>
  </r>
  <r>
    <x v="6288"/>
    <n v="-6"/>
    <n v="58"/>
    <n v="52"/>
    <n v="28"/>
    <n v="22"/>
    <x v="8"/>
    <n v="19"/>
    <n v="-3"/>
    <n v="64"/>
    <n v="0"/>
    <n v="1"/>
    <n v="3"/>
  </r>
  <r>
    <x v="6289"/>
    <n v="-3"/>
    <n v="64"/>
    <n v="61"/>
    <n v="19"/>
    <n v="23"/>
    <x v="4"/>
    <n v="21"/>
    <n v="-1"/>
    <n v="60"/>
    <n v="0"/>
    <n v="1"/>
    <n v="1"/>
  </r>
  <r>
    <x v="6290"/>
    <n v="-1"/>
    <n v="60"/>
    <n v="59"/>
    <n v="21"/>
    <n v="13"/>
    <x v="17"/>
    <n v="21"/>
    <n v="-9"/>
    <n v="68"/>
    <n v="0"/>
    <n v="1"/>
    <n v="9"/>
  </r>
  <r>
    <x v="6291"/>
    <n v="-9"/>
    <n v="68"/>
    <n v="59"/>
    <n v="21"/>
    <n v="28"/>
    <x v="23"/>
    <n v="16"/>
    <n v="3"/>
    <n v="61"/>
    <n v="0.30000000000000004"/>
    <n v="0"/>
    <n v="0"/>
  </r>
  <r>
    <x v="6292"/>
    <n v="3"/>
    <n v="61"/>
    <n v="64"/>
    <n v="16"/>
    <n v="19"/>
    <x v="28"/>
    <n v="17"/>
    <n v="5"/>
    <n v="58"/>
    <n v="0.5"/>
    <n v="0"/>
    <n v="0"/>
  </r>
  <r>
    <x v="6293"/>
    <n v="5"/>
    <n v="58"/>
    <n v="63"/>
    <n v="17"/>
    <n v="21"/>
    <x v="16"/>
    <n v="20"/>
    <n v="6"/>
    <n v="54"/>
    <n v="0.60000000000000009"/>
    <n v="0"/>
    <n v="0"/>
  </r>
  <r>
    <x v="6294"/>
    <n v="6"/>
    <n v="54"/>
    <n v="60"/>
    <n v="20"/>
    <n v="21"/>
    <x v="12"/>
    <n v="21"/>
    <n v="6"/>
    <n v="53"/>
    <n v="0.60000000000000009"/>
    <n v="0"/>
    <n v="0"/>
  </r>
  <r>
    <x v="6295"/>
    <n v="6"/>
    <n v="53"/>
    <n v="59"/>
    <n v="21"/>
    <n v="16"/>
    <x v="28"/>
    <n v="14"/>
    <n v="8"/>
    <n v="58"/>
    <n v="0.8"/>
    <n v="0"/>
    <n v="0"/>
  </r>
  <r>
    <x v="6296"/>
    <n v="8"/>
    <n v="58"/>
    <n v="66"/>
    <n v="14"/>
    <n v="17"/>
    <x v="27"/>
    <n v="17"/>
    <n v="8"/>
    <n v="55"/>
    <n v="0.8"/>
    <n v="0"/>
    <n v="0"/>
  </r>
  <r>
    <x v="6297"/>
    <n v="8"/>
    <n v="55"/>
    <n v="63"/>
    <n v="17"/>
    <n v="20"/>
    <x v="25"/>
    <n v="22"/>
    <n v="6"/>
    <n v="52"/>
    <n v="0.60000000000000009"/>
    <n v="0"/>
    <n v="0"/>
  </r>
  <r>
    <x v="6298"/>
    <n v="6"/>
    <n v="52"/>
    <n v="58"/>
    <n v="22"/>
    <n v="21"/>
    <x v="12"/>
    <n v="21"/>
    <n v="6"/>
    <n v="53"/>
    <n v="0.60000000000000009"/>
    <n v="0"/>
    <n v="0"/>
  </r>
  <r>
    <x v="6299"/>
    <n v="6"/>
    <n v="53"/>
    <n v="59"/>
    <n v="21"/>
    <n v="14"/>
    <x v="4"/>
    <n v="24"/>
    <n v="-4"/>
    <n v="60"/>
    <n v="0"/>
    <n v="1"/>
    <n v="4"/>
  </r>
  <r>
    <x v="6300"/>
    <n v="-4"/>
    <n v="60"/>
    <n v="56"/>
    <n v="24"/>
    <n v="17"/>
    <x v="21"/>
    <n v="16"/>
    <n v="-3"/>
    <n v="67"/>
    <n v="0"/>
    <n v="1"/>
    <n v="3"/>
  </r>
  <r>
    <x v="6301"/>
    <n v="-3"/>
    <n v="67"/>
    <n v="64"/>
    <n v="16"/>
    <n v="22"/>
    <x v="23"/>
    <n v="16"/>
    <n v="3"/>
    <n v="61"/>
    <n v="0.30000000000000004"/>
    <n v="0"/>
    <n v="0"/>
  </r>
  <r>
    <x v="6302"/>
    <n v="3"/>
    <n v="61"/>
    <n v="64"/>
    <n v="16"/>
    <n v="21"/>
    <x v="32"/>
    <n v="21"/>
    <n v="3"/>
    <n v="56"/>
    <n v="0.30000000000000004"/>
    <n v="0"/>
    <n v="0"/>
  </r>
  <r>
    <x v="6303"/>
    <n v="3"/>
    <n v="56"/>
    <n v="59"/>
    <n v="21"/>
    <n v="24"/>
    <x v="12"/>
    <n v="19"/>
    <n v="8"/>
    <n v="53"/>
    <n v="0.8"/>
    <n v="0"/>
    <n v="0"/>
  </r>
  <r>
    <x v="6304"/>
    <n v="8"/>
    <n v="53"/>
    <n v="61"/>
    <n v="19"/>
    <n v="16"/>
    <x v="32"/>
    <n v="10"/>
    <n v="14"/>
    <n v="56"/>
    <n v="1.4000000000000001"/>
    <n v="0"/>
    <n v="0"/>
  </r>
  <r>
    <x v="6305"/>
    <n v="14"/>
    <n v="56"/>
    <n v="70"/>
    <n v="10"/>
    <n v="16"/>
    <x v="13"/>
    <n v="16"/>
    <n v="14"/>
    <n v="50"/>
    <n v="1.4000000000000001"/>
    <n v="0"/>
    <n v="0"/>
  </r>
  <r>
    <x v="6306"/>
    <n v="14"/>
    <n v="50"/>
    <n v="64"/>
    <n v="16"/>
    <n v="21"/>
    <x v="11"/>
    <n v="14"/>
    <n v="21"/>
    <n v="45"/>
    <n v="2.1"/>
    <n v="0"/>
    <n v="0"/>
  </r>
  <r>
    <x v="6307"/>
    <n v="21"/>
    <n v="45"/>
    <n v="66"/>
    <n v="14"/>
    <n v="19"/>
    <x v="46"/>
    <n v="29"/>
    <n v="11"/>
    <n v="40"/>
    <n v="1.1000000000000001"/>
    <n v="0"/>
    <n v="0"/>
  </r>
  <r>
    <x v="6308"/>
    <n v="11"/>
    <n v="40"/>
    <n v="51"/>
    <n v="29"/>
    <n v="10"/>
    <x v="5"/>
    <n v="17"/>
    <n v="4"/>
    <n v="59"/>
    <n v="0.4"/>
    <n v="0"/>
    <n v="0"/>
  </r>
  <r>
    <x v="6309"/>
    <n v="4"/>
    <n v="59"/>
    <n v="63"/>
    <n v="17"/>
    <n v="16"/>
    <x v="4"/>
    <n v="23"/>
    <n v="-3"/>
    <n v="60"/>
    <n v="0"/>
    <n v="1"/>
    <n v="3"/>
  </r>
  <r>
    <x v="6310"/>
    <n v="-3"/>
    <n v="60"/>
    <n v="57"/>
    <n v="23"/>
    <n v="14"/>
    <x v="30"/>
    <n v="21"/>
    <n v="-10"/>
    <n v="69"/>
    <n v="0"/>
    <n v="1"/>
    <n v="10"/>
  </r>
  <r>
    <x v="6311"/>
    <n v="-10"/>
    <n v="69"/>
    <n v="59"/>
    <n v="21"/>
    <n v="29"/>
    <x v="23"/>
    <n v="19"/>
    <n v="0"/>
    <n v="61"/>
    <n v="0"/>
    <n v="0"/>
    <n v="0"/>
  </r>
  <r>
    <x v="6312"/>
    <n v="0"/>
    <n v="61"/>
    <n v="61"/>
    <n v="19"/>
    <n v="17"/>
    <x v="22"/>
    <n v="25"/>
    <n v="-8"/>
    <n v="63"/>
    <n v="0"/>
    <n v="1"/>
    <n v="8"/>
  </r>
  <r>
    <x v="6313"/>
    <n v="-8"/>
    <n v="63"/>
    <n v="55"/>
    <n v="25"/>
    <n v="23"/>
    <x v="26"/>
    <n v="19"/>
    <n v="-4"/>
    <n v="65"/>
    <n v="0"/>
    <n v="1"/>
    <n v="4"/>
  </r>
  <r>
    <x v="6314"/>
    <n v="-4"/>
    <n v="65"/>
    <n v="61"/>
    <n v="19"/>
    <n v="21"/>
    <x v="22"/>
    <n v="24"/>
    <n v="-7"/>
    <n v="63"/>
    <n v="0"/>
    <n v="1"/>
    <n v="7"/>
  </r>
  <r>
    <x v="6315"/>
    <n v="-7"/>
    <n v="63"/>
    <n v="56"/>
    <n v="24"/>
    <n v="19"/>
    <x v="17"/>
    <n v="19"/>
    <n v="-7"/>
    <n v="68"/>
    <n v="0"/>
    <n v="1"/>
    <n v="7"/>
  </r>
  <r>
    <x v="6316"/>
    <n v="-7"/>
    <n v="68"/>
    <n v="61"/>
    <n v="19"/>
    <n v="25"/>
    <x v="33"/>
    <n v="34"/>
    <n v="-16"/>
    <n v="62"/>
    <n v="0"/>
    <n v="1"/>
    <n v="16"/>
  </r>
  <r>
    <x v="6317"/>
    <n v="-16"/>
    <n v="62"/>
    <n v="46"/>
    <n v="34"/>
    <n v="19"/>
    <x v="18"/>
    <n v="27"/>
    <n v="-24"/>
    <n v="77"/>
    <n v="0"/>
    <n v="1"/>
    <n v="24"/>
  </r>
  <r>
    <x v="6318"/>
    <n v="-24"/>
    <n v="77"/>
    <n v="53"/>
    <n v="27"/>
    <n v="24"/>
    <x v="0"/>
    <n v="21"/>
    <n v="-21"/>
    <n v="80"/>
    <n v="0"/>
    <n v="1"/>
    <n v="21"/>
  </r>
  <r>
    <x v="6319"/>
    <n v="-21"/>
    <n v="80"/>
    <n v="59"/>
    <n v="21"/>
    <n v="19"/>
    <x v="19"/>
    <n v="18"/>
    <n v="-20"/>
    <n v="82"/>
    <n v="0"/>
    <n v="1"/>
    <n v="18"/>
  </r>
  <r>
    <x v="6320"/>
    <n v="-20"/>
    <n v="82"/>
    <n v="62"/>
    <n v="18"/>
    <n v="34"/>
    <x v="7"/>
    <n v="24"/>
    <n v="-10"/>
    <n v="66"/>
    <n v="0"/>
    <n v="1"/>
    <n v="10"/>
  </r>
  <r>
    <x v="6321"/>
    <n v="-10"/>
    <n v="66"/>
    <n v="56"/>
    <n v="24"/>
    <n v="27"/>
    <x v="22"/>
    <n v="18"/>
    <n v="-1"/>
    <n v="63"/>
    <n v="0"/>
    <n v="1"/>
    <n v="1"/>
  </r>
  <r>
    <x v="6322"/>
    <n v="-1"/>
    <n v="63"/>
    <n v="62"/>
    <n v="18"/>
    <n v="21"/>
    <x v="4"/>
    <n v="16"/>
    <n v="4"/>
    <n v="60"/>
    <n v="0.4"/>
    <n v="0"/>
    <n v="0"/>
  </r>
  <r>
    <x v="6323"/>
    <n v="4"/>
    <n v="60"/>
    <n v="64"/>
    <n v="16"/>
    <n v="18"/>
    <x v="28"/>
    <n v="20"/>
    <n v="2"/>
    <n v="58"/>
    <n v="0.2"/>
    <n v="0"/>
    <n v="0"/>
  </r>
  <r>
    <x v="6324"/>
    <n v="2"/>
    <n v="58"/>
    <n v="60"/>
    <n v="20"/>
    <n v="24"/>
    <x v="16"/>
    <n v="13"/>
    <n v="13"/>
    <n v="54"/>
    <n v="1.3"/>
    <n v="0"/>
    <n v="0"/>
  </r>
  <r>
    <x v="6325"/>
    <n v="13"/>
    <n v="54"/>
    <n v="67"/>
    <n v="13"/>
    <n v="18"/>
    <x v="10"/>
    <n v="27"/>
    <n v="4"/>
    <n v="49"/>
    <n v="0.4"/>
    <n v="0"/>
    <n v="0"/>
  </r>
  <r>
    <x v="6326"/>
    <n v="4"/>
    <n v="49"/>
    <n v="53"/>
    <n v="27"/>
    <n v="16"/>
    <x v="4"/>
    <n v="22"/>
    <n v="-2"/>
    <n v="60"/>
    <n v="0"/>
    <n v="1"/>
    <n v="2"/>
  </r>
  <r>
    <x v="6327"/>
    <n v="-2"/>
    <n v="60"/>
    <n v="58"/>
    <n v="22"/>
    <n v="20"/>
    <x v="33"/>
    <n v="18"/>
    <n v="0"/>
    <n v="62"/>
    <n v="0"/>
    <n v="0"/>
    <n v="0"/>
  </r>
  <r>
    <x v="6328"/>
    <n v="0"/>
    <n v="62"/>
    <n v="62"/>
    <n v="18"/>
    <n v="13"/>
    <x v="21"/>
    <n v="15"/>
    <n v="-2"/>
    <n v="67"/>
    <n v="0"/>
    <n v="1"/>
    <n v="2"/>
  </r>
  <r>
    <x v="6329"/>
    <n v="-2"/>
    <n v="67"/>
    <n v="65"/>
    <n v="15"/>
    <n v="27"/>
    <x v="27"/>
    <n v="23"/>
    <n v="2"/>
    <n v="55"/>
    <n v="0.2"/>
    <n v="0"/>
    <n v="0"/>
  </r>
  <r>
    <x v="6330"/>
    <n v="2"/>
    <n v="55"/>
    <n v="57"/>
    <n v="23"/>
    <n v="22"/>
    <x v="32"/>
    <n v="20"/>
    <n v="4"/>
    <n v="56"/>
    <n v="0.4"/>
    <n v="0"/>
    <n v="0"/>
  </r>
  <r>
    <x v="6331"/>
    <n v="4"/>
    <n v="56"/>
    <n v="60"/>
    <n v="20"/>
    <n v="18"/>
    <x v="28"/>
    <n v="19"/>
    <n v="3"/>
    <n v="58"/>
    <n v="0.30000000000000004"/>
    <n v="0"/>
    <n v="0"/>
  </r>
  <r>
    <x v="6332"/>
    <n v="3"/>
    <n v="58"/>
    <n v="61"/>
    <n v="19"/>
    <n v="15"/>
    <x v="33"/>
    <n v="11"/>
    <n v="7"/>
    <n v="62"/>
    <n v="0.70000000000000007"/>
    <n v="0"/>
    <n v="0"/>
  </r>
  <r>
    <x v="6333"/>
    <n v="7"/>
    <n v="62"/>
    <n v="69"/>
    <n v="11"/>
    <n v="23"/>
    <x v="13"/>
    <n v="15"/>
    <n v="15"/>
    <n v="50"/>
    <n v="1.5"/>
    <n v="0"/>
    <n v="0"/>
  </r>
  <r>
    <x v="6334"/>
    <n v="15"/>
    <n v="50"/>
    <n v="65"/>
    <n v="15"/>
    <n v="20"/>
    <x v="11"/>
    <n v="15"/>
    <n v="20"/>
    <n v="45"/>
    <n v="2"/>
    <n v="0"/>
    <n v="0"/>
  </r>
  <r>
    <x v="6335"/>
    <n v="20"/>
    <n v="45"/>
    <n v="65"/>
    <n v="15"/>
    <n v="19"/>
    <x v="52"/>
    <n v="25"/>
    <n v="14"/>
    <n v="41"/>
    <n v="1.4000000000000001"/>
    <n v="0"/>
    <n v="0"/>
  </r>
  <r>
    <x v="6336"/>
    <n v="14"/>
    <n v="41"/>
    <n v="55"/>
    <n v="25"/>
    <n v="11"/>
    <x v="27"/>
    <n v="17"/>
    <n v="8"/>
    <n v="55"/>
    <n v="0.8"/>
    <n v="0"/>
    <n v="0"/>
  </r>
  <r>
    <x v="6337"/>
    <n v="8"/>
    <n v="55"/>
    <n v="63"/>
    <n v="17"/>
    <n v="15"/>
    <x v="24"/>
    <n v="13"/>
    <n v="10"/>
    <n v="57"/>
    <n v="1"/>
    <n v="0"/>
    <n v="0"/>
  </r>
  <r>
    <x v="6338"/>
    <n v="10"/>
    <n v="57"/>
    <n v="67"/>
    <n v="13"/>
    <n v="15"/>
    <x v="27"/>
    <n v="19"/>
    <n v="6"/>
    <n v="55"/>
    <n v="0.60000000000000009"/>
    <n v="0"/>
    <n v="0"/>
  </r>
  <r>
    <x v="6339"/>
    <n v="6"/>
    <n v="55"/>
    <n v="61"/>
    <n v="19"/>
    <n v="25"/>
    <x v="10"/>
    <n v="20"/>
    <n v="11"/>
    <n v="49"/>
    <n v="1.1000000000000001"/>
    <n v="0"/>
    <n v="0"/>
  </r>
  <r>
    <x v="6340"/>
    <n v="11"/>
    <n v="49"/>
    <n v="60"/>
    <n v="20"/>
    <n v="17"/>
    <x v="25"/>
    <n v="15"/>
    <n v="13"/>
    <n v="52"/>
    <n v="1.3"/>
    <n v="0"/>
    <n v="0"/>
  </r>
  <r>
    <x v="6341"/>
    <n v="13"/>
    <n v="52"/>
    <n v="65"/>
    <n v="15"/>
    <n v="13"/>
    <x v="16"/>
    <n v="19"/>
    <n v="7"/>
    <n v="54"/>
    <n v="0.70000000000000007"/>
    <n v="0"/>
    <n v="0"/>
  </r>
  <r>
    <x v="6342"/>
    <n v="7"/>
    <n v="54"/>
    <n v="61"/>
    <n v="19"/>
    <n v="19"/>
    <x v="16"/>
    <n v="26"/>
    <n v="0"/>
    <n v="54"/>
    <n v="0"/>
    <n v="0"/>
    <n v="0"/>
  </r>
  <r>
    <x v="6343"/>
    <n v="0"/>
    <n v="54"/>
    <n v="54"/>
    <n v="26"/>
    <n v="20"/>
    <x v="4"/>
    <n v="18"/>
    <n v="2"/>
    <n v="60"/>
    <n v="0.2"/>
    <n v="0"/>
    <n v="0"/>
  </r>
  <r>
    <x v="6344"/>
    <n v="2"/>
    <n v="60"/>
    <n v="62"/>
    <n v="18"/>
    <n v="15"/>
    <x v="22"/>
    <n v="20"/>
    <n v="-3"/>
    <n v="63"/>
    <n v="0"/>
    <n v="1"/>
    <n v="3"/>
  </r>
  <r>
    <x v="6345"/>
    <n v="-3"/>
    <n v="63"/>
    <n v="60"/>
    <n v="20"/>
    <n v="19"/>
    <x v="8"/>
    <n v="18"/>
    <n v="-2"/>
    <n v="64"/>
    <n v="0"/>
    <n v="1"/>
    <n v="2"/>
  </r>
  <r>
    <x v="6346"/>
    <n v="-2"/>
    <n v="64"/>
    <n v="62"/>
    <n v="18"/>
    <n v="26"/>
    <x v="32"/>
    <n v="24"/>
    <n v="0"/>
    <n v="56"/>
    <n v="0"/>
    <n v="0"/>
    <n v="0"/>
  </r>
  <r>
    <x v="6347"/>
    <n v="0"/>
    <n v="56"/>
    <n v="56"/>
    <n v="24"/>
    <n v="18"/>
    <x v="33"/>
    <n v="23"/>
    <n v="-5"/>
    <n v="62"/>
    <n v="0"/>
    <n v="1"/>
    <n v="5"/>
  </r>
  <r>
    <x v="6348"/>
    <n v="-5"/>
    <n v="62"/>
    <n v="57"/>
    <n v="23"/>
    <n v="20"/>
    <x v="26"/>
    <n v="19"/>
    <n v="-4"/>
    <n v="65"/>
    <n v="0"/>
    <n v="1"/>
    <n v="4"/>
  </r>
  <r>
    <x v="6349"/>
    <n v="-4"/>
    <n v="65"/>
    <n v="61"/>
    <n v="19"/>
    <n v="18"/>
    <x v="7"/>
    <n v="29"/>
    <n v="-15"/>
    <n v="66"/>
    <n v="0"/>
    <n v="1"/>
    <n v="15"/>
  </r>
  <r>
    <x v="6350"/>
    <n v="-15"/>
    <n v="66"/>
    <n v="51"/>
    <n v="29"/>
    <n v="24"/>
    <x v="20"/>
    <n v="19"/>
    <n v="-10"/>
    <n v="71"/>
    <n v="0"/>
    <n v="1"/>
    <n v="10"/>
  </r>
  <r>
    <x v="6351"/>
    <n v="-10"/>
    <n v="71"/>
    <n v="61"/>
    <n v="19"/>
    <n v="23"/>
    <x v="21"/>
    <n v="30"/>
    <n v="-17"/>
    <n v="67"/>
    <n v="0"/>
    <n v="1"/>
    <n v="17"/>
  </r>
  <r>
    <x v="6352"/>
    <n v="-17"/>
    <n v="67"/>
    <n v="50"/>
    <n v="30"/>
    <n v="19"/>
    <x v="35"/>
    <n v="23"/>
    <n v="-21"/>
    <n v="78"/>
    <n v="0"/>
    <n v="1"/>
    <n v="21"/>
  </r>
  <r>
    <x v="6353"/>
    <n v="-21"/>
    <n v="78"/>
    <n v="57"/>
    <n v="23"/>
    <n v="29"/>
    <x v="29"/>
    <n v="16"/>
    <n v="-8"/>
    <n v="72"/>
    <n v="0"/>
    <n v="1"/>
    <n v="8"/>
  </r>
  <r>
    <x v="6354"/>
    <n v="-8"/>
    <n v="72"/>
    <n v="64"/>
    <n v="16"/>
    <n v="19"/>
    <x v="30"/>
    <n v="18"/>
    <n v="-7"/>
    <n v="69"/>
    <n v="0"/>
    <n v="1"/>
    <n v="7"/>
  </r>
  <r>
    <x v="6355"/>
    <n v="-7"/>
    <n v="69"/>
    <n v="62"/>
    <n v="18"/>
    <n v="30"/>
    <x v="24"/>
    <n v="19"/>
    <n v="4"/>
    <n v="57"/>
    <n v="0.4"/>
    <n v="0"/>
    <n v="0"/>
  </r>
  <r>
    <x v="6356"/>
    <n v="4"/>
    <n v="57"/>
    <n v="61"/>
    <n v="19"/>
    <n v="23"/>
    <x v="12"/>
    <n v="23"/>
    <n v="4"/>
    <n v="53"/>
    <n v="0.4"/>
    <n v="0"/>
    <n v="0"/>
  </r>
  <r>
    <x v="6357"/>
    <n v="4"/>
    <n v="53"/>
    <n v="57"/>
    <n v="23"/>
    <n v="16"/>
    <x v="4"/>
    <n v="21"/>
    <n v="-1"/>
    <n v="60"/>
    <n v="0"/>
    <n v="1"/>
    <n v="1"/>
  </r>
  <r>
    <x v="6358"/>
    <n v="-1"/>
    <n v="60"/>
    <n v="59"/>
    <n v="21"/>
    <n v="18"/>
    <x v="22"/>
    <n v="20"/>
    <n v="-3"/>
    <n v="63"/>
    <n v="0"/>
    <n v="1"/>
    <n v="3"/>
  </r>
  <r>
    <x v="6359"/>
    <n v="-3"/>
    <n v="63"/>
    <n v="60"/>
    <n v="20"/>
    <n v="19"/>
    <x v="8"/>
    <n v="20"/>
    <n v="-4"/>
    <n v="64"/>
    <n v="0"/>
    <n v="1"/>
    <n v="4"/>
  </r>
  <r>
    <x v="6360"/>
    <n v="-4"/>
    <n v="64"/>
    <n v="60"/>
    <n v="20"/>
    <n v="23"/>
    <x v="23"/>
    <n v="19"/>
    <n v="0"/>
    <n v="61"/>
    <n v="0"/>
    <n v="0"/>
    <n v="0"/>
  </r>
  <r>
    <x v="6361"/>
    <n v="0"/>
    <n v="61"/>
    <n v="61"/>
    <n v="19"/>
    <n v="21"/>
    <x v="5"/>
    <n v="21"/>
    <n v="0"/>
    <n v="59"/>
    <n v="0"/>
    <n v="0"/>
    <n v="0"/>
  </r>
  <r>
    <x v="6362"/>
    <n v="0"/>
    <n v="59"/>
    <n v="59"/>
    <n v="21"/>
    <n v="20"/>
    <x v="4"/>
    <n v="14"/>
    <n v="6"/>
    <n v="60"/>
    <n v="0.60000000000000009"/>
    <n v="0"/>
    <n v="0"/>
  </r>
  <r>
    <x v="6363"/>
    <n v="6"/>
    <n v="60"/>
    <n v="66"/>
    <n v="14"/>
    <n v="20"/>
    <x v="16"/>
    <n v="32"/>
    <n v="-6"/>
    <n v="54"/>
    <n v="0"/>
    <n v="1"/>
    <n v="6"/>
  </r>
  <r>
    <x v="6364"/>
    <n v="-6"/>
    <n v="54"/>
    <n v="48"/>
    <n v="32"/>
    <n v="19"/>
    <x v="21"/>
    <n v="17"/>
    <n v="-4"/>
    <n v="67"/>
    <n v="0"/>
    <n v="1"/>
    <n v="4"/>
  </r>
  <r>
    <x v="6365"/>
    <n v="-4"/>
    <n v="67"/>
    <n v="63"/>
    <n v="17"/>
    <n v="21"/>
    <x v="22"/>
    <n v="24"/>
    <n v="-7"/>
    <n v="63"/>
    <n v="0"/>
    <n v="1"/>
    <n v="7"/>
  </r>
  <r>
    <x v="6366"/>
    <n v="-7"/>
    <n v="63"/>
    <n v="56"/>
    <n v="24"/>
    <n v="14"/>
    <x v="31"/>
    <n v="20"/>
    <n v="-13"/>
    <n v="73"/>
    <n v="0"/>
    <n v="1"/>
    <n v="13"/>
  </r>
  <r>
    <x v="6367"/>
    <n v="-13"/>
    <n v="73"/>
    <n v="60"/>
    <n v="20"/>
    <n v="32"/>
    <x v="23"/>
    <n v="21"/>
    <n v="-2"/>
    <n v="61"/>
    <n v="0"/>
    <n v="1"/>
    <n v="2"/>
  </r>
  <r>
    <x v="6368"/>
    <n v="-2"/>
    <n v="61"/>
    <n v="59"/>
    <n v="21"/>
    <n v="17"/>
    <x v="26"/>
    <n v="25"/>
    <n v="-10"/>
    <n v="65"/>
    <n v="0"/>
    <n v="1"/>
    <n v="10"/>
  </r>
  <r>
    <x v="6369"/>
    <n v="-10"/>
    <n v="65"/>
    <n v="55"/>
    <n v="25"/>
    <n v="24"/>
    <x v="7"/>
    <n v="19"/>
    <n v="-5"/>
    <n v="66"/>
    <n v="0"/>
    <n v="1"/>
    <n v="5"/>
  </r>
  <r>
    <x v="6370"/>
    <n v="-5"/>
    <n v="66"/>
    <n v="61"/>
    <n v="19"/>
    <n v="20"/>
    <x v="26"/>
    <n v="20"/>
    <n v="-5"/>
    <n v="65"/>
    <n v="0"/>
    <n v="1"/>
    <n v="5"/>
  </r>
  <r>
    <x v="6371"/>
    <n v="-5"/>
    <n v="65"/>
    <n v="60"/>
    <n v="20"/>
    <n v="21"/>
    <x v="8"/>
    <n v="26"/>
    <n v="-10"/>
    <n v="64"/>
    <n v="0"/>
    <n v="1"/>
    <n v="10"/>
  </r>
  <r>
    <x v="6372"/>
    <n v="-10"/>
    <n v="64"/>
    <n v="54"/>
    <n v="26"/>
    <n v="25"/>
    <x v="26"/>
    <n v="21"/>
    <n v="-6"/>
    <n v="65"/>
    <n v="0"/>
    <n v="1"/>
    <n v="6"/>
  </r>
  <r>
    <x v="6373"/>
    <n v="-6"/>
    <n v="65"/>
    <n v="59"/>
    <n v="21"/>
    <n v="19"/>
    <x v="21"/>
    <n v="19"/>
    <n v="-6"/>
    <n v="67"/>
    <n v="0"/>
    <n v="1"/>
    <n v="6"/>
  </r>
  <r>
    <x v="6374"/>
    <n v="-6"/>
    <n v="67"/>
    <n v="61"/>
    <n v="19"/>
    <n v="20"/>
    <x v="7"/>
    <n v="22"/>
    <n v="-8"/>
    <n v="66"/>
    <n v="0"/>
    <n v="1"/>
    <n v="8"/>
  </r>
  <r>
    <x v="6375"/>
    <n v="-8"/>
    <n v="66"/>
    <n v="58"/>
    <n v="22"/>
    <n v="26"/>
    <x v="33"/>
    <n v="24"/>
    <n v="-6"/>
    <n v="62"/>
    <n v="0"/>
    <n v="1"/>
    <n v="6"/>
  </r>
  <r>
    <x v="6376"/>
    <n v="-6"/>
    <n v="62"/>
    <n v="56"/>
    <n v="24"/>
    <n v="21"/>
    <x v="26"/>
    <n v="15"/>
    <n v="0"/>
    <n v="65"/>
    <n v="0"/>
    <n v="0"/>
    <n v="0"/>
  </r>
  <r>
    <x v="6377"/>
    <n v="0"/>
    <n v="65"/>
    <n v="65"/>
    <n v="15"/>
    <n v="19"/>
    <x v="23"/>
    <n v="17"/>
    <n v="2"/>
    <n v="61"/>
    <n v="0.2"/>
    <n v="0"/>
    <n v="0"/>
  </r>
  <r>
    <x v="6378"/>
    <n v="2"/>
    <n v="61"/>
    <n v="63"/>
    <n v="17"/>
    <n v="22"/>
    <x v="32"/>
    <n v="14"/>
    <n v="10"/>
    <n v="56"/>
    <n v="1"/>
    <n v="0"/>
    <n v="0"/>
  </r>
  <r>
    <x v="6379"/>
    <n v="10"/>
    <n v="56"/>
    <n v="66"/>
    <n v="14"/>
    <n v="24"/>
    <x v="38"/>
    <n v="22"/>
    <n v="12"/>
    <n v="46"/>
    <n v="1.2000000000000002"/>
    <n v="0"/>
    <n v="0"/>
  </r>
  <r>
    <x v="6380"/>
    <n v="12"/>
    <n v="46"/>
    <n v="58"/>
    <n v="22"/>
    <n v="15"/>
    <x v="12"/>
    <n v="12"/>
    <n v="15"/>
    <n v="53"/>
    <n v="1.5"/>
    <n v="0"/>
    <n v="0"/>
  </r>
  <r>
    <x v="6381"/>
    <n v="15"/>
    <n v="53"/>
    <n v="68"/>
    <n v="12"/>
    <n v="17"/>
    <x v="15"/>
    <n v="25"/>
    <n v="7"/>
    <n v="48"/>
    <n v="0.70000000000000007"/>
    <n v="0"/>
    <n v="0"/>
  </r>
  <r>
    <x v="6382"/>
    <n v="7"/>
    <n v="48"/>
    <n v="55"/>
    <n v="25"/>
    <n v="14"/>
    <x v="5"/>
    <n v="17"/>
    <n v="4"/>
    <n v="59"/>
    <n v="0.4"/>
    <n v="0"/>
    <n v="0"/>
  </r>
  <r>
    <x v="6383"/>
    <n v="4"/>
    <n v="59"/>
    <n v="63"/>
    <n v="17"/>
    <n v="22"/>
    <x v="16"/>
    <n v="25"/>
    <n v="1"/>
    <n v="54"/>
    <n v="0.1"/>
    <n v="0"/>
    <n v="0"/>
  </r>
  <r>
    <x v="6384"/>
    <n v="1"/>
    <n v="54"/>
    <n v="55"/>
    <n v="25"/>
    <n v="12"/>
    <x v="21"/>
    <n v="16"/>
    <n v="-3"/>
    <n v="67"/>
    <n v="0"/>
    <n v="1"/>
    <n v="3"/>
  </r>
  <r>
    <x v="6385"/>
    <n v="-3"/>
    <n v="67"/>
    <n v="64"/>
    <n v="16"/>
    <n v="25"/>
    <x v="28"/>
    <n v="21"/>
    <n v="1"/>
    <n v="58"/>
    <n v="0.1"/>
    <n v="0"/>
    <n v="0"/>
  </r>
  <r>
    <x v="6386"/>
    <n v="1"/>
    <n v="58"/>
    <n v="59"/>
    <n v="21"/>
    <n v="17"/>
    <x v="33"/>
    <n v="15"/>
    <n v="3"/>
    <n v="62"/>
    <n v="0.30000000000000004"/>
    <n v="0"/>
    <n v="0"/>
  </r>
  <r>
    <x v="6387"/>
    <n v="3"/>
    <n v="62"/>
    <n v="65"/>
    <n v="15"/>
    <n v="25"/>
    <x v="25"/>
    <n v="22"/>
    <n v="6"/>
    <n v="52"/>
    <n v="0.60000000000000009"/>
    <n v="0"/>
    <n v="0"/>
  </r>
  <r>
    <x v="6388"/>
    <n v="6"/>
    <n v="52"/>
    <n v="58"/>
    <n v="22"/>
    <n v="16"/>
    <x v="28"/>
    <n v="20"/>
    <n v="2"/>
    <n v="58"/>
    <n v="0.2"/>
    <n v="0"/>
    <n v="0"/>
  </r>
  <r>
    <x v="6389"/>
    <n v="2"/>
    <n v="58"/>
    <n v="60"/>
    <n v="20"/>
    <n v="21"/>
    <x v="24"/>
    <n v="20"/>
    <n v="3"/>
    <n v="57"/>
    <n v="0.30000000000000004"/>
    <n v="0"/>
    <n v="0"/>
  </r>
  <r>
    <x v="6390"/>
    <n v="3"/>
    <n v="57"/>
    <n v="60"/>
    <n v="20"/>
    <n v="15"/>
    <x v="33"/>
    <n v="23"/>
    <n v="-5"/>
    <n v="62"/>
    <n v="0"/>
    <n v="1"/>
    <n v="5"/>
  </r>
  <r>
    <x v="6391"/>
    <n v="-5"/>
    <n v="62"/>
    <n v="57"/>
    <n v="23"/>
    <n v="22"/>
    <x v="22"/>
    <n v="19"/>
    <n v="-2"/>
    <n v="63"/>
    <n v="0"/>
    <n v="1"/>
    <n v="2"/>
  </r>
  <r>
    <x v="6392"/>
    <n v="-2"/>
    <n v="63"/>
    <n v="61"/>
    <n v="19"/>
    <n v="20"/>
    <x v="33"/>
    <n v="20"/>
    <n v="-2"/>
    <n v="62"/>
    <n v="0"/>
    <n v="1"/>
    <n v="2"/>
  </r>
  <r>
    <x v="6393"/>
    <n v="-2"/>
    <n v="62"/>
    <n v="60"/>
    <n v="20"/>
    <n v="20"/>
    <x v="33"/>
    <n v="25"/>
    <n v="-7"/>
    <n v="62"/>
    <n v="0"/>
    <n v="1"/>
    <n v="7"/>
  </r>
  <r>
    <x v="6394"/>
    <n v="-7"/>
    <n v="62"/>
    <n v="55"/>
    <n v="25"/>
    <n v="23"/>
    <x v="8"/>
    <n v="21"/>
    <n v="-5"/>
    <n v="64"/>
    <n v="0"/>
    <n v="1"/>
    <n v="5"/>
  </r>
  <r>
    <x v="6395"/>
    <n v="-5"/>
    <n v="64"/>
    <n v="59"/>
    <n v="21"/>
    <n v="19"/>
    <x v="7"/>
    <n v="20"/>
    <n v="-6"/>
    <n v="66"/>
    <n v="0"/>
    <n v="1"/>
    <n v="6"/>
  </r>
  <r>
    <x v="6396"/>
    <n v="-6"/>
    <n v="66"/>
    <n v="60"/>
    <n v="20"/>
    <n v="20"/>
    <x v="7"/>
    <n v="26"/>
    <n v="-12"/>
    <n v="66"/>
    <n v="0"/>
    <n v="1"/>
    <n v="12"/>
  </r>
  <r>
    <x v="6397"/>
    <n v="-12"/>
    <n v="66"/>
    <n v="54"/>
    <n v="26"/>
    <n v="25"/>
    <x v="21"/>
    <n v="24"/>
    <n v="-11"/>
    <n v="67"/>
    <n v="0"/>
    <n v="1"/>
    <n v="11"/>
  </r>
  <r>
    <x v="6398"/>
    <n v="-11"/>
    <n v="67"/>
    <n v="56"/>
    <n v="24"/>
    <n v="21"/>
    <x v="6"/>
    <n v="20"/>
    <n v="-10"/>
    <n v="70"/>
    <n v="0"/>
    <n v="1"/>
    <n v="10"/>
  </r>
  <r>
    <x v="6399"/>
    <n v="-10"/>
    <n v="70"/>
    <n v="60"/>
    <n v="20"/>
    <n v="20"/>
    <x v="6"/>
    <n v="22"/>
    <n v="-12"/>
    <n v="70"/>
    <n v="0"/>
    <n v="1"/>
    <n v="12"/>
  </r>
  <r>
    <x v="6400"/>
    <n v="-12"/>
    <n v="70"/>
    <n v="58"/>
    <n v="22"/>
    <n v="26"/>
    <x v="7"/>
    <n v="15"/>
    <n v="-1"/>
    <n v="66"/>
    <n v="0"/>
    <n v="1"/>
    <n v="1"/>
  </r>
  <r>
    <x v="6401"/>
    <n v="-1"/>
    <n v="66"/>
    <n v="65"/>
    <n v="15"/>
    <n v="24"/>
    <x v="24"/>
    <n v="19"/>
    <n v="4"/>
    <n v="57"/>
    <n v="0.4"/>
    <n v="0"/>
    <n v="0"/>
  </r>
  <r>
    <x v="6402"/>
    <n v="4"/>
    <n v="57"/>
    <n v="61"/>
    <n v="19"/>
    <n v="20"/>
    <x v="32"/>
    <n v="23"/>
    <n v="1"/>
    <n v="56"/>
    <n v="0.1"/>
    <n v="0"/>
    <n v="0"/>
  </r>
  <r>
    <x v="6403"/>
    <n v="1"/>
    <n v="56"/>
    <n v="57"/>
    <n v="23"/>
    <n v="22"/>
    <x v="24"/>
    <n v="15"/>
    <n v="8"/>
    <n v="57"/>
    <n v="0.8"/>
    <n v="0"/>
    <n v="0"/>
  </r>
  <r>
    <x v="6404"/>
    <n v="8"/>
    <n v="57"/>
    <n v="65"/>
    <n v="15"/>
    <n v="15"/>
    <x v="24"/>
    <n v="16"/>
    <n v="7"/>
    <n v="57"/>
    <n v="0.70000000000000007"/>
    <n v="0"/>
    <n v="0"/>
  </r>
  <r>
    <x v="6405"/>
    <n v="7"/>
    <n v="57"/>
    <n v="64"/>
    <n v="16"/>
    <n v="19"/>
    <x v="16"/>
    <n v="20"/>
    <n v="6"/>
    <n v="54"/>
    <n v="0.60000000000000009"/>
    <n v="0"/>
    <n v="0"/>
  </r>
  <r>
    <x v="6406"/>
    <n v="6"/>
    <n v="54"/>
    <n v="60"/>
    <n v="20"/>
    <n v="23"/>
    <x v="9"/>
    <n v="19"/>
    <n v="10"/>
    <n v="51"/>
    <n v="1"/>
    <n v="0"/>
    <n v="0"/>
  </r>
  <r>
    <x v="6407"/>
    <n v="10"/>
    <n v="51"/>
    <n v="61"/>
    <n v="19"/>
    <n v="15"/>
    <x v="27"/>
    <n v="28"/>
    <n v="-3"/>
    <n v="55"/>
    <n v="0"/>
    <n v="1"/>
    <n v="3"/>
  </r>
  <r>
    <x v="6408"/>
    <n v="-3"/>
    <n v="55"/>
    <n v="52"/>
    <n v="28"/>
    <n v="16"/>
    <x v="21"/>
    <n v="22"/>
    <n v="-9"/>
    <n v="67"/>
    <n v="0"/>
    <n v="1"/>
    <n v="9"/>
  </r>
  <r>
    <x v="6409"/>
    <n v="-9"/>
    <n v="67"/>
    <n v="58"/>
    <n v="22"/>
    <n v="20"/>
    <x v="30"/>
    <n v="15"/>
    <n v="-4"/>
    <n v="69"/>
    <n v="0"/>
    <n v="1"/>
    <n v="4"/>
  </r>
  <r>
    <x v="6410"/>
    <n v="-4"/>
    <n v="69"/>
    <n v="65"/>
    <n v="15"/>
    <n v="19"/>
    <x v="26"/>
    <n v="19"/>
    <n v="-4"/>
    <n v="65"/>
    <n v="0"/>
    <n v="1"/>
    <n v="4"/>
  </r>
  <r>
    <x v="6411"/>
    <n v="-4"/>
    <n v="65"/>
    <n v="61"/>
    <n v="19"/>
    <n v="28"/>
    <x v="32"/>
    <n v="21"/>
    <n v="3"/>
    <n v="56"/>
    <n v="0.30000000000000004"/>
    <n v="0"/>
    <n v="0"/>
  </r>
  <r>
    <x v="6412"/>
    <n v="3"/>
    <n v="56"/>
    <n v="59"/>
    <n v="21"/>
    <n v="22"/>
    <x v="27"/>
    <n v="19"/>
    <n v="6"/>
    <n v="55"/>
    <n v="0.60000000000000009"/>
    <n v="0"/>
    <n v="0"/>
  </r>
  <r>
    <x v="6413"/>
    <n v="6"/>
    <n v="55"/>
    <n v="61"/>
    <n v="19"/>
    <n v="15"/>
    <x v="5"/>
    <n v="20"/>
    <n v="1"/>
    <n v="59"/>
    <n v="0.1"/>
    <n v="0"/>
    <n v="0"/>
  </r>
  <r>
    <x v="6414"/>
    <n v="1"/>
    <n v="59"/>
    <n v="60"/>
    <n v="20"/>
    <n v="19"/>
    <x v="4"/>
    <n v="12"/>
    <n v="8"/>
    <n v="60"/>
    <n v="0.8"/>
    <n v="0"/>
    <n v="0"/>
  </r>
  <r>
    <x v="6415"/>
    <n v="8"/>
    <n v="60"/>
    <n v="68"/>
    <n v="12"/>
    <n v="21"/>
    <x v="9"/>
    <n v="25"/>
    <n v="4"/>
    <n v="51"/>
    <n v="0.4"/>
    <n v="0"/>
    <n v="0"/>
  </r>
  <r>
    <x v="6416"/>
    <n v="4"/>
    <n v="51"/>
    <n v="55"/>
    <n v="25"/>
    <n v="19"/>
    <x v="24"/>
    <n v="16"/>
    <n v="7"/>
    <n v="57"/>
    <n v="0.70000000000000007"/>
    <n v="0"/>
    <n v="0"/>
  </r>
  <r>
    <x v="6417"/>
    <n v="7"/>
    <n v="57"/>
    <n v="64"/>
    <n v="16"/>
    <n v="20"/>
    <x v="12"/>
    <n v="17"/>
    <n v="10"/>
    <n v="53"/>
    <n v="1"/>
    <n v="0"/>
    <n v="0"/>
  </r>
  <r>
    <x v="6418"/>
    <n v="10"/>
    <n v="53"/>
    <n v="63"/>
    <n v="17"/>
    <n v="12"/>
    <x v="28"/>
    <n v="18"/>
    <n v="4"/>
    <n v="58"/>
    <n v="0.4"/>
    <n v="0"/>
    <n v="0"/>
  </r>
  <r>
    <x v="6419"/>
    <n v="4"/>
    <n v="58"/>
    <n v="62"/>
    <n v="18"/>
    <n v="25"/>
    <x v="9"/>
    <n v="21"/>
    <n v="8"/>
    <n v="51"/>
    <n v="0.8"/>
    <n v="0"/>
    <n v="0"/>
  </r>
  <r>
    <x v="6420"/>
    <n v="8"/>
    <n v="51"/>
    <n v="59"/>
    <n v="21"/>
    <n v="16"/>
    <x v="32"/>
    <n v="27"/>
    <n v="-3"/>
    <n v="56"/>
    <n v="0"/>
    <n v="1"/>
    <n v="3"/>
  </r>
  <r>
    <x v="6421"/>
    <n v="-3"/>
    <n v="56"/>
    <n v="53"/>
    <n v="27"/>
    <n v="17"/>
    <x v="7"/>
    <n v="24"/>
    <n v="-10"/>
    <n v="66"/>
    <n v="0"/>
    <n v="1"/>
    <n v="10"/>
  </r>
  <r>
    <x v="6422"/>
    <n v="-10"/>
    <n v="66"/>
    <n v="56"/>
    <n v="24"/>
    <n v="18"/>
    <x v="29"/>
    <n v="21"/>
    <n v="-13"/>
    <n v="72"/>
    <n v="0"/>
    <n v="1"/>
    <n v="13"/>
  </r>
  <r>
    <x v="6423"/>
    <n v="-13"/>
    <n v="72"/>
    <n v="59"/>
    <n v="21"/>
    <n v="21"/>
    <x v="29"/>
    <n v="22"/>
    <n v="-14"/>
    <n v="72"/>
    <n v="0"/>
    <n v="1"/>
    <n v="14"/>
  </r>
  <r>
    <x v="6424"/>
    <n v="-14"/>
    <n v="72"/>
    <n v="58"/>
    <n v="22"/>
    <n v="27"/>
    <x v="21"/>
    <n v="13"/>
    <n v="0"/>
    <n v="67"/>
    <n v="0"/>
    <n v="0"/>
    <n v="0"/>
  </r>
  <r>
    <x v="6425"/>
    <n v="0"/>
    <n v="67"/>
    <n v="67"/>
    <n v="13"/>
    <n v="24"/>
    <x v="32"/>
    <n v="20"/>
    <n v="4"/>
    <n v="56"/>
    <n v="0.4"/>
    <n v="0"/>
    <n v="0"/>
  </r>
  <r>
    <x v="6426"/>
    <n v="4"/>
    <n v="56"/>
    <n v="60"/>
    <n v="20"/>
    <n v="21"/>
    <x v="27"/>
    <n v="24"/>
    <n v="1"/>
    <n v="55"/>
    <n v="0.1"/>
    <n v="0"/>
    <n v="0"/>
  </r>
  <r>
    <x v="6427"/>
    <n v="1"/>
    <n v="55"/>
    <n v="56"/>
    <n v="24"/>
    <n v="22"/>
    <x v="24"/>
    <n v="24"/>
    <n v="-1"/>
    <n v="57"/>
    <n v="0"/>
    <n v="1"/>
    <n v="1"/>
  </r>
  <r>
    <x v="6428"/>
    <n v="-1"/>
    <n v="57"/>
    <n v="56"/>
    <n v="24"/>
    <n v="13"/>
    <x v="17"/>
    <n v="20"/>
    <n v="-8"/>
    <n v="68"/>
    <n v="0"/>
    <n v="1"/>
    <n v="8"/>
  </r>
  <r>
    <x v="6429"/>
    <n v="-8"/>
    <n v="68"/>
    <n v="60"/>
    <n v="20"/>
    <n v="20"/>
    <x v="17"/>
    <n v="17"/>
    <n v="-5"/>
    <n v="68"/>
    <n v="0"/>
    <n v="1"/>
    <n v="5"/>
  </r>
  <r>
    <x v="6430"/>
    <n v="-5"/>
    <n v="68"/>
    <n v="63"/>
    <n v="17"/>
    <n v="24"/>
    <x v="23"/>
    <n v="19"/>
    <n v="0"/>
    <n v="61"/>
    <n v="0"/>
    <n v="0"/>
    <n v="0"/>
  </r>
  <r>
    <x v="6431"/>
    <n v="0"/>
    <n v="61"/>
    <n v="61"/>
    <n v="19"/>
    <n v="24"/>
    <x v="32"/>
    <n v="21"/>
    <n v="3"/>
    <n v="56"/>
    <n v="0.30000000000000004"/>
    <n v="0"/>
    <n v="0"/>
  </r>
  <r>
    <x v="6432"/>
    <n v="3"/>
    <n v="56"/>
    <n v="59"/>
    <n v="21"/>
    <n v="20"/>
    <x v="24"/>
    <n v="19"/>
    <n v="4"/>
    <n v="57"/>
    <n v="0.4"/>
    <n v="0"/>
    <n v="0"/>
  </r>
  <r>
    <x v="6433"/>
    <n v="4"/>
    <n v="57"/>
    <n v="61"/>
    <n v="19"/>
    <n v="17"/>
    <x v="5"/>
    <n v="21"/>
    <n v="0"/>
    <n v="59"/>
    <n v="0"/>
    <n v="0"/>
    <n v="0"/>
  </r>
  <r>
    <x v="6434"/>
    <n v="0"/>
    <n v="59"/>
    <n v="59"/>
    <n v="21"/>
    <n v="19"/>
    <x v="23"/>
    <n v="16"/>
    <n v="3"/>
    <n v="61"/>
    <n v="0.30000000000000004"/>
    <n v="0"/>
    <n v="0"/>
  </r>
  <r>
    <x v="6435"/>
    <n v="3"/>
    <n v="61"/>
    <n v="64"/>
    <n v="16"/>
    <n v="21"/>
    <x v="32"/>
    <n v="25"/>
    <n v="-1"/>
    <n v="56"/>
    <n v="0"/>
    <n v="1"/>
    <n v="1"/>
  </r>
  <r>
    <x v="6436"/>
    <n v="-1"/>
    <n v="56"/>
    <n v="55"/>
    <n v="25"/>
    <n v="19"/>
    <x v="33"/>
    <n v="18"/>
    <n v="0"/>
    <n v="62"/>
    <n v="0"/>
    <n v="0"/>
    <n v="0"/>
  </r>
  <r>
    <x v="6437"/>
    <n v="0"/>
    <n v="62"/>
    <n v="62"/>
    <n v="18"/>
    <n v="21"/>
    <x v="5"/>
    <n v="24"/>
    <n v="-3"/>
    <n v="59"/>
    <n v="0"/>
    <n v="1"/>
    <n v="3"/>
  </r>
  <r>
    <x v="6438"/>
    <n v="-3"/>
    <n v="59"/>
    <n v="56"/>
    <n v="24"/>
    <n v="16"/>
    <x v="21"/>
    <n v="18"/>
    <n v="-5"/>
    <n v="67"/>
    <n v="0"/>
    <n v="1"/>
    <n v="5"/>
  </r>
  <r>
    <x v="6439"/>
    <n v="-5"/>
    <n v="67"/>
    <n v="62"/>
    <n v="18"/>
    <n v="25"/>
    <x v="4"/>
    <n v="13"/>
    <n v="7"/>
    <n v="60"/>
    <n v="0.70000000000000007"/>
    <n v="0"/>
    <n v="0"/>
  </r>
  <r>
    <x v="6440"/>
    <n v="7"/>
    <n v="60"/>
    <n v="67"/>
    <n v="13"/>
    <n v="18"/>
    <x v="27"/>
    <n v="22"/>
    <n v="3"/>
    <n v="55"/>
    <n v="0.30000000000000004"/>
    <n v="0"/>
    <n v="0"/>
  </r>
  <r>
    <x v="6441"/>
    <n v="3"/>
    <n v="55"/>
    <n v="58"/>
    <n v="22"/>
    <n v="24"/>
    <x v="12"/>
    <n v="13"/>
    <n v="14"/>
    <n v="53"/>
    <n v="1.4000000000000001"/>
    <n v="0"/>
    <n v="0"/>
  </r>
  <r>
    <x v="6442"/>
    <n v="14"/>
    <n v="53"/>
    <n v="67"/>
    <n v="13"/>
    <n v="18"/>
    <x v="15"/>
    <n v="21"/>
    <n v="11"/>
    <n v="48"/>
    <n v="1.1000000000000001"/>
    <n v="0"/>
    <n v="0"/>
  </r>
  <r>
    <x v="6443"/>
    <n v="11"/>
    <n v="48"/>
    <n v="59"/>
    <n v="21"/>
    <n v="13"/>
    <x v="32"/>
    <n v="16"/>
    <n v="8"/>
    <n v="56"/>
    <n v="0.8"/>
    <n v="0"/>
    <n v="0"/>
  </r>
  <r>
    <x v="6444"/>
    <n v="8"/>
    <n v="56"/>
    <n v="64"/>
    <n v="16"/>
    <n v="22"/>
    <x v="13"/>
    <n v="22"/>
    <n v="8"/>
    <n v="50"/>
    <n v="0.8"/>
    <n v="0"/>
    <n v="0"/>
  </r>
  <r>
    <x v="6445"/>
    <n v="8"/>
    <n v="50"/>
    <n v="58"/>
    <n v="22"/>
    <n v="13"/>
    <x v="5"/>
    <n v="25"/>
    <n v="-4"/>
    <n v="59"/>
    <n v="0"/>
    <n v="1"/>
    <n v="4"/>
  </r>
  <r>
    <x v="6446"/>
    <n v="-4"/>
    <n v="59"/>
    <n v="55"/>
    <n v="25"/>
    <n v="21"/>
    <x v="22"/>
    <n v="25"/>
    <n v="-8"/>
    <n v="63"/>
    <n v="0"/>
    <n v="1"/>
    <n v="8"/>
  </r>
  <r>
    <x v="6447"/>
    <n v="-8"/>
    <n v="63"/>
    <n v="55"/>
    <n v="25"/>
    <n v="16"/>
    <x v="29"/>
    <n v="17"/>
    <n v="-9"/>
    <n v="72"/>
    <n v="0"/>
    <n v="1"/>
    <n v="9"/>
  </r>
  <r>
    <x v="6448"/>
    <n v="-9"/>
    <n v="72"/>
    <n v="63"/>
    <n v="17"/>
    <n v="22"/>
    <x v="21"/>
    <n v="11"/>
    <n v="2"/>
    <n v="67"/>
    <n v="0.2"/>
    <n v="0"/>
    <n v="0"/>
  </r>
  <r>
    <x v="6449"/>
    <n v="2"/>
    <n v="67"/>
    <n v="69"/>
    <n v="11"/>
    <n v="25"/>
    <x v="12"/>
    <n v="14"/>
    <n v="13"/>
    <n v="53"/>
    <n v="1.3"/>
    <n v="0"/>
    <n v="0"/>
  </r>
  <r>
    <x v="6450"/>
    <n v="13"/>
    <n v="53"/>
    <n v="66"/>
    <n v="14"/>
    <n v="25"/>
    <x v="40"/>
    <n v="23"/>
    <n v="15"/>
    <n v="42"/>
    <n v="1.5"/>
    <n v="0"/>
    <n v="0"/>
  </r>
  <r>
    <x v="6451"/>
    <n v="15"/>
    <n v="42"/>
    <n v="57"/>
    <n v="23"/>
    <n v="17"/>
    <x v="15"/>
    <n v="17"/>
    <n v="15"/>
    <n v="48"/>
    <n v="1.5"/>
    <n v="0"/>
    <n v="0"/>
  </r>
  <r>
    <x v="6452"/>
    <n v="15"/>
    <n v="48"/>
    <n v="63"/>
    <n v="17"/>
    <n v="11"/>
    <x v="16"/>
    <n v="17"/>
    <n v="9"/>
    <n v="54"/>
    <n v="0.9"/>
    <n v="0"/>
    <n v="0"/>
  </r>
  <r>
    <x v="6453"/>
    <n v="9"/>
    <n v="54"/>
    <n v="63"/>
    <n v="17"/>
    <n v="14"/>
    <x v="24"/>
    <n v="15"/>
    <n v="8"/>
    <n v="57"/>
    <n v="0.8"/>
    <n v="0"/>
    <n v="0"/>
  </r>
  <r>
    <x v="6454"/>
    <n v="8"/>
    <n v="57"/>
    <n v="65"/>
    <n v="15"/>
    <n v="23"/>
    <x v="10"/>
    <n v="14"/>
    <n v="17"/>
    <n v="49"/>
    <n v="1.7000000000000002"/>
    <n v="0"/>
    <n v="0"/>
  </r>
  <r>
    <x v="6455"/>
    <n v="17"/>
    <n v="49"/>
    <n v="66"/>
    <n v="14"/>
    <n v="17"/>
    <x v="38"/>
    <n v="18"/>
    <n v="16"/>
    <n v="46"/>
    <n v="1.6"/>
    <n v="0"/>
    <n v="0"/>
  </r>
  <r>
    <x v="6456"/>
    <n v="16"/>
    <n v="46"/>
    <n v="62"/>
    <n v="18"/>
    <n v="17"/>
    <x v="14"/>
    <n v="16"/>
    <n v="17"/>
    <n v="47"/>
    <n v="1.7000000000000002"/>
    <n v="0"/>
    <n v="0"/>
  </r>
  <r>
    <x v="6457"/>
    <n v="17"/>
    <n v="47"/>
    <n v="64"/>
    <n v="16"/>
    <n v="15"/>
    <x v="15"/>
    <n v="24"/>
    <n v="8"/>
    <n v="48"/>
    <n v="0.8"/>
    <n v="0"/>
    <n v="0"/>
  </r>
  <r>
    <x v="6458"/>
    <n v="8"/>
    <n v="48"/>
    <n v="56"/>
    <n v="24"/>
    <n v="14"/>
    <x v="28"/>
    <n v="25"/>
    <n v="-3"/>
    <n v="58"/>
    <n v="0"/>
    <n v="1"/>
    <n v="3"/>
  </r>
  <r>
    <x v="6459"/>
    <n v="-3"/>
    <n v="58"/>
    <n v="55"/>
    <n v="25"/>
    <n v="18"/>
    <x v="26"/>
    <n v="23"/>
    <n v="-8"/>
    <n v="65"/>
    <n v="0"/>
    <n v="1"/>
    <n v="8"/>
  </r>
  <r>
    <x v="6460"/>
    <n v="-8"/>
    <n v="65"/>
    <n v="57"/>
    <n v="23"/>
    <n v="16"/>
    <x v="29"/>
    <n v="19"/>
    <n v="-11"/>
    <n v="72"/>
    <n v="0"/>
    <n v="1"/>
    <n v="11"/>
  </r>
  <r>
    <x v="6461"/>
    <n v="-11"/>
    <n v="72"/>
    <n v="61"/>
    <n v="19"/>
    <n v="24"/>
    <x v="21"/>
    <n v="26"/>
    <n v="-13"/>
    <n v="67"/>
    <n v="0"/>
    <n v="1"/>
    <n v="13"/>
  </r>
  <r>
    <x v="6462"/>
    <n v="-13"/>
    <n v="67"/>
    <n v="54"/>
    <n v="26"/>
    <n v="25"/>
    <x v="17"/>
    <n v="17"/>
    <n v="-5"/>
    <n v="68"/>
    <n v="0"/>
    <n v="1"/>
    <n v="5"/>
  </r>
  <r>
    <x v="6463"/>
    <n v="-5"/>
    <n v="68"/>
    <n v="63"/>
    <n v="17"/>
    <n v="23"/>
    <x v="33"/>
    <n v="19"/>
    <n v="-1"/>
    <n v="62"/>
    <n v="0"/>
    <n v="1"/>
    <n v="1"/>
  </r>
  <r>
    <x v="6464"/>
    <n v="-1"/>
    <n v="62"/>
    <n v="61"/>
    <n v="19"/>
    <n v="19"/>
    <x v="33"/>
    <n v="11"/>
    <n v="7"/>
    <n v="62"/>
    <n v="0.70000000000000007"/>
    <n v="0"/>
    <n v="0"/>
  </r>
  <r>
    <x v="6465"/>
    <n v="7"/>
    <n v="62"/>
    <n v="69"/>
    <n v="11"/>
    <n v="26"/>
    <x v="14"/>
    <n v="18"/>
    <n v="15"/>
    <n v="47"/>
    <n v="1.5"/>
    <n v="0"/>
    <n v="0"/>
  </r>
  <r>
    <x v="6466"/>
    <n v="15"/>
    <n v="47"/>
    <n v="62"/>
    <n v="18"/>
    <n v="17"/>
    <x v="15"/>
    <n v="16"/>
    <n v="16"/>
    <n v="48"/>
    <n v="1.6"/>
    <n v="0"/>
    <n v="0"/>
  </r>
  <r>
    <x v="6467"/>
    <n v="16"/>
    <n v="48"/>
    <n v="64"/>
    <n v="16"/>
    <n v="19"/>
    <x v="11"/>
    <n v="24"/>
    <n v="11"/>
    <n v="45"/>
    <n v="1.1000000000000001"/>
    <n v="0"/>
    <n v="0"/>
  </r>
  <r>
    <x v="6468"/>
    <n v="11"/>
    <n v="45"/>
    <n v="56"/>
    <n v="24"/>
    <n v="11"/>
    <x v="28"/>
    <n v="12"/>
    <n v="10"/>
    <n v="58"/>
    <n v="1"/>
    <n v="0"/>
    <n v="0"/>
  </r>
  <r>
    <x v="6469"/>
    <n v="10"/>
    <n v="58"/>
    <n v="68"/>
    <n v="12"/>
    <n v="18"/>
    <x v="25"/>
    <n v="15"/>
    <n v="13"/>
    <n v="52"/>
    <n v="1.3"/>
    <n v="0"/>
    <n v="0"/>
  </r>
  <r>
    <x v="6470"/>
    <n v="13"/>
    <n v="52"/>
    <n v="65"/>
    <n v="15"/>
    <n v="16"/>
    <x v="9"/>
    <n v="30"/>
    <n v="-1"/>
    <n v="51"/>
    <n v="0"/>
    <n v="1"/>
    <n v="1"/>
  </r>
  <r>
    <x v="6471"/>
    <n v="-1"/>
    <n v="51"/>
    <n v="50"/>
    <n v="30"/>
    <n v="24"/>
    <x v="24"/>
    <n v="33"/>
    <n v="-10"/>
    <n v="57"/>
    <n v="0"/>
    <n v="1"/>
    <n v="10"/>
  </r>
  <r>
    <x v="6472"/>
    <n v="-10"/>
    <n v="57"/>
    <n v="47"/>
    <n v="33"/>
    <n v="12"/>
    <x v="35"/>
    <n v="22"/>
    <n v="-20"/>
    <n v="78"/>
    <n v="0"/>
    <n v="1"/>
    <n v="20"/>
  </r>
  <r>
    <x v="6473"/>
    <n v="-20"/>
    <n v="78"/>
    <n v="58"/>
    <n v="22"/>
    <n v="15"/>
    <x v="36"/>
    <n v="12"/>
    <n v="-17"/>
    <n v="85"/>
    <n v="0"/>
    <n v="1"/>
    <n v="12"/>
  </r>
  <r>
    <x v="6474"/>
    <n v="-17"/>
    <n v="85"/>
    <n v="68"/>
    <n v="12"/>
    <n v="30"/>
    <x v="21"/>
    <n v="30"/>
    <n v="-17"/>
    <n v="67"/>
    <n v="0"/>
    <n v="1"/>
    <n v="17"/>
  </r>
  <r>
    <x v="6475"/>
    <n v="-17"/>
    <n v="67"/>
    <n v="50"/>
    <n v="30"/>
    <n v="33"/>
    <x v="8"/>
    <n v="23"/>
    <n v="-7"/>
    <n v="64"/>
    <n v="0"/>
    <n v="1"/>
    <n v="7"/>
  </r>
  <r>
    <x v="6476"/>
    <n v="-7"/>
    <n v="64"/>
    <n v="57"/>
    <n v="23"/>
    <n v="22"/>
    <x v="26"/>
    <n v="22"/>
    <n v="-7"/>
    <n v="65"/>
    <n v="0"/>
    <n v="1"/>
    <n v="7"/>
  </r>
  <r>
    <x v="6477"/>
    <n v="-7"/>
    <n v="65"/>
    <n v="58"/>
    <n v="22"/>
    <n v="12"/>
    <x v="44"/>
    <n v="17"/>
    <n v="-12"/>
    <n v="75"/>
    <n v="0"/>
    <n v="1"/>
    <n v="12"/>
  </r>
  <r>
    <x v="6478"/>
    <n v="-12"/>
    <n v="75"/>
    <n v="63"/>
    <n v="17"/>
    <n v="30"/>
    <x v="33"/>
    <n v="26"/>
    <n v="-8"/>
    <n v="62"/>
    <n v="0"/>
    <n v="1"/>
    <n v="8"/>
  </r>
  <r>
    <x v="6479"/>
    <n v="-8"/>
    <n v="62"/>
    <n v="54"/>
    <n v="26"/>
    <n v="23"/>
    <x v="26"/>
    <n v="16"/>
    <n v="-1"/>
    <n v="65"/>
    <n v="0"/>
    <n v="1"/>
    <n v="1"/>
  </r>
  <r>
    <x v="6480"/>
    <n v="-1"/>
    <n v="65"/>
    <n v="64"/>
    <n v="16"/>
    <n v="22"/>
    <x v="5"/>
    <n v="25"/>
    <n v="-4"/>
    <n v="59"/>
    <n v="0"/>
    <n v="1"/>
    <n v="4"/>
  </r>
  <r>
    <x v="6481"/>
    <n v="-4"/>
    <n v="59"/>
    <n v="55"/>
    <n v="25"/>
    <n v="17"/>
    <x v="21"/>
    <n v="22"/>
    <n v="-9"/>
    <n v="67"/>
    <n v="0"/>
    <n v="1"/>
    <n v="9"/>
  </r>
  <r>
    <x v="6482"/>
    <n v="-9"/>
    <n v="67"/>
    <n v="58"/>
    <n v="22"/>
    <n v="26"/>
    <x v="22"/>
    <n v="23"/>
    <n v="-6"/>
    <n v="63"/>
    <n v="0"/>
    <n v="1"/>
    <n v="6"/>
  </r>
  <r>
    <x v="6483"/>
    <n v="-6"/>
    <n v="63"/>
    <n v="57"/>
    <n v="23"/>
    <n v="16"/>
    <x v="6"/>
    <n v="26"/>
    <n v="-16"/>
    <n v="70"/>
    <n v="0"/>
    <n v="1"/>
    <n v="16"/>
  </r>
  <r>
    <x v="6484"/>
    <n v="-16"/>
    <n v="70"/>
    <n v="54"/>
    <n v="26"/>
    <n v="25"/>
    <x v="20"/>
    <n v="30"/>
    <n v="-21"/>
    <n v="71"/>
    <n v="0"/>
    <n v="1"/>
    <n v="21"/>
  </r>
  <r>
    <x v="6485"/>
    <n v="-21"/>
    <n v="71"/>
    <n v="50"/>
    <n v="30"/>
    <n v="22"/>
    <x v="43"/>
    <n v="20"/>
    <n v="-19"/>
    <n v="79"/>
    <n v="0"/>
    <n v="1"/>
    <n v="19"/>
  </r>
  <r>
    <x v="6486"/>
    <n v="-19"/>
    <n v="79"/>
    <n v="60"/>
    <n v="20"/>
    <n v="23"/>
    <x v="37"/>
    <n v="22"/>
    <n v="-18"/>
    <n v="76"/>
    <n v="0"/>
    <n v="1"/>
    <n v="18"/>
  </r>
  <r>
    <x v="6487"/>
    <n v="-18"/>
    <n v="76"/>
    <n v="58"/>
    <n v="22"/>
    <n v="26"/>
    <x v="29"/>
    <n v="20"/>
    <n v="-12"/>
    <n v="72"/>
    <n v="0"/>
    <n v="1"/>
    <n v="12"/>
  </r>
  <r>
    <x v="6488"/>
    <n v="-12"/>
    <n v="72"/>
    <n v="60"/>
    <n v="20"/>
    <n v="30"/>
    <x v="33"/>
    <n v="21"/>
    <n v="-3"/>
    <n v="62"/>
    <n v="0"/>
    <n v="1"/>
    <n v="3"/>
  </r>
  <r>
    <x v="6489"/>
    <n v="-3"/>
    <n v="62"/>
    <n v="59"/>
    <n v="21"/>
    <n v="20"/>
    <x v="22"/>
    <n v="17"/>
    <n v="0"/>
    <n v="63"/>
    <n v="0"/>
    <n v="0"/>
    <n v="0"/>
  </r>
  <r>
    <x v="6490"/>
    <n v="0"/>
    <n v="63"/>
    <n v="63"/>
    <n v="17"/>
    <n v="22"/>
    <x v="28"/>
    <n v="22"/>
    <n v="0"/>
    <n v="58"/>
    <n v="0"/>
    <n v="0"/>
    <n v="0"/>
  </r>
  <r>
    <x v="6491"/>
    <n v="0"/>
    <n v="58"/>
    <n v="58"/>
    <n v="22"/>
    <n v="20"/>
    <x v="4"/>
    <n v="20"/>
    <n v="0"/>
    <n v="60"/>
    <n v="0"/>
    <n v="0"/>
    <n v="0"/>
  </r>
  <r>
    <x v="6492"/>
    <n v="0"/>
    <n v="60"/>
    <n v="60"/>
    <n v="20"/>
    <n v="21"/>
    <x v="5"/>
    <n v="13"/>
    <n v="8"/>
    <n v="59"/>
    <n v="0.8"/>
    <n v="0"/>
    <n v="0"/>
  </r>
  <r>
    <x v="6493"/>
    <n v="8"/>
    <n v="59"/>
    <n v="67"/>
    <n v="13"/>
    <n v="17"/>
    <x v="27"/>
    <n v="19"/>
    <n v="6"/>
    <n v="55"/>
    <n v="0.60000000000000009"/>
    <n v="0"/>
    <n v="0"/>
  </r>
  <r>
    <x v="6494"/>
    <n v="6"/>
    <n v="55"/>
    <n v="61"/>
    <n v="19"/>
    <n v="22"/>
    <x v="25"/>
    <n v="19"/>
    <n v="9"/>
    <n v="52"/>
    <n v="0.9"/>
    <n v="0"/>
    <n v="0"/>
  </r>
  <r>
    <x v="6495"/>
    <n v="9"/>
    <n v="52"/>
    <n v="61"/>
    <n v="19"/>
    <n v="20"/>
    <x v="9"/>
    <n v="19"/>
    <n v="10"/>
    <n v="51"/>
    <n v="1"/>
    <n v="0"/>
    <n v="0"/>
  </r>
  <r>
    <x v="6496"/>
    <n v="10"/>
    <n v="51"/>
    <n v="61"/>
    <n v="19"/>
    <n v="13"/>
    <x v="24"/>
    <n v="20"/>
    <n v="3"/>
    <n v="57"/>
    <n v="0.30000000000000004"/>
    <n v="0"/>
    <n v="0"/>
  </r>
  <r>
    <x v="6497"/>
    <n v="3"/>
    <n v="57"/>
    <n v="60"/>
    <n v="20"/>
    <n v="19"/>
    <x v="28"/>
    <n v="17"/>
    <n v="5"/>
    <n v="58"/>
    <n v="0.5"/>
    <n v="0"/>
    <n v="0"/>
  </r>
  <r>
    <x v="6498"/>
    <n v="5"/>
    <n v="58"/>
    <n v="63"/>
    <n v="17"/>
    <n v="19"/>
    <x v="32"/>
    <n v="19"/>
    <n v="5"/>
    <n v="56"/>
    <n v="0.5"/>
    <n v="0"/>
    <n v="0"/>
  </r>
  <r>
    <x v="6499"/>
    <n v="5"/>
    <n v="56"/>
    <n v="61"/>
    <n v="19"/>
    <n v="19"/>
    <x v="32"/>
    <n v="13"/>
    <n v="11"/>
    <n v="56"/>
    <n v="1.1000000000000001"/>
    <n v="0"/>
    <n v="0"/>
  </r>
  <r>
    <x v="6500"/>
    <n v="11"/>
    <n v="56"/>
    <n v="67"/>
    <n v="13"/>
    <n v="20"/>
    <x v="10"/>
    <n v="13"/>
    <n v="18"/>
    <n v="49"/>
    <n v="1.8"/>
    <n v="0"/>
    <n v="0"/>
  </r>
  <r>
    <x v="6501"/>
    <n v="18"/>
    <n v="49"/>
    <n v="67"/>
    <n v="13"/>
    <n v="17"/>
    <x v="11"/>
    <n v="24"/>
    <n v="11"/>
    <n v="45"/>
    <n v="1.1000000000000001"/>
    <n v="0"/>
    <n v="0"/>
  </r>
  <r>
    <x v="6502"/>
    <n v="11"/>
    <n v="45"/>
    <n v="56"/>
    <n v="24"/>
    <n v="19"/>
    <x v="13"/>
    <n v="12"/>
    <n v="18"/>
    <n v="50"/>
    <n v="1.8"/>
    <n v="0"/>
    <n v="0"/>
  </r>
  <r>
    <x v="6503"/>
    <n v="18"/>
    <n v="50"/>
    <n v="68"/>
    <n v="12"/>
    <n v="13"/>
    <x v="10"/>
    <n v="17"/>
    <n v="14"/>
    <n v="49"/>
    <n v="1.4000000000000001"/>
    <n v="0"/>
    <n v="0"/>
  </r>
  <r>
    <x v="6504"/>
    <n v="14"/>
    <n v="49"/>
    <n v="63"/>
    <n v="17"/>
    <n v="13"/>
    <x v="12"/>
    <n v="18"/>
    <n v="9"/>
    <n v="53"/>
    <n v="0.9"/>
    <n v="0"/>
    <n v="0"/>
  </r>
  <r>
    <x v="6505"/>
    <n v="9"/>
    <n v="53"/>
    <n v="62"/>
    <n v="18"/>
    <n v="24"/>
    <x v="14"/>
    <n v="23"/>
    <n v="10"/>
    <n v="47"/>
    <n v="1"/>
    <n v="0"/>
    <n v="0"/>
  </r>
  <r>
    <x v="6506"/>
    <n v="10"/>
    <n v="47"/>
    <n v="57"/>
    <n v="23"/>
    <n v="12"/>
    <x v="28"/>
    <n v="19"/>
    <n v="3"/>
    <n v="58"/>
    <n v="0.30000000000000004"/>
    <n v="0"/>
    <n v="0"/>
  </r>
  <r>
    <x v="6507"/>
    <n v="3"/>
    <n v="58"/>
    <n v="61"/>
    <n v="19"/>
    <n v="17"/>
    <x v="4"/>
    <n v="20"/>
    <n v="0"/>
    <n v="60"/>
    <n v="0"/>
    <n v="0"/>
    <n v="0"/>
  </r>
  <r>
    <x v="6508"/>
    <n v="0"/>
    <n v="60"/>
    <n v="60"/>
    <n v="20"/>
    <n v="18"/>
    <x v="33"/>
    <n v="22"/>
    <n v="-4"/>
    <n v="62"/>
    <n v="0"/>
    <n v="1"/>
    <n v="4"/>
  </r>
  <r>
    <x v="6509"/>
    <n v="-4"/>
    <n v="62"/>
    <n v="58"/>
    <n v="22"/>
    <n v="23"/>
    <x v="23"/>
    <n v="15"/>
    <n v="4"/>
    <n v="61"/>
    <n v="0.4"/>
    <n v="0"/>
    <n v="0"/>
  </r>
  <r>
    <x v="6510"/>
    <n v="4"/>
    <n v="61"/>
    <n v="65"/>
    <n v="15"/>
    <n v="19"/>
    <x v="24"/>
    <n v="12"/>
    <n v="11"/>
    <n v="57"/>
    <n v="1.1000000000000001"/>
    <n v="0"/>
    <n v="0"/>
  </r>
  <r>
    <x v="6511"/>
    <n v="11"/>
    <n v="57"/>
    <n v="68"/>
    <n v="12"/>
    <n v="20"/>
    <x v="10"/>
    <n v="27"/>
    <n v="4"/>
    <n v="49"/>
    <n v="0.4"/>
    <n v="0"/>
    <n v="0"/>
  </r>
  <r>
    <x v="6512"/>
    <n v="4"/>
    <n v="49"/>
    <n v="53"/>
    <n v="27"/>
    <n v="22"/>
    <x v="16"/>
    <n v="19"/>
    <n v="7"/>
    <n v="54"/>
    <n v="0.70000000000000007"/>
    <n v="0"/>
    <n v="0"/>
  </r>
  <r>
    <x v="6513"/>
    <n v="7"/>
    <n v="54"/>
    <n v="61"/>
    <n v="19"/>
    <n v="15"/>
    <x v="28"/>
    <n v="27"/>
    <n v="-5"/>
    <n v="58"/>
    <n v="0"/>
    <n v="1"/>
    <n v="5"/>
  </r>
  <r>
    <x v="6514"/>
    <n v="-5"/>
    <n v="58"/>
    <n v="53"/>
    <n v="27"/>
    <n v="12"/>
    <x v="31"/>
    <n v="26"/>
    <n v="-19"/>
    <n v="73"/>
    <n v="0"/>
    <n v="1"/>
    <n v="19"/>
  </r>
  <r>
    <x v="6515"/>
    <n v="-19"/>
    <n v="73"/>
    <n v="54"/>
    <n v="26"/>
    <n v="27"/>
    <x v="29"/>
    <n v="24"/>
    <n v="-16"/>
    <n v="72"/>
    <n v="0"/>
    <n v="1"/>
    <n v="16"/>
  </r>
  <r>
    <x v="6516"/>
    <n v="-16"/>
    <n v="72"/>
    <n v="56"/>
    <n v="24"/>
    <n v="19"/>
    <x v="18"/>
    <n v="25"/>
    <n v="-22"/>
    <n v="77"/>
    <n v="0"/>
    <n v="1"/>
    <n v="22"/>
  </r>
  <r>
    <x v="6517"/>
    <n v="-22"/>
    <n v="77"/>
    <n v="55"/>
    <n v="25"/>
    <n v="27"/>
    <x v="44"/>
    <n v="17"/>
    <n v="-12"/>
    <n v="75"/>
    <n v="0"/>
    <n v="1"/>
    <n v="12"/>
  </r>
  <r>
    <x v="6518"/>
    <n v="-12"/>
    <n v="75"/>
    <n v="63"/>
    <n v="17"/>
    <n v="26"/>
    <x v="7"/>
    <n v="17"/>
    <n v="-3"/>
    <n v="66"/>
    <n v="0"/>
    <n v="1"/>
    <n v="3"/>
  </r>
  <r>
    <x v="6519"/>
    <n v="-3"/>
    <n v="66"/>
    <n v="63"/>
    <n v="17"/>
    <n v="24"/>
    <x v="5"/>
    <n v="24"/>
    <n v="-3"/>
    <n v="59"/>
    <n v="0"/>
    <n v="1"/>
    <n v="3"/>
  </r>
  <r>
    <x v="6520"/>
    <n v="-3"/>
    <n v="59"/>
    <n v="56"/>
    <n v="24"/>
    <n v="25"/>
    <x v="28"/>
    <n v="17"/>
    <n v="5"/>
    <n v="58"/>
    <n v="0.5"/>
    <n v="0"/>
    <n v="0"/>
  </r>
  <r>
    <x v="6521"/>
    <n v="5"/>
    <n v="58"/>
    <n v="63"/>
    <n v="17"/>
    <n v="17"/>
    <x v="28"/>
    <n v="16"/>
    <n v="6"/>
    <n v="58"/>
    <n v="0.60000000000000009"/>
    <n v="0"/>
    <n v="0"/>
  </r>
  <r>
    <x v="6522"/>
    <n v="6"/>
    <n v="58"/>
    <n v="64"/>
    <n v="16"/>
    <n v="17"/>
    <x v="24"/>
    <n v="22"/>
    <n v="1"/>
    <n v="57"/>
    <n v="0.1"/>
    <n v="0"/>
    <n v="0"/>
  </r>
  <r>
    <x v="6523"/>
    <n v="1"/>
    <n v="57"/>
    <n v="58"/>
    <n v="22"/>
    <n v="24"/>
    <x v="27"/>
    <n v="19"/>
    <n v="6"/>
    <n v="55"/>
    <n v="0.60000000000000009"/>
    <n v="0"/>
    <n v="0"/>
  </r>
  <r>
    <x v="6524"/>
    <n v="6"/>
    <n v="55"/>
    <n v="61"/>
    <n v="19"/>
    <n v="17"/>
    <x v="24"/>
    <n v="24"/>
    <n v="-1"/>
    <n v="57"/>
    <n v="0"/>
    <n v="1"/>
    <n v="1"/>
  </r>
  <r>
    <x v="6525"/>
    <n v="-1"/>
    <n v="57"/>
    <n v="56"/>
    <n v="24"/>
    <n v="16"/>
    <x v="26"/>
    <n v="17"/>
    <n v="-2"/>
    <n v="65"/>
    <n v="0"/>
    <n v="1"/>
    <n v="2"/>
  </r>
  <r>
    <x v="6526"/>
    <n v="-2"/>
    <n v="65"/>
    <n v="63"/>
    <n v="17"/>
    <n v="22"/>
    <x v="4"/>
    <n v="30"/>
    <n v="-10"/>
    <n v="60"/>
    <n v="0"/>
    <n v="1"/>
    <n v="10"/>
  </r>
  <r>
    <x v="6527"/>
    <n v="-10"/>
    <n v="60"/>
    <n v="50"/>
    <n v="30"/>
    <n v="19"/>
    <x v="20"/>
    <n v="24"/>
    <n v="-15"/>
    <n v="71"/>
    <n v="0"/>
    <n v="1"/>
    <n v="15"/>
  </r>
  <r>
    <x v="6528"/>
    <n v="-15"/>
    <n v="71"/>
    <n v="56"/>
    <n v="24"/>
    <n v="24"/>
    <x v="20"/>
    <n v="13"/>
    <n v="-4"/>
    <n v="71"/>
    <n v="0"/>
    <n v="1"/>
    <n v="4"/>
  </r>
  <r>
    <x v="6529"/>
    <n v="-4"/>
    <n v="71"/>
    <n v="67"/>
    <n v="13"/>
    <n v="17"/>
    <x v="21"/>
    <n v="27"/>
    <n v="-14"/>
    <n v="67"/>
    <n v="0"/>
    <n v="1"/>
    <n v="14"/>
  </r>
  <r>
    <x v="6530"/>
    <n v="-14"/>
    <n v="67"/>
    <n v="53"/>
    <n v="27"/>
    <n v="30"/>
    <x v="8"/>
    <n v="20"/>
    <n v="-4"/>
    <n v="64"/>
    <n v="0"/>
    <n v="1"/>
    <n v="4"/>
  </r>
  <r>
    <x v="6531"/>
    <n v="-4"/>
    <n v="64"/>
    <n v="60"/>
    <n v="20"/>
    <n v="24"/>
    <x v="4"/>
    <n v="20"/>
    <n v="0"/>
    <n v="60"/>
    <n v="0"/>
    <n v="0"/>
    <n v="0"/>
  </r>
  <r>
    <x v="6532"/>
    <n v="0"/>
    <n v="60"/>
    <n v="60"/>
    <n v="20"/>
    <n v="13"/>
    <x v="21"/>
    <n v="23"/>
    <n v="-10"/>
    <n v="67"/>
    <n v="0"/>
    <n v="1"/>
    <n v="10"/>
  </r>
  <r>
    <x v="6533"/>
    <n v="-10"/>
    <n v="67"/>
    <n v="57"/>
    <n v="23"/>
    <n v="27"/>
    <x v="22"/>
    <n v="20"/>
    <n v="-3"/>
    <n v="63"/>
    <n v="0"/>
    <n v="1"/>
    <n v="3"/>
  </r>
  <r>
    <x v="6534"/>
    <n v="-3"/>
    <n v="63"/>
    <n v="60"/>
    <n v="20"/>
    <n v="20"/>
    <x v="22"/>
    <n v="18"/>
    <n v="-1"/>
    <n v="63"/>
    <n v="0"/>
    <n v="1"/>
    <n v="1"/>
  </r>
  <r>
    <x v="6535"/>
    <n v="-1"/>
    <n v="63"/>
    <n v="62"/>
    <n v="18"/>
    <n v="20"/>
    <x v="23"/>
    <n v="22"/>
    <n v="-3"/>
    <n v="61"/>
    <n v="0"/>
    <n v="1"/>
    <n v="3"/>
  </r>
  <r>
    <x v="6536"/>
    <n v="-3"/>
    <n v="61"/>
    <n v="58"/>
    <n v="22"/>
    <n v="23"/>
    <x v="4"/>
    <n v="21"/>
    <n v="-1"/>
    <n v="60"/>
    <n v="0"/>
    <n v="1"/>
    <n v="1"/>
  </r>
  <r>
    <x v="6537"/>
    <n v="-1"/>
    <n v="60"/>
    <n v="59"/>
    <n v="21"/>
    <n v="20"/>
    <x v="23"/>
    <n v="22"/>
    <n v="-3"/>
    <n v="61"/>
    <n v="0"/>
    <n v="1"/>
    <n v="3"/>
  </r>
  <r>
    <x v="6538"/>
    <n v="-3"/>
    <n v="61"/>
    <n v="58"/>
    <n v="22"/>
    <n v="18"/>
    <x v="26"/>
    <n v="16"/>
    <n v="-1"/>
    <n v="65"/>
    <n v="0"/>
    <n v="1"/>
    <n v="1"/>
  </r>
  <r>
    <x v="6539"/>
    <n v="-1"/>
    <n v="65"/>
    <n v="64"/>
    <n v="16"/>
    <n v="22"/>
    <x v="5"/>
    <n v="25"/>
    <n v="-4"/>
    <n v="59"/>
    <n v="0"/>
    <n v="1"/>
    <n v="4"/>
  </r>
  <r>
    <x v="6540"/>
    <n v="-4"/>
    <n v="59"/>
    <n v="55"/>
    <n v="25"/>
    <n v="21"/>
    <x v="22"/>
    <n v="15"/>
    <n v="2"/>
    <n v="63"/>
    <n v="0.2"/>
    <n v="0"/>
    <n v="0"/>
  </r>
  <r>
    <x v="6541"/>
    <n v="2"/>
    <n v="63"/>
    <n v="65"/>
    <n v="15"/>
    <n v="22"/>
    <x v="32"/>
    <n v="20"/>
    <n v="4"/>
    <n v="56"/>
    <n v="0.4"/>
    <n v="0"/>
    <n v="0"/>
  </r>
  <r>
    <x v="6542"/>
    <n v="4"/>
    <n v="56"/>
    <n v="60"/>
    <n v="20"/>
    <n v="16"/>
    <x v="4"/>
    <n v="20"/>
    <n v="0"/>
    <n v="60"/>
    <n v="0"/>
    <n v="0"/>
    <n v="0"/>
  </r>
  <r>
    <x v="6543"/>
    <n v="0"/>
    <n v="60"/>
    <n v="60"/>
    <n v="20"/>
    <n v="25"/>
    <x v="27"/>
    <n v="18"/>
    <n v="7"/>
    <n v="55"/>
    <n v="0.70000000000000007"/>
    <n v="0"/>
    <n v="0"/>
  </r>
  <r>
    <x v="6544"/>
    <n v="7"/>
    <n v="55"/>
    <n v="62"/>
    <n v="18"/>
    <n v="15"/>
    <x v="28"/>
    <n v="25"/>
    <n v="-3"/>
    <n v="58"/>
    <n v="0"/>
    <n v="1"/>
    <n v="3"/>
  </r>
  <r>
    <x v="6545"/>
    <n v="-3"/>
    <n v="58"/>
    <n v="55"/>
    <n v="25"/>
    <n v="20"/>
    <x v="22"/>
    <n v="18"/>
    <n v="-1"/>
    <n v="63"/>
    <n v="0"/>
    <n v="1"/>
    <n v="1"/>
  </r>
  <r>
    <x v="6546"/>
    <n v="-1"/>
    <n v="63"/>
    <n v="62"/>
    <n v="18"/>
    <n v="20"/>
    <x v="23"/>
    <n v="35"/>
    <n v="-16"/>
    <n v="61"/>
    <n v="0"/>
    <n v="1"/>
    <n v="16"/>
  </r>
  <r>
    <x v="6547"/>
    <n v="-16"/>
    <n v="61"/>
    <n v="45"/>
    <n v="35"/>
    <n v="18"/>
    <x v="35"/>
    <n v="23"/>
    <n v="-21"/>
    <n v="78"/>
    <n v="0"/>
    <n v="1"/>
    <n v="21"/>
  </r>
  <r>
    <x v="6548"/>
    <n v="-21"/>
    <n v="78"/>
    <n v="57"/>
    <n v="23"/>
    <n v="25"/>
    <x v="37"/>
    <n v="21"/>
    <n v="-17"/>
    <n v="76"/>
    <n v="0"/>
    <n v="1"/>
    <n v="17"/>
  </r>
  <r>
    <x v="6549"/>
    <n v="-17"/>
    <n v="76"/>
    <n v="59"/>
    <n v="21"/>
    <n v="18"/>
    <x v="43"/>
    <n v="22"/>
    <n v="-21"/>
    <n v="79"/>
    <n v="0"/>
    <n v="1"/>
    <n v="21"/>
  </r>
  <r>
    <x v="6550"/>
    <n v="-21"/>
    <n v="79"/>
    <n v="58"/>
    <n v="22"/>
    <n v="35"/>
    <x v="7"/>
    <n v="21"/>
    <n v="-7"/>
    <n v="66"/>
    <n v="0"/>
    <n v="1"/>
    <n v="7"/>
  </r>
  <r>
    <x v="6551"/>
    <n v="-7"/>
    <n v="66"/>
    <n v="59"/>
    <n v="21"/>
    <n v="23"/>
    <x v="8"/>
    <n v="20"/>
    <n v="-4"/>
    <n v="64"/>
    <n v="0"/>
    <n v="1"/>
    <n v="4"/>
  </r>
  <r>
    <x v="6552"/>
    <n v="-4"/>
    <n v="64"/>
    <n v="60"/>
    <n v="20"/>
    <n v="21"/>
    <x v="22"/>
    <n v="22"/>
    <n v="-5"/>
    <n v="63"/>
    <n v="0"/>
    <n v="1"/>
    <n v="5"/>
  </r>
  <r>
    <x v="6553"/>
    <n v="-5"/>
    <n v="63"/>
    <n v="58"/>
    <n v="22"/>
    <n v="22"/>
    <x v="22"/>
    <n v="17"/>
    <n v="0"/>
    <n v="63"/>
    <n v="0"/>
    <n v="0"/>
    <n v="0"/>
  </r>
  <r>
    <x v="6554"/>
    <n v="0"/>
    <n v="63"/>
    <n v="63"/>
    <n v="17"/>
    <n v="21"/>
    <x v="5"/>
    <n v="18"/>
    <n v="3"/>
    <n v="59"/>
    <n v="0.30000000000000004"/>
    <n v="0"/>
    <n v="0"/>
  </r>
  <r>
    <x v="6555"/>
    <n v="3"/>
    <n v="59"/>
    <n v="62"/>
    <n v="18"/>
    <n v="20"/>
    <x v="24"/>
    <n v="17"/>
    <n v="6"/>
    <n v="57"/>
    <n v="0.60000000000000009"/>
    <n v="0"/>
    <n v="0"/>
  </r>
  <r>
    <x v="6556"/>
    <n v="6"/>
    <n v="57"/>
    <n v="63"/>
    <n v="17"/>
    <n v="22"/>
    <x v="25"/>
    <n v="21"/>
    <n v="7"/>
    <n v="52"/>
    <n v="0.70000000000000007"/>
    <n v="0"/>
    <n v="0"/>
  </r>
  <r>
    <x v="6557"/>
    <n v="7"/>
    <n v="52"/>
    <n v="59"/>
    <n v="21"/>
    <n v="17"/>
    <x v="32"/>
    <n v="21"/>
    <n v="3"/>
    <n v="56"/>
    <n v="0.30000000000000004"/>
    <n v="0"/>
    <n v="0"/>
  </r>
  <r>
    <x v="6558"/>
    <n v="3"/>
    <n v="56"/>
    <n v="59"/>
    <n v="21"/>
    <n v="18"/>
    <x v="5"/>
    <n v="17"/>
    <n v="4"/>
    <n v="59"/>
    <n v="0.4"/>
    <n v="0"/>
    <n v="0"/>
  </r>
  <r>
    <x v="6559"/>
    <n v="4"/>
    <n v="59"/>
    <n v="63"/>
    <n v="17"/>
    <n v="17"/>
    <x v="5"/>
    <n v="16"/>
    <n v="5"/>
    <n v="59"/>
    <n v="0.5"/>
    <n v="0"/>
    <n v="0"/>
  </r>
  <r>
    <x v="6560"/>
    <n v="5"/>
    <n v="59"/>
    <n v="64"/>
    <n v="16"/>
    <n v="21"/>
    <x v="16"/>
    <n v="19"/>
    <n v="7"/>
    <n v="54"/>
    <n v="0.70000000000000007"/>
    <n v="0"/>
    <n v="0"/>
  </r>
  <r>
    <x v="6561"/>
    <n v="7"/>
    <n v="54"/>
    <n v="61"/>
    <n v="19"/>
    <n v="21"/>
    <x v="25"/>
    <n v="21"/>
    <n v="7"/>
    <n v="52"/>
    <n v="0.70000000000000007"/>
    <n v="0"/>
    <n v="0"/>
  </r>
  <r>
    <x v="6562"/>
    <n v="7"/>
    <n v="52"/>
    <n v="59"/>
    <n v="21"/>
    <n v="17"/>
    <x v="32"/>
    <n v="20"/>
    <n v="4"/>
    <n v="56"/>
    <n v="0.4"/>
    <n v="0"/>
    <n v="0"/>
  </r>
  <r>
    <x v="6563"/>
    <n v="4"/>
    <n v="56"/>
    <n v="60"/>
    <n v="20"/>
    <n v="16"/>
    <x v="4"/>
    <n v="18"/>
    <n v="2"/>
    <n v="60"/>
    <n v="0.2"/>
    <n v="0"/>
    <n v="0"/>
  </r>
  <r>
    <x v="6564"/>
    <n v="2"/>
    <n v="60"/>
    <n v="62"/>
    <n v="18"/>
    <n v="19"/>
    <x v="5"/>
    <n v="20"/>
    <n v="1"/>
    <n v="59"/>
    <n v="0.1"/>
    <n v="0"/>
    <n v="0"/>
  </r>
  <r>
    <x v="6565"/>
    <n v="1"/>
    <n v="59"/>
    <n v="60"/>
    <n v="20"/>
    <n v="21"/>
    <x v="28"/>
    <n v="27"/>
    <n v="-5"/>
    <n v="58"/>
    <n v="0"/>
    <n v="1"/>
    <n v="5"/>
  </r>
  <r>
    <x v="6566"/>
    <n v="-5"/>
    <n v="58"/>
    <n v="53"/>
    <n v="27"/>
    <n v="20"/>
    <x v="26"/>
    <n v="16"/>
    <n v="-1"/>
    <n v="65"/>
    <n v="0"/>
    <n v="1"/>
    <n v="1"/>
  </r>
  <r>
    <x v="6567"/>
    <n v="-1"/>
    <n v="65"/>
    <n v="64"/>
    <n v="16"/>
    <n v="18"/>
    <x v="22"/>
    <n v="19"/>
    <n v="-2"/>
    <n v="63"/>
    <n v="0"/>
    <n v="1"/>
    <n v="2"/>
  </r>
  <r>
    <x v="6568"/>
    <n v="-2"/>
    <n v="63"/>
    <n v="61"/>
    <n v="19"/>
    <n v="20"/>
    <x v="33"/>
    <n v="23"/>
    <n v="-5"/>
    <n v="62"/>
    <n v="0"/>
    <n v="1"/>
    <n v="5"/>
  </r>
  <r>
    <x v="6569"/>
    <n v="-5"/>
    <n v="62"/>
    <n v="57"/>
    <n v="23"/>
    <n v="27"/>
    <x v="28"/>
    <n v="13"/>
    <n v="9"/>
    <n v="58"/>
    <n v="0.9"/>
    <n v="0"/>
    <n v="0"/>
  </r>
  <r>
    <x v="6570"/>
    <n v="9"/>
    <n v="58"/>
    <n v="67"/>
    <n v="13"/>
    <n v="16"/>
    <x v="27"/>
    <n v="17"/>
    <n v="8"/>
    <n v="55"/>
    <n v="0.8"/>
    <n v="0"/>
    <n v="0"/>
  </r>
  <r>
    <x v="6571"/>
    <n v="8"/>
    <n v="55"/>
    <n v="63"/>
    <n v="17"/>
    <n v="19"/>
    <x v="12"/>
    <n v="17"/>
    <n v="10"/>
    <n v="53"/>
    <n v="1"/>
    <n v="0"/>
    <n v="0"/>
  </r>
  <r>
    <x v="6572"/>
    <n v="10"/>
    <n v="53"/>
    <n v="63"/>
    <n v="17"/>
    <n v="23"/>
    <x v="14"/>
    <n v="14"/>
    <n v="19"/>
    <n v="47"/>
    <n v="1.9000000000000001"/>
    <n v="0"/>
    <n v="0"/>
  </r>
  <r>
    <x v="6573"/>
    <n v="19"/>
    <n v="47"/>
    <n v="66"/>
    <n v="14"/>
    <n v="13"/>
    <x v="15"/>
    <n v="17"/>
    <n v="15"/>
    <n v="48"/>
    <n v="1.5"/>
    <n v="0"/>
    <n v="0"/>
  </r>
  <r>
    <x v="6574"/>
    <n v="15"/>
    <n v="48"/>
    <n v="63"/>
    <n v="17"/>
    <n v="17"/>
    <x v="15"/>
    <n v="15"/>
    <n v="17"/>
    <n v="48"/>
    <n v="1.7000000000000002"/>
    <n v="0"/>
    <n v="0"/>
  </r>
  <r>
    <x v="6575"/>
    <n v="17"/>
    <n v="48"/>
    <n v="65"/>
    <n v="15"/>
    <n v="17"/>
    <x v="38"/>
    <n v="17"/>
    <n v="17"/>
    <n v="46"/>
    <n v="1.7000000000000002"/>
    <n v="0"/>
    <n v="0"/>
  </r>
  <r>
    <x v="6576"/>
    <n v="17"/>
    <n v="46"/>
    <n v="63"/>
    <n v="17"/>
    <n v="14"/>
    <x v="10"/>
    <n v="18"/>
    <n v="13"/>
    <n v="49"/>
    <n v="1.3"/>
    <n v="0"/>
    <n v="0"/>
  </r>
  <r>
    <x v="6577"/>
    <n v="13"/>
    <n v="49"/>
    <n v="62"/>
    <n v="18"/>
    <n v="17"/>
    <x v="13"/>
    <n v="15"/>
    <n v="15"/>
    <n v="50"/>
    <n v="1.5"/>
    <n v="0"/>
    <n v="0"/>
  </r>
  <r>
    <x v="6578"/>
    <n v="15"/>
    <n v="50"/>
    <n v="65"/>
    <n v="15"/>
    <n v="15"/>
    <x v="13"/>
    <n v="22"/>
    <n v="8"/>
    <n v="50"/>
    <n v="0.8"/>
    <n v="0"/>
    <n v="0"/>
  </r>
  <r>
    <x v="6579"/>
    <n v="8"/>
    <n v="50"/>
    <n v="58"/>
    <n v="22"/>
    <n v="17"/>
    <x v="27"/>
    <n v="28"/>
    <n v="-3"/>
    <n v="55"/>
    <n v="0"/>
    <n v="1"/>
    <n v="3"/>
  </r>
  <r>
    <x v="6580"/>
    <n v="-3"/>
    <n v="55"/>
    <n v="52"/>
    <n v="28"/>
    <n v="18"/>
    <x v="26"/>
    <n v="22"/>
    <n v="-7"/>
    <n v="65"/>
    <n v="0"/>
    <n v="1"/>
    <n v="7"/>
  </r>
  <r>
    <x v="6581"/>
    <n v="-7"/>
    <n v="65"/>
    <n v="58"/>
    <n v="22"/>
    <n v="15"/>
    <x v="29"/>
    <n v="19"/>
    <n v="-11"/>
    <n v="72"/>
    <n v="0"/>
    <n v="1"/>
    <n v="11"/>
  </r>
  <r>
    <x v="6582"/>
    <n v="-11"/>
    <n v="72"/>
    <n v="61"/>
    <n v="19"/>
    <n v="22"/>
    <x v="30"/>
    <n v="16"/>
    <n v="-5"/>
    <n v="69"/>
    <n v="0"/>
    <n v="1"/>
    <n v="5"/>
  </r>
  <r>
    <x v="6583"/>
    <n v="-5"/>
    <n v="69"/>
    <n v="64"/>
    <n v="16"/>
    <n v="28"/>
    <x v="24"/>
    <n v="13"/>
    <n v="10"/>
    <n v="57"/>
    <n v="1"/>
    <n v="0"/>
    <n v="0"/>
  </r>
  <r>
    <x v="6584"/>
    <n v="10"/>
    <n v="57"/>
    <n v="67"/>
    <n v="13"/>
    <n v="22"/>
    <x v="15"/>
    <n v="26"/>
    <n v="6"/>
    <n v="48"/>
    <n v="0.60000000000000009"/>
    <n v="0"/>
    <n v="0"/>
  </r>
  <r>
    <x v="6585"/>
    <n v="6"/>
    <n v="48"/>
    <n v="54"/>
    <n v="26"/>
    <n v="19"/>
    <x v="27"/>
    <n v="34"/>
    <n v="-9"/>
    <n v="55"/>
    <n v="0"/>
    <n v="1"/>
    <n v="9"/>
  </r>
  <r>
    <x v="6586"/>
    <n v="-9"/>
    <n v="55"/>
    <n v="46"/>
    <n v="34"/>
    <n v="16"/>
    <x v="31"/>
    <n v="25"/>
    <n v="-18"/>
    <n v="73"/>
    <n v="0"/>
    <n v="1"/>
    <n v="18"/>
  </r>
  <r>
    <x v="6587"/>
    <n v="-18"/>
    <n v="73"/>
    <n v="55"/>
    <n v="25"/>
    <n v="13"/>
    <x v="36"/>
    <n v="14"/>
    <n v="-19"/>
    <n v="85"/>
    <n v="0"/>
    <n v="1"/>
    <n v="14"/>
  </r>
  <r>
    <x v="6588"/>
    <n v="-19"/>
    <n v="85"/>
    <n v="66"/>
    <n v="14"/>
    <n v="26"/>
    <x v="31"/>
    <n v="22"/>
    <n v="-15"/>
    <n v="73"/>
    <n v="0"/>
    <n v="1"/>
    <n v="15"/>
  </r>
  <r>
    <x v="6589"/>
    <n v="-15"/>
    <n v="73"/>
    <n v="58"/>
    <n v="22"/>
    <n v="34"/>
    <x v="23"/>
    <n v="22"/>
    <n v="-3"/>
    <n v="61"/>
    <n v="0"/>
    <n v="1"/>
    <n v="3"/>
  </r>
  <r>
    <x v="6590"/>
    <n v="-3"/>
    <n v="61"/>
    <n v="58"/>
    <n v="22"/>
    <n v="25"/>
    <x v="28"/>
    <n v="24"/>
    <n v="-2"/>
    <n v="58"/>
    <n v="0"/>
    <n v="1"/>
    <n v="2"/>
  </r>
  <r>
    <x v="6591"/>
    <n v="-2"/>
    <n v="58"/>
    <n v="56"/>
    <n v="24"/>
    <n v="14"/>
    <x v="17"/>
    <n v="22"/>
    <n v="-10"/>
    <n v="68"/>
    <n v="0"/>
    <n v="1"/>
    <n v="10"/>
  </r>
  <r>
    <x v="6592"/>
    <n v="-10"/>
    <n v="68"/>
    <n v="58"/>
    <n v="22"/>
    <n v="22"/>
    <x v="17"/>
    <n v="15"/>
    <n v="-3"/>
    <n v="68"/>
    <n v="0"/>
    <n v="1"/>
    <n v="3"/>
  </r>
  <r>
    <x v="6593"/>
    <n v="-3"/>
    <n v="68"/>
    <n v="65"/>
    <n v="15"/>
    <n v="22"/>
    <x v="23"/>
    <n v="23"/>
    <n v="-4"/>
    <n v="61"/>
    <n v="0"/>
    <n v="1"/>
    <n v="4"/>
  </r>
  <r>
    <x v="6594"/>
    <n v="-4"/>
    <n v="61"/>
    <n v="57"/>
    <n v="23"/>
    <n v="24"/>
    <x v="4"/>
    <n v="21"/>
    <n v="-1"/>
    <n v="60"/>
    <n v="0"/>
    <n v="1"/>
    <n v="1"/>
  </r>
  <r>
    <x v="6595"/>
    <n v="-1"/>
    <n v="60"/>
    <n v="59"/>
    <n v="21"/>
    <n v="22"/>
    <x v="5"/>
    <n v="26"/>
    <n v="-5"/>
    <n v="59"/>
    <n v="0"/>
    <n v="1"/>
    <n v="5"/>
  </r>
  <r>
    <x v="6596"/>
    <n v="-5"/>
    <n v="59"/>
    <n v="54"/>
    <n v="26"/>
    <n v="15"/>
    <x v="6"/>
    <n v="12"/>
    <n v="-2"/>
    <n v="70"/>
    <n v="0"/>
    <n v="1"/>
    <n v="2"/>
  </r>
  <r>
    <x v="6597"/>
    <n v="-2"/>
    <n v="70"/>
    <n v="68"/>
    <n v="12"/>
    <n v="23"/>
    <x v="5"/>
    <n v="20"/>
    <n v="1"/>
    <n v="59"/>
    <n v="0.1"/>
    <n v="0"/>
    <n v="0"/>
  </r>
  <r>
    <x v="6598"/>
    <n v="1"/>
    <n v="59"/>
    <n v="60"/>
    <n v="20"/>
    <n v="21"/>
    <x v="28"/>
    <n v="17"/>
    <n v="5"/>
    <n v="58"/>
    <n v="0.5"/>
    <n v="0"/>
    <n v="0"/>
  </r>
  <r>
    <x v="6599"/>
    <n v="5"/>
    <n v="58"/>
    <n v="63"/>
    <n v="17"/>
    <n v="26"/>
    <x v="10"/>
    <n v="16"/>
    <n v="15"/>
    <n v="49"/>
    <n v="1.5"/>
    <n v="0"/>
    <n v="0"/>
  </r>
  <r>
    <x v="6600"/>
    <n v="15"/>
    <n v="49"/>
    <n v="64"/>
    <n v="16"/>
    <n v="12"/>
    <x v="12"/>
    <n v="22"/>
    <n v="5"/>
    <n v="53"/>
    <n v="0.5"/>
    <n v="0"/>
    <n v="0"/>
  </r>
  <r>
    <x v="6601"/>
    <n v="5"/>
    <n v="53"/>
    <n v="58"/>
    <n v="22"/>
    <n v="20"/>
    <x v="27"/>
    <n v="10"/>
    <n v="15"/>
    <n v="55"/>
    <n v="1.5"/>
    <n v="0"/>
    <n v="0"/>
  </r>
  <r>
    <x v="6602"/>
    <n v="15"/>
    <n v="55"/>
    <n v="70"/>
    <n v="10"/>
    <n v="17"/>
    <x v="15"/>
    <n v="23"/>
    <n v="9"/>
    <n v="48"/>
    <n v="0.9"/>
    <n v="0"/>
    <n v="0"/>
  </r>
  <r>
    <x v="6603"/>
    <n v="9"/>
    <n v="48"/>
    <n v="57"/>
    <n v="23"/>
    <n v="16"/>
    <x v="27"/>
    <n v="26"/>
    <n v="-1"/>
    <n v="55"/>
    <n v="0"/>
    <n v="1"/>
    <n v="1"/>
  </r>
  <r>
    <x v="6604"/>
    <n v="-1"/>
    <n v="55"/>
    <n v="54"/>
    <n v="26"/>
    <n v="22"/>
    <x v="5"/>
    <n v="19"/>
    <n v="2"/>
    <n v="59"/>
    <n v="0.2"/>
    <n v="0"/>
    <n v="0"/>
  </r>
  <r>
    <x v="6605"/>
    <n v="2"/>
    <n v="59"/>
    <n v="61"/>
    <n v="19"/>
    <n v="10"/>
    <x v="17"/>
    <n v="29"/>
    <n v="-17"/>
    <n v="68"/>
    <n v="0"/>
    <n v="1"/>
    <n v="17"/>
  </r>
  <r>
    <x v="6606"/>
    <n v="-17"/>
    <n v="68"/>
    <n v="51"/>
    <n v="29"/>
    <n v="23"/>
    <x v="39"/>
    <n v="17"/>
    <n v="-11"/>
    <n v="74"/>
    <n v="0"/>
    <n v="1"/>
    <n v="11"/>
  </r>
  <r>
    <x v="6607"/>
    <n v="-11"/>
    <n v="74"/>
    <n v="63"/>
    <n v="17"/>
    <n v="26"/>
    <x v="26"/>
    <n v="21"/>
    <n v="-6"/>
    <n v="65"/>
    <n v="0"/>
    <n v="1"/>
    <n v="6"/>
  </r>
  <r>
    <x v="6608"/>
    <n v="-6"/>
    <n v="65"/>
    <n v="59"/>
    <n v="21"/>
    <n v="19"/>
    <x v="21"/>
    <n v="14"/>
    <n v="-1"/>
    <n v="67"/>
    <n v="0"/>
    <n v="1"/>
    <n v="1"/>
  </r>
  <r>
    <x v="6609"/>
    <n v="-1"/>
    <n v="67"/>
    <n v="66"/>
    <n v="14"/>
    <n v="29"/>
    <x v="25"/>
    <n v="18"/>
    <n v="10"/>
    <n v="52"/>
    <n v="1"/>
    <n v="0"/>
    <n v="0"/>
  </r>
  <r>
    <x v="6610"/>
    <n v="10"/>
    <n v="52"/>
    <n v="62"/>
    <n v="18"/>
    <n v="17"/>
    <x v="12"/>
    <n v="21"/>
    <n v="6"/>
    <n v="53"/>
    <n v="0.60000000000000009"/>
    <n v="0"/>
    <n v="0"/>
  </r>
  <r>
    <x v="6611"/>
    <n v="6"/>
    <n v="53"/>
    <n v="59"/>
    <n v="21"/>
    <n v="21"/>
    <x v="12"/>
    <n v="18"/>
    <n v="9"/>
    <n v="53"/>
    <n v="0.9"/>
    <n v="0"/>
    <n v="0"/>
  </r>
  <r>
    <x v="6612"/>
    <n v="9"/>
    <n v="53"/>
    <n v="62"/>
    <n v="18"/>
    <n v="14"/>
    <x v="24"/>
    <n v="23"/>
    <n v="0"/>
    <n v="57"/>
    <n v="0"/>
    <n v="0"/>
    <n v="0"/>
  </r>
  <r>
    <x v="6613"/>
    <n v="0"/>
    <n v="57"/>
    <n v="57"/>
    <n v="23"/>
    <n v="18"/>
    <x v="33"/>
    <n v="22"/>
    <n v="-4"/>
    <n v="62"/>
    <n v="0"/>
    <n v="1"/>
    <n v="4"/>
  </r>
  <r>
    <x v="6614"/>
    <n v="-4"/>
    <n v="62"/>
    <n v="58"/>
    <n v="22"/>
    <n v="21"/>
    <x v="22"/>
    <n v="21"/>
    <n v="-4"/>
    <n v="63"/>
    <n v="0"/>
    <n v="1"/>
    <n v="4"/>
  </r>
  <r>
    <x v="6615"/>
    <n v="-4"/>
    <n v="63"/>
    <n v="59"/>
    <n v="21"/>
    <n v="18"/>
    <x v="7"/>
    <n v="20"/>
    <n v="-6"/>
    <n v="66"/>
    <n v="0"/>
    <n v="1"/>
    <n v="6"/>
  </r>
  <r>
    <x v="6616"/>
    <n v="-6"/>
    <n v="66"/>
    <n v="60"/>
    <n v="20"/>
    <n v="23"/>
    <x v="22"/>
    <n v="19"/>
    <n v="-2"/>
    <n v="63"/>
    <n v="0"/>
    <n v="1"/>
    <n v="2"/>
  </r>
  <r>
    <x v="6617"/>
    <n v="-2"/>
    <n v="63"/>
    <n v="61"/>
    <n v="19"/>
    <n v="22"/>
    <x v="4"/>
    <n v="17"/>
    <n v="3"/>
    <n v="60"/>
    <n v="0.30000000000000004"/>
    <n v="0"/>
    <n v="0"/>
  </r>
  <r>
    <x v="6618"/>
    <n v="3"/>
    <n v="60"/>
    <n v="63"/>
    <n v="17"/>
    <n v="21"/>
    <x v="32"/>
    <n v="20"/>
    <n v="4"/>
    <n v="56"/>
    <n v="0.4"/>
    <n v="0"/>
    <n v="0"/>
  </r>
  <r>
    <x v="6619"/>
    <n v="4"/>
    <n v="56"/>
    <n v="60"/>
    <n v="20"/>
    <n v="20"/>
    <x v="32"/>
    <n v="25"/>
    <n v="-1"/>
    <n v="56"/>
    <n v="0"/>
    <n v="1"/>
    <n v="1"/>
  </r>
  <r>
    <x v="6620"/>
    <n v="-1"/>
    <n v="56"/>
    <n v="55"/>
    <n v="25"/>
    <n v="19"/>
    <x v="33"/>
    <n v="14"/>
    <n v="4"/>
    <n v="62"/>
    <n v="0.4"/>
    <n v="0"/>
    <n v="0"/>
  </r>
  <r>
    <x v="6621"/>
    <n v="4"/>
    <n v="62"/>
    <n v="66"/>
    <n v="14"/>
    <n v="17"/>
    <x v="5"/>
    <n v="19"/>
    <n v="2"/>
    <n v="59"/>
    <n v="0.2"/>
    <n v="0"/>
    <n v="0"/>
  </r>
  <r>
    <x v="6622"/>
    <n v="2"/>
    <n v="59"/>
    <n v="61"/>
    <n v="19"/>
    <n v="20"/>
    <x v="28"/>
    <n v="20"/>
    <n v="2"/>
    <n v="58"/>
    <n v="0.2"/>
    <n v="0"/>
    <n v="0"/>
  </r>
  <r>
    <x v="6623"/>
    <n v="2"/>
    <n v="58"/>
    <n v="60"/>
    <n v="20"/>
    <n v="25"/>
    <x v="12"/>
    <n v="28"/>
    <n v="-1"/>
    <n v="53"/>
    <n v="0"/>
    <n v="1"/>
    <n v="1"/>
  </r>
  <r>
    <x v="6624"/>
    <n v="-1"/>
    <n v="53"/>
    <n v="52"/>
    <n v="28"/>
    <n v="14"/>
    <x v="21"/>
    <n v="18"/>
    <n v="-5"/>
    <n v="67"/>
    <n v="0"/>
    <n v="1"/>
    <n v="5"/>
  </r>
  <r>
    <x v="6625"/>
    <n v="-5"/>
    <n v="67"/>
    <n v="62"/>
    <n v="18"/>
    <n v="19"/>
    <x v="7"/>
    <n v="15"/>
    <n v="-1"/>
    <n v="66"/>
    <n v="0"/>
    <n v="1"/>
    <n v="1"/>
  </r>
  <r>
    <x v="6626"/>
    <n v="-1"/>
    <n v="66"/>
    <n v="65"/>
    <n v="15"/>
    <n v="20"/>
    <x v="23"/>
    <n v="18"/>
    <n v="1"/>
    <n v="61"/>
    <n v="0.1"/>
    <n v="0"/>
    <n v="0"/>
  </r>
  <r>
    <x v="6627"/>
    <n v="1"/>
    <n v="61"/>
    <n v="62"/>
    <n v="18"/>
    <n v="28"/>
    <x v="9"/>
    <n v="20"/>
    <n v="9"/>
    <n v="51"/>
    <n v="0.9"/>
    <n v="0"/>
    <n v="0"/>
  </r>
  <r>
    <x v="6628"/>
    <n v="9"/>
    <n v="51"/>
    <n v="60"/>
    <n v="20"/>
    <n v="18"/>
    <x v="12"/>
    <n v="19"/>
    <n v="8"/>
    <n v="53"/>
    <n v="0.8"/>
    <n v="0"/>
    <n v="0"/>
  </r>
  <r>
    <x v="6629"/>
    <n v="8"/>
    <n v="53"/>
    <n v="61"/>
    <n v="19"/>
    <n v="15"/>
    <x v="24"/>
    <n v="28"/>
    <n v="-5"/>
    <n v="57"/>
    <n v="0"/>
    <n v="1"/>
    <n v="5"/>
  </r>
  <r>
    <x v="6630"/>
    <n v="-5"/>
    <n v="57"/>
    <n v="52"/>
    <n v="28"/>
    <n v="18"/>
    <x v="21"/>
    <n v="25"/>
    <n v="-12"/>
    <n v="67"/>
    <n v="0"/>
    <n v="1"/>
    <n v="12"/>
  </r>
  <r>
    <x v="6631"/>
    <n v="-12"/>
    <n v="67"/>
    <n v="55"/>
    <n v="25"/>
    <n v="20"/>
    <x v="29"/>
    <n v="16"/>
    <n v="-8"/>
    <n v="72"/>
    <n v="0"/>
    <n v="1"/>
    <n v="8"/>
  </r>
  <r>
    <x v="6632"/>
    <n v="-8"/>
    <n v="72"/>
    <n v="64"/>
    <n v="16"/>
    <n v="19"/>
    <x v="30"/>
    <n v="18"/>
    <n v="-7"/>
    <n v="69"/>
    <n v="0"/>
    <n v="1"/>
    <n v="7"/>
  </r>
  <r>
    <x v="6633"/>
    <n v="-7"/>
    <n v="69"/>
    <n v="62"/>
    <n v="18"/>
    <n v="28"/>
    <x v="5"/>
    <n v="17"/>
    <n v="4"/>
    <n v="59"/>
    <n v="0.4"/>
    <n v="0"/>
    <n v="0"/>
  </r>
  <r>
    <x v="6634"/>
    <n v="4"/>
    <n v="59"/>
    <n v="63"/>
    <n v="17"/>
    <n v="25"/>
    <x v="9"/>
    <n v="20"/>
    <n v="9"/>
    <n v="51"/>
    <n v="0.9"/>
    <n v="0"/>
    <n v="0"/>
  </r>
  <r>
    <x v="6635"/>
    <n v="9"/>
    <n v="51"/>
    <n v="60"/>
    <n v="20"/>
    <n v="16"/>
    <x v="27"/>
    <n v="21"/>
    <n v="4"/>
    <n v="55"/>
    <n v="0.4"/>
    <n v="0"/>
    <n v="0"/>
  </r>
  <r>
    <x v="6636"/>
    <n v="4"/>
    <n v="55"/>
    <n v="59"/>
    <n v="21"/>
    <n v="18"/>
    <x v="28"/>
    <n v="21"/>
    <n v="1"/>
    <n v="58"/>
    <n v="0.1"/>
    <n v="0"/>
    <n v="0"/>
  </r>
  <r>
    <x v="6637"/>
    <n v="1"/>
    <n v="58"/>
    <n v="59"/>
    <n v="21"/>
    <n v="17"/>
    <x v="33"/>
    <n v="21"/>
    <n v="-3"/>
    <n v="62"/>
    <n v="0"/>
    <n v="1"/>
    <n v="3"/>
  </r>
  <r>
    <x v="6638"/>
    <n v="-3"/>
    <n v="62"/>
    <n v="59"/>
    <n v="21"/>
    <n v="20"/>
    <x v="22"/>
    <n v="23"/>
    <n v="-6"/>
    <n v="63"/>
    <n v="0"/>
    <n v="1"/>
    <n v="6"/>
  </r>
  <r>
    <x v="6639"/>
    <n v="-6"/>
    <n v="63"/>
    <n v="57"/>
    <n v="23"/>
    <n v="21"/>
    <x v="26"/>
    <n v="15"/>
    <n v="0"/>
    <n v="65"/>
    <n v="0"/>
    <n v="0"/>
    <n v="0"/>
  </r>
  <r>
    <x v="6640"/>
    <n v="0"/>
    <n v="65"/>
    <n v="65"/>
    <n v="15"/>
    <n v="21"/>
    <x v="5"/>
    <n v="24"/>
    <n v="-3"/>
    <n v="59"/>
    <n v="0"/>
    <n v="1"/>
    <n v="3"/>
  </r>
  <r>
    <x v="6641"/>
    <n v="-3"/>
    <n v="59"/>
    <n v="56"/>
    <n v="24"/>
    <n v="21"/>
    <x v="33"/>
    <n v="20"/>
    <n v="-2"/>
    <n v="62"/>
    <n v="0"/>
    <n v="1"/>
    <n v="2"/>
  </r>
  <r>
    <x v="6642"/>
    <n v="-2"/>
    <n v="62"/>
    <n v="60"/>
    <n v="20"/>
    <n v="23"/>
    <x v="5"/>
    <n v="26"/>
    <n v="-5"/>
    <n v="59"/>
    <n v="0"/>
    <n v="1"/>
    <n v="5"/>
  </r>
  <r>
    <x v="6643"/>
    <n v="-5"/>
    <n v="59"/>
    <n v="54"/>
    <n v="26"/>
    <n v="15"/>
    <x v="6"/>
    <n v="20"/>
    <n v="-10"/>
    <n v="70"/>
    <n v="0"/>
    <n v="1"/>
    <n v="10"/>
  </r>
  <r>
    <x v="6644"/>
    <n v="-10"/>
    <n v="70"/>
    <n v="60"/>
    <n v="20"/>
    <n v="24"/>
    <x v="7"/>
    <n v="21"/>
    <n v="-7"/>
    <n v="66"/>
    <n v="0"/>
    <n v="1"/>
    <n v="7"/>
  </r>
  <r>
    <x v="6645"/>
    <n v="-7"/>
    <n v="66"/>
    <n v="59"/>
    <n v="21"/>
    <n v="20"/>
    <x v="21"/>
    <n v="19"/>
    <n v="-6"/>
    <n v="67"/>
    <n v="0"/>
    <n v="1"/>
    <n v="6"/>
  </r>
  <r>
    <x v="6646"/>
    <n v="-6"/>
    <n v="67"/>
    <n v="61"/>
    <n v="19"/>
    <n v="26"/>
    <x v="4"/>
    <n v="22"/>
    <n v="-2"/>
    <n v="60"/>
    <n v="0"/>
    <n v="1"/>
    <n v="2"/>
  </r>
  <r>
    <x v="6647"/>
    <n v="-2"/>
    <n v="60"/>
    <n v="58"/>
    <n v="22"/>
    <n v="20"/>
    <x v="33"/>
    <n v="24"/>
    <n v="-6"/>
    <n v="62"/>
    <n v="0"/>
    <n v="1"/>
    <n v="6"/>
  </r>
  <r>
    <x v="6648"/>
    <n v="-6"/>
    <n v="62"/>
    <n v="56"/>
    <n v="24"/>
    <n v="21"/>
    <x v="26"/>
    <n v="28"/>
    <n v="-13"/>
    <n v="65"/>
    <n v="0"/>
    <n v="1"/>
    <n v="13"/>
  </r>
  <r>
    <x v="6649"/>
    <n v="-13"/>
    <n v="65"/>
    <n v="52"/>
    <n v="28"/>
    <n v="19"/>
    <x v="39"/>
    <n v="16"/>
    <n v="-10"/>
    <n v="74"/>
    <n v="0"/>
    <n v="1"/>
    <n v="10"/>
  </r>
  <r>
    <x v="6650"/>
    <n v="-10"/>
    <n v="74"/>
    <n v="64"/>
    <n v="16"/>
    <n v="22"/>
    <x v="17"/>
    <n v="18"/>
    <n v="-6"/>
    <n v="68"/>
    <n v="0"/>
    <n v="1"/>
    <n v="6"/>
  </r>
  <r>
    <x v="6651"/>
    <n v="-6"/>
    <n v="68"/>
    <n v="62"/>
    <n v="18"/>
    <n v="24"/>
    <x v="33"/>
    <n v="16"/>
    <n v="2"/>
    <n v="62"/>
    <n v="0.2"/>
    <n v="0"/>
    <n v="0"/>
  </r>
  <r>
    <x v="6652"/>
    <n v="2"/>
    <n v="62"/>
    <n v="64"/>
    <n v="16"/>
    <n v="28"/>
    <x v="13"/>
    <n v="15"/>
    <n v="15"/>
    <n v="50"/>
    <n v="1.5"/>
    <n v="0"/>
    <n v="0"/>
  </r>
  <r>
    <x v="6653"/>
    <n v="15"/>
    <n v="50"/>
    <n v="65"/>
    <n v="15"/>
    <n v="16"/>
    <x v="10"/>
    <n v="24"/>
    <n v="7"/>
    <n v="49"/>
    <n v="0.70000000000000007"/>
    <n v="0"/>
    <n v="0"/>
  </r>
  <r>
    <x v="6654"/>
    <n v="7"/>
    <n v="49"/>
    <n v="56"/>
    <n v="24"/>
    <n v="18"/>
    <x v="27"/>
    <n v="10"/>
    <n v="15"/>
    <n v="55"/>
    <n v="1.5"/>
    <n v="0"/>
    <n v="0"/>
  </r>
  <r>
    <x v="6655"/>
    <n v="15"/>
    <n v="55"/>
    <n v="70"/>
    <n v="10"/>
    <n v="16"/>
    <x v="10"/>
    <n v="25"/>
    <n v="6"/>
    <n v="49"/>
    <n v="0.60000000000000009"/>
    <n v="0"/>
    <n v="0"/>
  </r>
  <r>
    <x v="6656"/>
    <n v="6"/>
    <n v="49"/>
    <n v="55"/>
    <n v="25"/>
    <n v="15"/>
    <x v="5"/>
    <n v="17"/>
    <n v="4"/>
    <n v="59"/>
    <n v="0.4"/>
    <n v="0"/>
    <n v="0"/>
  </r>
  <r>
    <x v="6657"/>
    <n v="4"/>
    <n v="59"/>
    <n v="63"/>
    <n v="17"/>
    <n v="24"/>
    <x v="25"/>
    <n v="19"/>
    <n v="9"/>
    <n v="52"/>
    <n v="0.9"/>
    <n v="0"/>
    <n v="0"/>
  </r>
  <r>
    <x v="6658"/>
    <n v="9"/>
    <n v="52"/>
    <n v="61"/>
    <n v="19"/>
    <n v="10"/>
    <x v="23"/>
    <n v="24"/>
    <n v="-5"/>
    <n v="61"/>
    <n v="0"/>
    <n v="1"/>
    <n v="5"/>
  </r>
  <r>
    <x v="6659"/>
    <n v="-5"/>
    <n v="61"/>
    <n v="56"/>
    <n v="24"/>
    <n v="25"/>
    <x v="4"/>
    <n v="16"/>
    <n v="4"/>
    <n v="60"/>
    <n v="0.4"/>
    <n v="0"/>
    <n v="0"/>
  </r>
  <r>
    <x v="6660"/>
    <n v="4"/>
    <n v="60"/>
    <n v="64"/>
    <n v="16"/>
    <n v="17"/>
    <x v="5"/>
    <n v="18"/>
    <n v="3"/>
    <n v="59"/>
    <n v="0.30000000000000004"/>
    <n v="0"/>
    <n v="0"/>
  </r>
  <r>
    <x v="6661"/>
    <n v="3"/>
    <n v="59"/>
    <n v="62"/>
    <n v="18"/>
    <n v="19"/>
    <x v="28"/>
    <n v="18"/>
    <n v="4"/>
    <n v="58"/>
    <n v="0.4"/>
    <n v="0"/>
    <n v="0"/>
  </r>
  <r>
    <x v="6662"/>
    <n v="4"/>
    <n v="58"/>
    <n v="62"/>
    <n v="18"/>
    <n v="24"/>
    <x v="25"/>
    <n v="19"/>
    <n v="9"/>
    <n v="52"/>
    <n v="0.9"/>
    <n v="0"/>
    <n v="0"/>
  </r>
  <r>
    <x v="6663"/>
    <n v="9"/>
    <n v="52"/>
    <n v="61"/>
    <n v="19"/>
    <n v="16"/>
    <x v="27"/>
    <n v="21"/>
    <n v="4"/>
    <n v="55"/>
    <n v="0.4"/>
    <n v="0"/>
    <n v="0"/>
  </r>
  <r>
    <x v="6664"/>
    <n v="4"/>
    <n v="55"/>
    <n v="59"/>
    <n v="21"/>
    <n v="18"/>
    <x v="28"/>
    <n v="17"/>
    <n v="5"/>
    <n v="58"/>
    <n v="0.5"/>
    <n v="0"/>
    <n v="0"/>
  </r>
  <r>
    <x v="6665"/>
    <n v="5"/>
    <n v="58"/>
    <n v="63"/>
    <n v="17"/>
    <n v="18"/>
    <x v="24"/>
    <n v="19"/>
    <n v="4"/>
    <n v="57"/>
    <n v="0.4"/>
    <n v="0"/>
    <n v="0"/>
  </r>
  <r>
    <x v="6666"/>
    <n v="4"/>
    <n v="57"/>
    <n v="61"/>
    <n v="19"/>
    <n v="19"/>
    <x v="24"/>
    <n v="15"/>
    <n v="8"/>
    <n v="57"/>
    <n v="0.8"/>
    <n v="0"/>
    <n v="0"/>
  </r>
  <r>
    <x v="6667"/>
    <n v="8"/>
    <n v="57"/>
    <n v="65"/>
    <n v="15"/>
    <n v="21"/>
    <x v="9"/>
    <n v="18"/>
    <n v="11"/>
    <n v="51"/>
    <n v="1.1000000000000001"/>
    <n v="0"/>
    <n v="0"/>
  </r>
  <r>
    <x v="6668"/>
    <n v="11"/>
    <n v="51"/>
    <n v="62"/>
    <n v="18"/>
    <n v="17"/>
    <x v="25"/>
    <n v="27"/>
    <n v="1"/>
    <n v="52"/>
    <n v="0.1"/>
    <n v="0"/>
    <n v="0"/>
  </r>
  <r>
    <x v="6669"/>
    <n v="1"/>
    <n v="52"/>
    <n v="53"/>
    <n v="27"/>
    <n v="19"/>
    <x v="4"/>
    <n v="17"/>
    <n v="3"/>
    <n v="60"/>
    <n v="0.30000000000000004"/>
    <n v="0"/>
    <n v="0"/>
  </r>
  <r>
    <x v="6670"/>
    <n v="3"/>
    <n v="60"/>
    <n v="63"/>
    <n v="17"/>
    <n v="15"/>
    <x v="33"/>
    <n v="29"/>
    <n v="-11"/>
    <n v="62"/>
    <n v="0"/>
    <n v="1"/>
    <n v="11"/>
  </r>
  <r>
    <x v="6671"/>
    <n v="-11"/>
    <n v="62"/>
    <n v="51"/>
    <n v="29"/>
    <n v="18"/>
    <x v="31"/>
    <n v="21"/>
    <n v="-14"/>
    <n v="73"/>
    <n v="0"/>
    <n v="1"/>
    <n v="14"/>
  </r>
  <r>
    <x v="6672"/>
    <n v="-14"/>
    <n v="73"/>
    <n v="59"/>
    <n v="21"/>
    <n v="27"/>
    <x v="21"/>
    <n v="16"/>
    <n v="-3"/>
    <n v="67"/>
    <n v="0"/>
    <n v="1"/>
    <n v="3"/>
  </r>
  <r>
    <x v="6673"/>
    <n v="-3"/>
    <n v="67"/>
    <n v="64"/>
    <n v="16"/>
    <n v="17"/>
    <x v="7"/>
    <n v="21"/>
    <n v="-7"/>
    <n v="66"/>
    <n v="0"/>
    <n v="1"/>
    <n v="7"/>
  </r>
  <r>
    <x v="6674"/>
    <n v="-7"/>
    <n v="66"/>
    <n v="59"/>
    <n v="21"/>
    <n v="29"/>
    <x v="28"/>
    <n v="24"/>
    <n v="-2"/>
    <n v="58"/>
    <n v="0"/>
    <n v="1"/>
    <n v="2"/>
  </r>
  <r>
    <x v="6675"/>
    <n v="-2"/>
    <n v="58"/>
    <n v="56"/>
    <n v="24"/>
    <n v="21"/>
    <x v="23"/>
    <n v="16"/>
    <n v="3"/>
    <n v="61"/>
    <n v="0.30000000000000004"/>
    <n v="0"/>
    <n v="0"/>
  </r>
  <r>
    <x v="6676"/>
    <n v="3"/>
    <n v="61"/>
    <n v="64"/>
    <n v="16"/>
    <n v="16"/>
    <x v="23"/>
    <n v="17"/>
    <n v="2"/>
    <n v="61"/>
    <n v="0.2"/>
    <n v="0"/>
    <n v="0"/>
  </r>
  <r>
    <x v="6677"/>
    <n v="2"/>
    <n v="61"/>
    <n v="63"/>
    <n v="17"/>
    <n v="21"/>
    <x v="24"/>
    <n v="22"/>
    <n v="1"/>
    <n v="57"/>
    <n v="0.1"/>
    <n v="0"/>
    <n v="0"/>
  </r>
  <r>
    <x v="6678"/>
    <n v="1"/>
    <n v="57"/>
    <n v="58"/>
    <n v="22"/>
    <n v="24"/>
    <x v="27"/>
    <n v="22"/>
    <n v="3"/>
    <n v="55"/>
    <n v="0.30000000000000004"/>
    <n v="0"/>
    <n v="0"/>
  </r>
  <r>
    <x v="6679"/>
    <n v="3"/>
    <n v="55"/>
    <n v="58"/>
    <n v="22"/>
    <n v="16"/>
    <x v="23"/>
    <n v="16"/>
    <n v="3"/>
    <n v="61"/>
    <n v="0.30000000000000004"/>
    <n v="0"/>
    <n v="0"/>
  </r>
  <r>
    <x v="6680"/>
    <n v="3"/>
    <n v="61"/>
    <n v="64"/>
    <n v="16"/>
    <n v="17"/>
    <x v="4"/>
    <n v="26"/>
    <n v="-6"/>
    <n v="60"/>
    <n v="0"/>
    <n v="1"/>
    <n v="6"/>
  </r>
  <r>
    <x v="6681"/>
    <n v="-6"/>
    <n v="60"/>
    <n v="54"/>
    <n v="26"/>
    <n v="22"/>
    <x v="8"/>
    <n v="20"/>
    <n v="-4"/>
    <n v="64"/>
    <n v="0"/>
    <n v="1"/>
    <n v="4"/>
  </r>
  <r>
    <x v="6682"/>
    <n v="-4"/>
    <n v="64"/>
    <n v="60"/>
    <n v="20"/>
    <n v="22"/>
    <x v="33"/>
    <n v="18"/>
    <n v="0"/>
    <n v="62"/>
    <n v="0"/>
    <n v="0"/>
    <n v="0"/>
  </r>
  <r>
    <x v="6683"/>
    <n v="0"/>
    <n v="62"/>
    <n v="62"/>
    <n v="18"/>
    <n v="16"/>
    <x v="8"/>
    <n v="20"/>
    <n v="-4"/>
    <n v="64"/>
    <n v="0"/>
    <n v="1"/>
    <n v="4"/>
  </r>
  <r>
    <x v="6684"/>
    <n v="-4"/>
    <n v="64"/>
    <n v="60"/>
    <n v="20"/>
    <n v="26"/>
    <x v="28"/>
    <n v="15"/>
    <n v="7"/>
    <n v="58"/>
    <n v="0.70000000000000007"/>
    <n v="0"/>
    <n v="0"/>
  </r>
  <r>
    <x v="6685"/>
    <n v="7"/>
    <n v="58"/>
    <n v="65"/>
    <n v="15"/>
    <n v="20"/>
    <x v="12"/>
    <n v="13"/>
    <n v="14"/>
    <n v="53"/>
    <n v="1.4000000000000001"/>
    <n v="0"/>
    <n v="0"/>
  </r>
  <r>
    <x v="6686"/>
    <n v="14"/>
    <n v="53"/>
    <n v="67"/>
    <n v="13"/>
    <n v="18"/>
    <x v="15"/>
    <n v="17"/>
    <n v="15"/>
    <n v="48"/>
    <n v="1.5"/>
    <n v="0"/>
    <n v="0"/>
  </r>
  <r>
    <x v="6687"/>
    <n v="15"/>
    <n v="48"/>
    <n v="63"/>
    <n v="17"/>
    <n v="20"/>
    <x v="11"/>
    <n v="25"/>
    <n v="10"/>
    <n v="45"/>
    <n v="1"/>
    <n v="0"/>
    <n v="0"/>
  </r>
  <r>
    <x v="6688"/>
    <n v="10"/>
    <n v="45"/>
    <n v="55"/>
    <n v="25"/>
    <n v="15"/>
    <x v="27"/>
    <n v="19"/>
    <n v="6"/>
    <n v="55"/>
    <n v="0.60000000000000009"/>
    <n v="0"/>
    <n v="0"/>
  </r>
  <r>
    <x v="6689"/>
    <n v="6"/>
    <n v="55"/>
    <n v="61"/>
    <n v="19"/>
    <n v="13"/>
    <x v="23"/>
    <n v="15"/>
    <n v="4"/>
    <n v="61"/>
    <n v="0.4"/>
    <n v="0"/>
    <n v="0"/>
  </r>
  <r>
    <x v="6690"/>
    <n v="4"/>
    <n v="61"/>
    <n v="65"/>
    <n v="15"/>
    <n v="17"/>
    <x v="5"/>
    <n v="14"/>
    <n v="7"/>
    <n v="59"/>
    <n v="0.70000000000000007"/>
    <n v="0"/>
    <n v="0"/>
  </r>
  <r>
    <x v="6691"/>
    <n v="7"/>
    <n v="59"/>
    <n v="66"/>
    <n v="14"/>
    <n v="25"/>
    <x v="15"/>
    <n v="25"/>
    <n v="7"/>
    <n v="48"/>
    <n v="0.70000000000000007"/>
    <n v="0"/>
    <n v="0"/>
  </r>
  <r>
    <x v="6692"/>
    <n v="7"/>
    <n v="48"/>
    <n v="55"/>
    <n v="25"/>
    <n v="19"/>
    <x v="16"/>
    <n v="20"/>
    <n v="6"/>
    <n v="54"/>
    <n v="0.60000000000000009"/>
    <n v="0"/>
    <n v="0"/>
  </r>
  <r>
    <x v="6693"/>
    <n v="6"/>
    <n v="54"/>
    <n v="60"/>
    <n v="20"/>
    <n v="15"/>
    <x v="5"/>
    <n v="17"/>
    <n v="4"/>
    <n v="59"/>
    <n v="0.4"/>
    <n v="0"/>
    <n v="0"/>
  </r>
  <r>
    <x v="6694"/>
    <n v="4"/>
    <n v="59"/>
    <n v="63"/>
    <n v="17"/>
    <n v="14"/>
    <x v="33"/>
    <n v="16"/>
    <n v="2"/>
    <n v="62"/>
    <n v="0.2"/>
    <n v="0"/>
    <n v="0"/>
  </r>
  <r>
    <x v="6695"/>
    <n v="2"/>
    <n v="62"/>
    <n v="64"/>
    <n v="16"/>
    <n v="25"/>
    <x v="12"/>
    <n v="18"/>
    <n v="9"/>
    <n v="53"/>
    <n v="0.9"/>
    <n v="0"/>
    <n v="0"/>
  </r>
  <r>
    <x v="6696"/>
    <n v="9"/>
    <n v="53"/>
    <n v="62"/>
    <n v="18"/>
    <n v="20"/>
    <x v="9"/>
    <n v="26"/>
    <n v="3"/>
    <n v="51"/>
    <n v="0.30000000000000004"/>
    <n v="0"/>
    <n v="0"/>
  </r>
  <r>
    <x v="6697"/>
    <n v="3"/>
    <n v="51"/>
    <n v="54"/>
    <n v="26"/>
    <n v="17"/>
    <x v="4"/>
    <n v="21"/>
    <n v="-1"/>
    <n v="60"/>
    <n v="0"/>
    <n v="1"/>
    <n v="1"/>
  </r>
  <r>
    <x v="6698"/>
    <n v="-1"/>
    <n v="60"/>
    <n v="59"/>
    <n v="21"/>
    <n v="16"/>
    <x v="26"/>
    <n v="18"/>
    <n v="-3"/>
    <n v="65"/>
    <n v="0"/>
    <n v="1"/>
    <n v="3"/>
  </r>
  <r>
    <x v="6699"/>
    <n v="-3"/>
    <n v="65"/>
    <n v="62"/>
    <n v="18"/>
    <n v="18"/>
    <x v="26"/>
    <n v="12"/>
    <n v="3"/>
    <n v="65"/>
    <n v="0.30000000000000004"/>
    <n v="0"/>
    <n v="0"/>
  </r>
  <r>
    <x v="6700"/>
    <n v="3"/>
    <n v="65"/>
    <n v="68"/>
    <n v="12"/>
    <n v="26"/>
    <x v="9"/>
    <n v="18"/>
    <n v="11"/>
    <n v="51"/>
    <n v="1.1000000000000001"/>
    <n v="0"/>
    <n v="0"/>
  </r>
  <r>
    <x v="6701"/>
    <n v="11"/>
    <n v="51"/>
    <n v="62"/>
    <n v="18"/>
    <n v="21"/>
    <x v="15"/>
    <n v="22"/>
    <n v="10"/>
    <n v="48"/>
    <n v="1"/>
    <n v="0"/>
    <n v="0"/>
  </r>
  <r>
    <x v="6702"/>
    <n v="10"/>
    <n v="48"/>
    <n v="58"/>
    <n v="22"/>
    <n v="18"/>
    <x v="25"/>
    <n v="27"/>
    <n v="1"/>
    <n v="52"/>
    <n v="0.1"/>
    <n v="0"/>
    <n v="0"/>
  </r>
  <r>
    <x v="6703"/>
    <n v="1"/>
    <n v="52"/>
    <n v="53"/>
    <n v="27"/>
    <n v="12"/>
    <x v="21"/>
    <n v="26"/>
    <n v="-13"/>
    <n v="67"/>
    <n v="0"/>
    <n v="1"/>
    <n v="13"/>
  </r>
  <r>
    <x v="6704"/>
    <n v="-13"/>
    <n v="67"/>
    <n v="54"/>
    <n v="26"/>
    <n v="18"/>
    <x v="44"/>
    <n v="28"/>
    <n v="-23"/>
    <n v="75"/>
    <n v="0"/>
    <n v="1"/>
    <n v="23"/>
  </r>
  <r>
    <x v="6705"/>
    <n v="-23"/>
    <n v="75"/>
    <n v="52"/>
    <n v="28"/>
    <n v="22"/>
    <x v="41"/>
    <n v="19"/>
    <n v="-20"/>
    <n v="81"/>
    <n v="0"/>
    <n v="1"/>
    <n v="19"/>
  </r>
  <r>
    <x v="6706"/>
    <n v="-20"/>
    <n v="81"/>
    <n v="61"/>
    <n v="19"/>
    <n v="27"/>
    <x v="31"/>
    <n v="13"/>
    <n v="-6"/>
    <n v="73"/>
    <n v="0"/>
    <n v="1"/>
    <n v="6"/>
  </r>
  <r>
    <x v="6707"/>
    <n v="-6"/>
    <n v="73"/>
    <n v="67"/>
    <n v="13"/>
    <n v="26"/>
    <x v="4"/>
    <n v="16"/>
    <n v="4"/>
    <n v="60"/>
    <n v="0.4"/>
    <n v="0"/>
    <n v="0"/>
  </r>
  <r>
    <x v="6708"/>
    <n v="4"/>
    <n v="60"/>
    <n v="64"/>
    <n v="16"/>
    <n v="28"/>
    <x v="15"/>
    <n v="20"/>
    <n v="12"/>
    <n v="48"/>
    <n v="1.2000000000000002"/>
    <n v="0"/>
    <n v="0"/>
  </r>
  <r>
    <x v="6709"/>
    <n v="12"/>
    <n v="48"/>
    <n v="60"/>
    <n v="20"/>
    <n v="19"/>
    <x v="10"/>
    <n v="14"/>
    <n v="17"/>
    <n v="49"/>
    <n v="1.7000000000000002"/>
    <n v="0"/>
    <n v="0"/>
  </r>
  <r>
    <x v="6710"/>
    <n v="17"/>
    <n v="49"/>
    <n v="66"/>
    <n v="14"/>
    <n v="13"/>
    <x v="13"/>
    <n v="20"/>
    <n v="10"/>
    <n v="50"/>
    <n v="1"/>
    <n v="0"/>
    <n v="0"/>
  </r>
  <r>
    <x v="6711"/>
    <n v="10"/>
    <n v="50"/>
    <n v="60"/>
    <n v="20"/>
    <n v="16"/>
    <x v="16"/>
    <n v="14"/>
    <n v="12"/>
    <n v="54"/>
    <n v="1.2000000000000002"/>
    <n v="0"/>
    <n v="0"/>
  </r>
  <r>
    <x v="6712"/>
    <n v="12"/>
    <n v="54"/>
    <n v="66"/>
    <n v="14"/>
    <n v="20"/>
    <x v="15"/>
    <n v="23"/>
    <n v="9"/>
    <n v="48"/>
    <n v="0.9"/>
    <n v="0"/>
    <n v="0"/>
  </r>
  <r>
    <x v="6713"/>
    <n v="9"/>
    <n v="48"/>
    <n v="57"/>
    <n v="23"/>
    <n v="14"/>
    <x v="24"/>
    <n v="16"/>
    <n v="7"/>
    <n v="57"/>
    <n v="0.70000000000000007"/>
    <n v="0"/>
    <n v="0"/>
  </r>
  <r>
    <x v="6714"/>
    <n v="7"/>
    <n v="57"/>
    <n v="64"/>
    <n v="16"/>
    <n v="20"/>
    <x v="12"/>
    <n v="20"/>
    <n v="7"/>
    <n v="53"/>
    <n v="0.70000000000000007"/>
    <n v="0"/>
    <n v="0"/>
  </r>
  <r>
    <x v="6715"/>
    <n v="7"/>
    <n v="53"/>
    <n v="60"/>
    <n v="20"/>
    <n v="14"/>
    <x v="5"/>
    <n v="20"/>
    <n v="1"/>
    <n v="59"/>
    <n v="0.1"/>
    <n v="0"/>
    <n v="0"/>
  </r>
  <r>
    <x v="6716"/>
    <n v="1"/>
    <n v="59"/>
    <n v="60"/>
    <n v="20"/>
    <n v="23"/>
    <x v="32"/>
    <n v="20"/>
    <n v="4"/>
    <n v="56"/>
    <n v="0.4"/>
    <n v="0"/>
    <n v="0"/>
  </r>
  <r>
    <x v="6717"/>
    <n v="4"/>
    <n v="56"/>
    <n v="60"/>
    <n v="20"/>
    <n v="16"/>
    <x v="4"/>
    <n v="27"/>
    <n v="-7"/>
    <n v="60"/>
    <n v="0"/>
    <n v="1"/>
    <n v="7"/>
  </r>
  <r>
    <x v="6718"/>
    <n v="-7"/>
    <n v="60"/>
    <n v="53"/>
    <n v="27"/>
    <n v="20"/>
    <x v="21"/>
    <n v="24"/>
    <n v="-11"/>
    <n v="67"/>
    <n v="0"/>
    <n v="1"/>
    <n v="11"/>
  </r>
  <r>
    <x v="6719"/>
    <n v="-11"/>
    <n v="67"/>
    <n v="56"/>
    <n v="24"/>
    <n v="20"/>
    <x v="20"/>
    <n v="19"/>
    <n v="-10"/>
    <n v="71"/>
    <n v="0"/>
    <n v="1"/>
    <n v="10"/>
  </r>
  <r>
    <x v="6720"/>
    <n v="-10"/>
    <n v="71"/>
    <n v="61"/>
    <n v="19"/>
    <n v="20"/>
    <x v="6"/>
    <n v="21"/>
    <n v="-11"/>
    <n v="70"/>
    <n v="0"/>
    <n v="1"/>
    <n v="11"/>
  </r>
  <r>
    <x v="6721"/>
    <n v="-11"/>
    <n v="70"/>
    <n v="59"/>
    <n v="21"/>
    <n v="27"/>
    <x v="8"/>
    <n v="23"/>
    <n v="-7"/>
    <n v="64"/>
    <n v="0"/>
    <n v="1"/>
    <n v="7"/>
  </r>
  <r>
    <x v="6722"/>
    <n v="-7"/>
    <n v="64"/>
    <n v="57"/>
    <n v="23"/>
    <n v="24"/>
    <x v="22"/>
    <n v="21"/>
    <n v="-4"/>
    <n v="63"/>
    <n v="0"/>
    <n v="1"/>
    <n v="4"/>
  </r>
  <r>
    <x v="6723"/>
    <n v="-4"/>
    <n v="63"/>
    <n v="59"/>
    <n v="21"/>
    <n v="19"/>
    <x v="26"/>
    <n v="10"/>
    <n v="5"/>
    <n v="65"/>
    <n v="0.5"/>
    <n v="0"/>
    <n v="0"/>
  </r>
  <r>
    <x v="6724"/>
    <n v="5"/>
    <n v="65"/>
    <n v="70"/>
    <n v="10"/>
    <n v="21"/>
    <x v="16"/>
    <n v="24"/>
    <n v="2"/>
    <n v="54"/>
    <n v="0.2"/>
    <n v="0"/>
    <n v="0"/>
  </r>
  <r>
    <x v="6725"/>
    <n v="2"/>
    <n v="54"/>
    <n v="56"/>
    <n v="24"/>
    <n v="23"/>
    <x v="27"/>
    <n v="22"/>
    <n v="3"/>
    <n v="55"/>
    <n v="0.30000000000000004"/>
    <n v="0"/>
    <n v="0"/>
  </r>
  <r>
    <x v="6726"/>
    <n v="3"/>
    <n v="55"/>
    <n v="58"/>
    <n v="22"/>
    <n v="21"/>
    <x v="32"/>
    <n v="20"/>
    <n v="4"/>
    <n v="56"/>
    <n v="0.4"/>
    <n v="0"/>
    <n v="0"/>
  </r>
  <r>
    <x v="6727"/>
    <n v="4"/>
    <n v="56"/>
    <n v="60"/>
    <n v="20"/>
    <n v="10"/>
    <x v="7"/>
    <n v="19"/>
    <n v="-5"/>
    <n v="66"/>
    <n v="0"/>
    <n v="1"/>
    <n v="5"/>
  </r>
  <r>
    <x v="6728"/>
    <n v="-5"/>
    <n v="66"/>
    <n v="61"/>
    <n v="19"/>
    <n v="24"/>
    <x v="23"/>
    <n v="10"/>
    <n v="9"/>
    <n v="61"/>
    <n v="0.9"/>
    <n v="0"/>
    <n v="0"/>
  </r>
  <r>
    <x v="6729"/>
    <n v="9"/>
    <n v="61"/>
    <n v="70"/>
    <n v="10"/>
    <n v="22"/>
    <x v="10"/>
    <n v="19"/>
    <n v="12"/>
    <n v="49"/>
    <n v="1.2000000000000002"/>
    <n v="0"/>
    <n v="0"/>
  </r>
  <r>
    <x v="6730"/>
    <n v="12"/>
    <n v="49"/>
    <n v="61"/>
    <n v="19"/>
    <n v="20"/>
    <x v="15"/>
    <n v="13"/>
    <n v="19"/>
    <n v="48"/>
    <n v="1.9000000000000001"/>
    <n v="0"/>
    <n v="0"/>
  </r>
  <r>
    <x v="6731"/>
    <n v="19"/>
    <n v="48"/>
    <n v="67"/>
    <n v="13"/>
    <n v="19"/>
    <x v="40"/>
    <n v="25"/>
    <n v="13"/>
    <n v="42"/>
    <n v="1.3"/>
    <n v="0"/>
    <n v="0"/>
  </r>
  <r>
    <x v="6732"/>
    <n v="13"/>
    <n v="42"/>
    <n v="55"/>
    <n v="25"/>
    <n v="10"/>
    <x v="24"/>
    <n v="20"/>
    <n v="3"/>
    <n v="57"/>
    <n v="0.30000000000000004"/>
    <n v="0"/>
    <n v="0"/>
  </r>
  <r>
    <x v="6733"/>
    <n v="3"/>
    <n v="57"/>
    <n v="60"/>
    <n v="20"/>
    <n v="19"/>
    <x v="28"/>
    <n v="17"/>
    <n v="5"/>
    <n v="58"/>
    <n v="0.5"/>
    <n v="0"/>
    <n v="0"/>
  </r>
  <r>
    <x v="6734"/>
    <n v="5"/>
    <n v="58"/>
    <n v="63"/>
    <n v="17"/>
    <n v="13"/>
    <x v="33"/>
    <n v="17"/>
    <n v="1"/>
    <n v="62"/>
    <n v="0.1"/>
    <n v="0"/>
    <n v="0"/>
  </r>
  <r>
    <x v="6735"/>
    <n v="1"/>
    <n v="62"/>
    <n v="63"/>
    <n v="17"/>
    <n v="25"/>
    <x v="16"/>
    <n v="18"/>
    <n v="8"/>
    <n v="54"/>
    <n v="0.8"/>
    <n v="0"/>
    <n v="0"/>
  </r>
  <r>
    <x v="6736"/>
    <n v="8"/>
    <n v="54"/>
    <n v="62"/>
    <n v="18"/>
    <n v="20"/>
    <x v="25"/>
    <n v="24"/>
    <n v="4"/>
    <n v="52"/>
    <n v="0.4"/>
    <n v="0"/>
    <n v="0"/>
  </r>
  <r>
    <x v="6737"/>
    <n v="4"/>
    <n v="52"/>
    <n v="56"/>
    <n v="24"/>
    <n v="17"/>
    <x v="5"/>
    <n v="30"/>
    <n v="-9"/>
    <n v="59"/>
    <n v="0"/>
    <n v="1"/>
    <n v="9"/>
  </r>
  <r>
    <x v="6738"/>
    <n v="-9"/>
    <n v="59"/>
    <n v="50"/>
    <n v="30"/>
    <n v="17"/>
    <x v="29"/>
    <n v="15"/>
    <n v="-7"/>
    <n v="72"/>
    <n v="0"/>
    <n v="1"/>
    <n v="7"/>
  </r>
  <r>
    <x v="6739"/>
    <n v="-7"/>
    <n v="72"/>
    <n v="65"/>
    <n v="15"/>
    <n v="18"/>
    <x v="30"/>
    <n v="20"/>
    <n v="-9"/>
    <n v="69"/>
    <n v="0"/>
    <n v="1"/>
    <n v="9"/>
  </r>
  <r>
    <x v="6740"/>
    <n v="-9"/>
    <n v="69"/>
    <n v="60"/>
    <n v="20"/>
    <n v="24"/>
    <x v="26"/>
    <n v="22"/>
    <n v="-7"/>
    <n v="65"/>
    <n v="0"/>
    <n v="1"/>
    <n v="7"/>
  </r>
  <r>
    <x v="6741"/>
    <n v="-7"/>
    <n v="65"/>
    <n v="58"/>
    <n v="22"/>
    <n v="30"/>
    <x v="24"/>
    <n v="22"/>
    <n v="1"/>
    <n v="57"/>
    <n v="0.1"/>
    <n v="0"/>
    <n v="0"/>
  </r>
  <r>
    <x v="6742"/>
    <n v="1"/>
    <n v="57"/>
    <n v="58"/>
    <n v="22"/>
    <n v="15"/>
    <x v="8"/>
    <n v="21"/>
    <n v="-5"/>
    <n v="64"/>
    <n v="0"/>
    <n v="1"/>
    <n v="5"/>
  </r>
  <r>
    <x v="6743"/>
    <n v="-5"/>
    <n v="64"/>
    <n v="59"/>
    <n v="21"/>
    <n v="20"/>
    <x v="26"/>
    <n v="25"/>
    <n v="-10"/>
    <n v="65"/>
    <n v="0"/>
    <n v="1"/>
    <n v="10"/>
  </r>
  <r>
    <x v="6744"/>
    <n v="-10"/>
    <n v="65"/>
    <n v="55"/>
    <n v="25"/>
    <n v="22"/>
    <x v="17"/>
    <n v="20"/>
    <n v="-8"/>
    <n v="68"/>
    <n v="0"/>
    <n v="1"/>
    <n v="8"/>
  </r>
  <r>
    <x v="6745"/>
    <n v="-8"/>
    <n v="68"/>
    <n v="60"/>
    <n v="20"/>
    <n v="22"/>
    <x v="7"/>
    <n v="20"/>
    <n v="-6"/>
    <n v="66"/>
    <n v="0"/>
    <n v="1"/>
    <n v="6"/>
  </r>
  <r>
    <x v="6746"/>
    <n v="-6"/>
    <n v="66"/>
    <n v="60"/>
    <n v="20"/>
    <n v="21"/>
    <x v="26"/>
    <n v="19"/>
    <n v="-4"/>
    <n v="65"/>
    <n v="0"/>
    <n v="1"/>
    <n v="4"/>
  </r>
  <r>
    <x v="6747"/>
    <n v="-4"/>
    <n v="65"/>
    <n v="61"/>
    <n v="19"/>
    <n v="25"/>
    <x v="5"/>
    <n v="19"/>
    <n v="2"/>
    <n v="59"/>
    <n v="0.2"/>
    <n v="0"/>
    <n v="0"/>
  </r>
  <r>
    <x v="6748"/>
    <n v="2"/>
    <n v="59"/>
    <n v="61"/>
    <n v="19"/>
    <n v="20"/>
    <x v="28"/>
    <n v="24"/>
    <n v="-2"/>
    <n v="58"/>
    <n v="0"/>
    <n v="1"/>
    <n v="2"/>
  </r>
  <r>
    <x v="6749"/>
    <n v="-2"/>
    <n v="58"/>
    <n v="56"/>
    <n v="24"/>
    <n v="20"/>
    <x v="33"/>
    <n v="16"/>
    <n v="2"/>
    <n v="62"/>
    <n v="0.2"/>
    <n v="0"/>
    <n v="0"/>
  </r>
  <r>
    <x v="6750"/>
    <n v="2"/>
    <n v="62"/>
    <n v="64"/>
    <n v="16"/>
    <n v="19"/>
    <x v="5"/>
    <n v="21"/>
    <n v="0"/>
    <n v="59"/>
    <n v="0"/>
    <n v="0"/>
    <n v="0"/>
  </r>
  <r>
    <x v="6751"/>
    <n v="0"/>
    <n v="59"/>
    <n v="59"/>
    <n v="21"/>
    <n v="19"/>
    <x v="23"/>
    <n v="19"/>
    <n v="0"/>
    <n v="61"/>
    <n v="0"/>
    <n v="0"/>
    <n v="0"/>
  </r>
  <r>
    <x v="6752"/>
    <n v="0"/>
    <n v="61"/>
    <n v="61"/>
    <n v="19"/>
    <n v="24"/>
    <x v="32"/>
    <n v="21"/>
    <n v="3"/>
    <n v="56"/>
    <n v="0.30000000000000004"/>
    <n v="0"/>
    <n v="0"/>
  </r>
  <r>
    <x v="6753"/>
    <n v="3"/>
    <n v="56"/>
    <n v="59"/>
    <n v="21"/>
    <n v="16"/>
    <x v="23"/>
    <n v="26"/>
    <n v="-7"/>
    <n v="61"/>
    <n v="0"/>
    <n v="1"/>
    <n v="7"/>
  </r>
  <r>
    <x v="6754"/>
    <n v="-7"/>
    <n v="61"/>
    <n v="54"/>
    <n v="26"/>
    <n v="21"/>
    <x v="7"/>
    <n v="21"/>
    <n v="-7"/>
    <n v="66"/>
    <n v="0"/>
    <n v="1"/>
    <n v="7"/>
  </r>
  <r>
    <x v="6755"/>
    <n v="-7"/>
    <n v="66"/>
    <n v="59"/>
    <n v="21"/>
    <n v="19"/>
    <x v="17"/>
    <n v="17"/>
    <n v="-5"/>
    <n v="68"/>
    <n v="0"/>
    <n v="1"/>
    <n v="5"/>
  </r>
  <r>
    <x v="6756"/>
    <n v="-5"/>
    <n v="68"/>
    <n v="63"/>
    <n v="17"/>
    <n v="21"/>
    <x v="8"/>
    <n v="28"/>
    <n v="-12"/>
    <n v="64"/>
    <n v="0"/>
    <n v="1"/>
    <n v="12"/>
  </r>
  <r>
    <x v="6757"/>
    <n v="-12"/>
    <n v="64"/>
    <n v="52"/>
    <n v="28"/>
    <n v="26"/>
    <x v="7"/>
    <n v="24"/>
    <n v="-10"/>
    <n v="66"/>
    <n v="0"/>
    <n v="1"/>
    <n v="10"/>
  </r>
  <r>
    <x v="6758"/>
    <n v="-10"/>
    <n v="66"/>
    <n v="56"/>
    <n v="24"/>
    <n v="21"/>
    <x v="30"/>
    <n v="24"/>
    <n v="-13"/>
    <n v="69"/>
    <n v="0"/>
    <n v="1"/>
    <n v="13"/>
  </r>
  <r>
    <x v="6759"/>
    <n v="-13"/>
    <n v="69"/>
    <n v="56"/>
    <n v="24"/>
    <n v="17"/>
    <x v="37"/>
    <n v="23"/>
    <n v="-19"/>
    <n v="76"/>
    <n v="0"/>
    <n v="1"/>
    <n v="19"/>
  </r>
  <r>
    <x v="6760"/>
    <n v="-19"/>
    <n v="76"/>
    <n v="57"/>
    <n v="23"/>
    <n v="28"/>
    <x v="20"/>
    <n v="18"/>
    <n v="-9"/>
    <n v="71"/>
    <n v="0"/>
    <n v="1"/>
    <n v="9"/>
  </r>
  <r>
    <x v="6761"/>
    <n v="-9"/>
    <n v="71"/>
    <n v="62"/>
    <n v="18"/>
    <n v="24"/>
    <x v="26"/>
    <n v="24"/>
    <n v="-9"/>
    <n v="65"/>
    <n v="0"/>
    <n v="1"/>
    <n v="9"/>
  </r>
  <r>
    <x v="6762"/>
    <n v="-9"/>
    <n v="65"/>
    <n v="56"/>
    <n v="24"/>
    <n v="24"/>
    <x v="26"/>
    <n v="23"/>
    <n v="-8"/>
    <n v="65"/>
    <n v="0"/>
    <n v="1"/>
    <n v="8"/>
  </r>
  <r>
    <x v="6763"/>
    <n v="-8"/>
    <n v="65"/>
    <n v="57"/>
    <n v="23"/>
    <n v="23"/>
    <x v="26"/>
    <n v="20"/>
    <n v="-5"/>
    <n v="65"/>
    <n v="0"/>
    <n v="1"/>
    <n v="5"/>
  </r>
  <r>
    <x v="6764"/>
    <n v="-5"/>
    <n v="65"/>
    <n v="60"/>
    <n v="20"/>
    <n v="18"/>
    <x v="21"/>
    <n v="18"/>
    <n v="-5"/>
    <n v="67"/>
    <n v="0"/>
    <n v="1"/>
    <n v="5"/>
  </r>
  <r>
    <x v="6765"/>
    <n v="-5"/>
    <n v="67"/>
    <n v="62"/>
    <n v="18"/>
    <n v="24"/>
    <x v="23"/>
    <n v="14"/>
    <n v="5"/>
    <n v="61"/>
    <n v="0.5"/>
    <n v="0"/>
    <n v="0"/>
  </r>
  <r>
    <x v="6766"/>
    <n v="5"/>
    <n v="61"/>
    <n v="66"/>
    <n v="14"/>
    <n v="23"/>
    <x v="25"/>
    <n v="22"/>
    <n v="6"/>
    <n v="52"/>
    <n v="0.60000000000000009"/>
    <n v="0"/>
    <n v="0"/>
  </r>
  <r>
    <x v="6767"/>
    <n v="6"/>
    <n v="52"/>
    <n v="58"/>
    <n v="22"/>
    <n v="20"/>
    <x v="16"/>
    <n v="22"/>
    <n v="4"/>
    <n v="54"/>
    <n v="0.4"/>
    <n v="0"/>
    <n v="0"/>
  </r>
  <r>
    <x v="6768"/>
    <n v="4"/>
    <n v="54"/>
    <n v="58"/>
    <n v="22"/>
    <n v="18"/>
    <x v="28"/>
    <n v="18"/>
    <n v="4"/>
    <n v="58"/>
    <n v="0.4"/>
    <n v="0"/>
    <n v="0"/>
  </r>
  <r>
    <x v="6769"/>
    <n v="4"/>
    <n v="58"/>
    <n v="62"/>
    <n v="18"/>
    <n v="14"/>
    <x v="33"/>
    <n v="20"/>
    <n v="-2"/>
    <n v="62"/>
    <n v="0"/>
    <n v="1"/>
    <n v="2"/>
  </r>
  <r>
    <x v="6770"/>
    <n v="-2"/>
    <n v="62"/>
    <n v="60"/>
    <n v="20"/>
    <n v="22"/>
    <x v="4"/>
    <n v="11"/>
    <n v="9"/>
    <n v="60"/>
    <n v="0.9"/>
    <n v="0"/>
    <n v="0"/>
  </r>
  <r>
    <x v="6771"/>
    <n v="9"/>
    <n v="60"/>
    <n v="69"/>
    <n v="11"/>
    <n v="22"/>
    <x v="10"/>
    <n v="19"/>
    <n v="12"/>
    <n v="49"/>
    <n v="1.2000000000000002"/>
    <n v="0"/>
    <n v="0"/>
  </r>
  <r>
    <x v="6772"/>
    <n v="12"/>
    <n v="49"/>
    <n v="61"/>
    <n v="19"/>
    <n v="18"/>
    <x v="13"/>
    <n v="18"/>
    <n v="12"/>
    <n v="50"/>
    <n v="1.2000000000000002"/>
    <n v="0"/>
    <n v="0"/>
  </r>
  <r>
    <x v="6773"/>
    <n v="12"/>
    <n v="50"/>
    <n v="62"/>
    <n v="18"/>
    <n v="20"/>
    <x v="15"/>
    <n v="18"/>
    <n v="14"/>
    <n v="48"/>
    <n v="1.4000000000000001"/>
    <n v="0"/>
    <n v="0"/>
  </r>
  <r>
    <x v="6774"/>
    <n v="14"/>
    <n v="48"/>
    <n v="62"/>
    <n v="18"/>
    <n v="11"/>
    <x v="27"/>
    <n v="14"/>
    <n v="11"/>
    <n v="55"/>
    <n v="1.1000000000000001"/>
    <n v="0"/>
    <n v="0"/>
  </r>
  <r>
    <x v="6775"/>
    <n v="11"/>
    <n v="55"/>
    <n v="66"/>
    <n v="14"/>
    <n v="19"/>
    <x v="13"/>
    <n v="18"/>
    <n v="12"/>
    <n v="50"/>
    <n v="1.2000000000000002"/>
    <n v="0"/>
    <n v="0"/>
  </r>
  <r>
    <x v="6776"/>
    <n v="12"/>
    <n v="50"/>
    <n v="62"/>
    <n v="18"/>
    <n v="18"/>
    <x v="13"/>
    <n v="21"/>
    <n v="9"/>
    <n v="50"/>
    <n v="0.9"/>
    <n v="0"/>
    <n v="0"/>
  </r>
  <r>
    <x v="6777"/>
    <n v="9"/>
    <n v="50"/>
    <n v="59"/>
    <n v="21"/>
    <n v="18"/>
    <x v="12"/>
    <n v="22"/>
    <n v="5"/>
    <n v="53"/>
    <n v="0.5"/>
    <n v="0"/>
    <n v="0"/>
  </r>
  <r>
    <x v="6778"/>
    <n v="5"/>
    <n v="53"/>
    <n v="58"/>
    <n v="22"/>
    <n v="14"/>
    <x v="23"/>
    <n v="16"/>
    <n v="3"/>
    <n v="61"/>
    <n v="0.30000000000000004"/>
    <n v="0"/>
    <n v="0"/>
  </r>
  <r>
    <x v="6779"/>
    <n v="3"/>
    <n v="61"/>
    <n v="64"/>
    <n v="16"/>
    <n v="18"/>
    <x v="5"/>
    <n v="28"/>
    <n v="-7"/>
    <n v="59"/>
    <n v="0"/>
    <n v="1"/>
    <n v="7"/>
  </r>
  <r>
    <x v="6780"/>
    <n v="-7"/>
    <n v="59"/>
    <n v="52"/>
    <n v="28"/>
    <n v="21"/>
    <x v="7"/>
    <n v="18"/>
    <n v="-4"/>
    <n v="66"/>
    <n v="0"/>
    <n v="1"/>
    <n v="4"/>
  </r>
  <r>
    <x v="6781"/>
    <n v="-4"/>
    <n v="66"/>
    <n v="62"/>
    <n v="18"/>
    <n v="22"/>
    <x v="33"/>
    <n v="17"/>
    <n v="1"/>
    <n v="62"/>
    <n v="0.1"/>
    <n v="0"/>
    <n v="0"/>
  </r>
  <r>
    <x v="6782"/>
    <n v="1"/>
    <n v="62"/>
    <n v="63"/>
    <n v="17"/>
    <n v="16"/>
    <x v="22"/>
    <n v="18"/>
    <n v="-1"/>
    <n v="63"/>
    <n v="0"/>
    <n v="1"/>
    <n v="1"/>
  </r>
  <r>
    <x v="6783"/>
    <n v="-1"/>
    <n v="63"/>
    <n v="62"/>
    <n v="18"/>
    <n v="28"/>
    <x v="12"/>
    <n v="16"/>
    <n v="11"/>
    <n v="53"/>
    <n v="1.1000000000000001"/>
    <n v="0"/>
    <n v="0"/>
  </r>
  <r>
    <x v="6784"/>
    <n v="11"/>
    <n v="53"/>
    <n v="64"/>
    <n v="16"/>
    <n v="18"/>
    <x v="9"/>
    <n v="18"/>
    <n v="11"/>
    <n v="51"/>
    <n v="1.1000000000000001"/>
    <n v="0"/>
    <n v="0"/>
  </r>
  <r>
    <x v="6785"/>
    <n v="11"/>
    <n v="51"/>
    <n v="62"/>
    <n v="18"/>
    <n v="17"/>
    <x v="25"/>
    <n v="17"/>
    <n v="11"/>
    <n v="52"/>
    <n v="1.1000000000000001"/>
    <n v="0"/>
    <n v="0"/>
  </r>
  <r>
    <x v="6786"/>
    <n v="11"/>
    <n v="52"/>
    <n v="63"/>
    <n v="17"/>
    <n v="18"/>
    <x v="9"/>
    <n v="25"/>
    <n v="4"/>
    <n v="51"/>
    <n v="0.4"/>
    <n v="0"/>
    <n v="0"/>
  </r>
  <r>
    <x v="6787"/>
    <n v="4"/>
    <n v="51"/>
    <n v="55"/>
    <n v="25"/>
    <n v="16"/>
    <x v="4"/>
    <n v="13"/>
    <n v="7"/>
    <n v="60"/>
    <n v="0.70000000000000007"/>
    <n v="0"/>
    <n v="0"/>
  </r>
  <r>
    <x v="6788"/>
    <n v="7"/>
    <n v="60"/>
    <n v="67"/>
    <n v="13"/>
    <n v="18"/>
    <x v="27"/>
    <n v="15"/>
    <n v="10"/>
    <n v="55"/>
    <n v="1"/>
    <n v="0"/>
    <n v="0"/>
  </r>
  <r>
    <x v="6789"/>
    <n v="10"/>
    <n v="55"/>
    <n v="65"/>
    <n v="15"/>
    <n v="17"/>
    <x v="12"/>
    <n v="21"/>
    <n v="6"/>
    <n v="53"/>
    <n v="0.60000000000000009"/>
    <n v="0"/>
    <n v="0"/>
  </r>
  <r>
    <x v="6790"/>
    <n v="6"/>
    <n v="53"/>
    <n v="59"/>
    <n v="21"/>
    <n v="25"/>
    <x v="10"/>
    <n v="14"/>
    <n v="17"/>
    <n v="49"/>
    <n v="1.7000000000000002"/>
    <n v="0"/>
    <n v="0"/>
  </r>
  <r>
    <x v="6791"/>
    <n v="17"/>
    <n v="49"/>
    <n v="66"/>
    <n v="14"/>
    <n v="13"/>
    <x v="13"/>
    <n v="25"/>
    <n v="5"/>
    <n v="50"/>
    <n v="0.5"/>
    <n v="0"/>
    <n v="0"/>
  </r>
  <r>
    <x v="6792"/>
    <n v="5"/>
    <n v="50"/>
    <n v="55"/>
    <n v="25"/>
    <n v="15"/>
    <x v="4"/>
    <n v="23"/>
    <n v="-3"/>
    <n v="60"/>
    <n v="0"/>
    <n v="1"/>
    <n v="3"/>
  </r>
  <r>
    <x v="6793"/>
    <n v="-3"/>
    <n v="60"/>
    <n v="57"/>
    <n v="23"/>
    <n v="21"/>
    <x v="33"/>
    <n v="19"/>
    <n v="-1"/>
    <n v="62"/>
    <n v="0"/>
    <n v="1"/>
    <n v="1"/>
  </r>
  <r>
    <x v="6794"/>
    <n v="-1"/>
    <n v="62"/>
    <n v="61"/>
    <n v="19"/>
    <n v="14"/>
    <x v="21"/>
    <n v="18"/>
    <n v="-5"/>
    <n v="67"/>
    <n v="0"/>
    <n v="1"/>
    <n v="5"/>
  </r>
  <r>
    <x v="6795"/>
    <n v="-5"/>
    <n v="67"/>
    <n v="62"/>
    <n v="18"/>
    <n v="25"/>
    <x v="4"/>
    <n v="25"/>
    <n v="-5"/>
    <n v="60"/>
    <n v="0"/>
    <n v="1"/>
    <n v="5"/>
  </r>
  <r>
    <x v="6796"/>
    <n v="-5"/>
    <n v="60"/>
    <n v="55"/>
    <n v="25"/>
    <n v="23"/>
    <x v="33"/>
    <n v="27"/>
    <n v="-9"/>
    <n v="62"/>
    <n v="0"/>
    <n v="1"/>
    <n v="9"/>
  </r>
  <r>
    <x v="6797"/>
    <n v="-9"/>
    <n v="62"/>
    <n v="53"/>
    <n v="27"/>
    <n v="19"/>
    <x v="6"/>
    <n v="21"/>
    <n v="-11"/>
    <n v="70"/>
    <n v="0"/>
    <n v="1"/>
    <n v="11"/>
  </r>
  <r>
    <x v="6798"/>
    <n v="-11"/>
    <n v="70"/>
    <n v="59"/>
    <n v="21"/>
    <n v="18"/>
    <x v="31"/>
    <n v="17"/>
    <n v="-10"/>
    <n v="73"/>
    <n v="0"/>
    <n v="1"/>
    <n v="10"/>
  </r>
  <r>
    <x v="6799"/>
    <n v="-10"/>
    <n v="73"/>
    <n v="63"/>
    <n v="17"/>
    <n v="25"/>
    <x v="26"/>
    <n v="18"/>
    <n v="-3"/>
    <n v="65"/>
    <n v="0"/>
    <n v="1"/>
    <n v="3"/>
  </r>
  <r>
    <x v="6800"/>
    <n v="-3"/>
    <n v="65"/>
    <n v="62"/>
    <n v="18"/>
    <n v="27"/>
    <x v="32"/>
    <n v="25"/>
    <n v="-1"/>
    <n v="56"/>
    <n v="0"/>
    <n v="1"/>
    <n v="1"/>
  </r>
  <r>
    <x v="6801"/>
    <n v="-1"/>
    <n v="56"/>
    <n v="55"/>
    <n v="25"/>
    <n v="21"/>
    <x v="4"/>
    <n v="26"/>
    <n v="-6"/>
    <n v="60"/>
    <n v="0"/>
    <n v="1"/>
    <n v="6"/>
  </r>
  <r>
    <x v="6802"/>
    <n v="-6"/>
    <n v="60"/>
    <n v="54"/>
    <n v="26"/>
    <n v="17"/>
    <x v="30"/>
    <n v="14"/>
    <n v="-3"/>
    <n v="69"/>
    <n v="0"/>
    <n v="1"/>
    <n v="3"/>
  </r>
  <r>
    <x v="6803"/>
    <n v="-3"/>
    <n v="69"/>
    <n v="66"/>
    <n v="14"/>
    <n v="18"/>
    <x v="26"/>
    <n v="20"/>
    <n v="-5"/>
    <n v="65"/>
    <n v="0"/>
    <n v="1"/>
    <n v="5"/>
  </r>
  <r>
    <x v="6804"/>
    <n v="-5"/>
    <n v="65"/>
    <n v="60"/>
    <n v="20"/>
    <n v="25"/>
    <x v="4"/>
    <n v="21"/>
    <n v="-1"/>
    <n v="60"/>
    <n v="0"/>
    <n v="1"/>
    <n v="1"/>
  </r>
  <r>
    <x v="6805"/>
    <n v="-1"/>
    <n v="60"/>
    <n v="59"/>
    <n v="21"/>
    <n v="26"/>
    <x v="27"/>
    <n v="18"/>
    <n v="7"/>
    <n v="55"/>
    <n v="0.70000000000000007"/>
    <n v="0"/>
    <n v="0"/>
  </r>
  <r>
    <x v="6806"/>
    <n v="7"/>
    <n v="55"/>
    <n v="62"/>
    <n v="18"/>
    <n v="14"/>
    <x v="5"/>
    <n v="23"/>
    <n v="-2"/>
    <n v="59"/>
    <n v="0"/>
    <n v="1"/>
    <n v="2"/>
  </r>
  <r>
    <x v="6807"/>
    <n v="-2"/>
    <n v="59"/>
    <n v="57"/>
    <n v="23"/>
    <n v="20"/>
    <x v="33"/>
    <n v="19"/>
    <n v="-1"/>
    <n v="62"/>
    <n v="0"/>
    <n v="1"/>
    <n v="1"/>
  </r>
  <r>
    <x v="6808"/>
    <n v="-1"/>
    <n v="62"/>
    <n v="61"/>
    <n v="19"/>
    <n v="21"/>
    <x v="4"/>
    <n v="18"/>
    <n v="2"/>
    <n v="60"/>
    <n v="0.2"/>
    <n v="0"/>
    <n v="0"/>
  </r>
  <r>
    <x v="6809"/>
    <n v="2"/>
    <n v="60"/>
    <n v="62"/>
    <n v="18"/>
    <n v="18"/>
    <x v="4"/>
    <n v="25"/>
    <n v="-5"/>
    <n v="60"/>
    <n v="0"/>
    <n v="1"/>
    <n v="5"/>
  </r>
  <r>
    <x v="6810"/>
    <n v="-5"/>
    <n v="60"/>
    <n v="55"/>
    <n v="25"/>
    <n v="23"/>
    <x v="33"/>
    <n v="16"/>
    <n v="2"/>
    <n v="62"/>
    <n v="0.2"/>
    <n v="0"/>
    <n v="0"/>
  </r>
  <r>
    <x v="6811"/>
    <n v="2"/>
    <n v="62"/>
    <n v="64"/>
    <n v="16"/>
    <n v="19"/>
    <x v="5"/>
    <n v="22"/>
    <n v="-1"/>
    <n v="59"/>
    <n v="0"/>
    <n v="1"/>
    <n v="1"/>
  </r>
  <r>
    <x v="6812"/>
    <n v="-1"/>
    <n v="59"/>
    <n v="58"/>
    <n v="22"/>
    <n v="18"/>
    <x v="22"/>
    <n v="17"/>
    <n v="0"/>
    <n v="63"/>
    <n v="0"/>
    <n v="0"/>
    <n v="0"/>
  </r>
  <r>
    <x v="6813"/>
    <n v="0"/>
    <n v="63"/>
    <n v="63"/>
    <n v="17"/>
    <n v="25"/>
    <x v="27"/>
    <n v="19"/>
    <n v="6"/>
    <n v="55"/>
    <n v="0.60000000000000009"/>
    <n v="0"/>
    <n v="0"/>
  </r>
  <r>
    <x v="6814"/>
    <n v="6"/>
    <n v="55"/>
    <n v="61"/>
    <n v="19"/>
    <n v="16"/>
    <x v="28"/>
    <n v="17"/>
    <n v="5"/>
    <n v="58"/>
    <n v="0.5"/>
    <n v="0"/>
    <n v="0"/>
  </r>
  <r>
    <x v="6815"/>
    <n v="5"/>
    <n v="58"/>
    <n v="63"/>
    <n v="17"/>
    <n v="22"/>
    <x v="12"/>
    <n v="27"/>
    <n v="0"/>
    <n v="53"/>
    <n v="0"/>
    <n v="0"/>
    <n v="0"/>
  </r>
  <r>
    <x v="6816"/>
    <n v="0"/>
    <n v="53"/>
    <n v="53"/>
    <n v="27"/>
    <n v="17"/>
    <x v="22"/>
    <n v="20"/>
    <n v="-3"/>
    <n v="63"/>
    <n v="0"/>
    <n v="1"/>
    <n v="3"/>
  </r>
  <r>
    <x v="6817"/>
    <n v="-3"/>
    <n v="63"/>
    <n v="60"/>
    <n v="20"/>
    <n v="19"/>
    <x v="8"/>
    <n v="22"/>
    <n v="-6"/>
    <n v="64"/>
    <n v="0"/>
    <n v="1"/>
    <n v="6"/>
  </r>
  <r>
    <x v="6818"/>
    <n v="-6"/>
    <n v="64"/>
    <n v="58"/>
    <n v="22"/>
    <n v="17"/>
    <x v="30"/>
    <n v="19"/>
    <n v="-8"/>
    <n v="69"/>
    <n v="0"/>
    <n v="1"/>
    <n v="8"/>
  </r>
  <r>
    <x v="6819"/>
    <n v="-8"/>
    <n v="69"/>
    <n v="61"/>
    <n v="19"/>
    <n v="27"/>
    <x v="23"/>
    <n v="10"/>
    <n v="9"/>
    <n v="61"/>
    <n v="0.9"/>
    <n v="0"/>
    <n v="0"/>
  </r>
  <r>
    <x v="6820"/>
    <n v="9"/>
    <n v="61"/>
    <n v="70"/>
    <n v="10"/>
    <n v="20"/>
    <x v="9"/>
    <n v="20"/>
    <n v="9"/>
    <n v="51"/>
    <n v="0.9"/>
    <n v="0"/>
    <n v="0"/>
  </r>
  <r>
    <x v="6821"/>
    <n v="9"/>
    <n v="51"/>
    <n v="60"/>
    <n v="20"/>
    <n v="22"/>
    <x v="10"/>
    <n v="19"/>
    <n v="12"/>
    <n v="49"/>
    <n v="1.2000000000000002"/>
    <n v="0"/>
    <n v="0"/>
  </r>
  <r>
    <x v="6822"/>
    <n v="12"/>
    <n v="49"/>
    <n v="61"/>
    <n v="19"/>
    <n v="19"/>
    <x v="10"/>
    <n v="24"/>
    <n v="7"/>
    <n v="49"/>
    <n v="0.70000000000000007"/>
    <n v="0"/>
    <n v="0"/>
  </r>
  <r>
    <x v="6823"/>
    <n v="7"/>
    <n v="49"/>
    <n v="56"/>
    <n v="24"/>
    <n v="10"/>
    <x v="22"/>
    <n v="21"/>
    <n v="-4"/>
    <n v="63"/>
    <n v="0"/>
    <n v="1"/>
    <n v="4"/>
  </r>
  <r>
    <x v="6824"/>
    <n v="-4"/>
    <n v="63"/>
    <n v="59"/>
    <n v="21"/>
    <n v="20"/>
    <x v="8"/>
    <n v="20"/>
    <n v="-4"/>
    <n v="64"/>
    <n v="0"/>
    <n v="1"/>
    <n v="4"/>
  </r>
  <r>
    <x v="6825"/>
    <n v="-4"/>
    <n v="64"/>
    <n v="60"/>
    <n v="20"/>
    <n v="19"/>
    <x v="26"/>
    <n v="21"/>
    <n v="-6"/>
    <n v="65"/>
    <n v="0"/>
    <n v="1"/>
    <n v="6"/>
  </r>
  <r>
    <x v="6826"/>
    <n v="-6"/>
    <n v="65"/>
    <n v="59"/>
    <n v="21"/>
    <n v="24"/>
    <x v="33"/>
    <n v="23"/>
    <n v="-5"/>
    <n v="62"/>
    <n v="0"/>
    <n v="1"/>
    <n v="5"/>
  </r>
  <r>
    <x v="6827"/>
    <n v="-5"/>
    <n v="62"/>
    <n v="57"/>
    <n v="23"/>
    <n v="21"/>
    <x v="8"/>
    <n v="13"/>
    <n v="3"/>
    <n v="64"/>
    <n v="0.30000000000000004"/>
    <n v="0"/>
    <n v="0"/>
  </r>
  <r>
    <x v="6828"/>
    <n v="3"/>
    <n v="64"/>
    <n v="67"/>
    <n v="13"/>
    <n v="20"/>
    <x v="24"/>
    <n v="20"/>
    <n v="3"/>
    <n v="57"/>
    <n v="0.30000000000000004"/>
    <n v="0"/>
    <n v="0"/>
  </r>
  <r>
    <x v="6829"/>
    <n v="3"/>
    <n v="57"/>
    <n v="60"/>
    <n v="20"/>
    <n v="21"/>
    <x v="32"/>
    <n v="23"/>
    <n v="1"/>
    <n v="56"/>
    <n v="0.1"/>
    <n v="0"/>
    <n v="0"/>
  </r>
  <r>
    <x v="6830"/>
    <n v="1"/>
    <n v="56"/>
    <n v="57"/>
    <n v="23"/>
    <n v="23"/>
    <x v="32"/>
    <n v="27"/>
    <n v="-3"/>
    <n v="56"/>
    <n v="0"/>
    <n v="1"/>
    <n v="3"/>
  </r>
  <r>
    <x v="6831"/>
    <n v="-3"/>
    <n v="56"/>
    <n v="53"/>
    <n v="27"/>
    <n v="13"/>
    <x v="6"/>
    <n v="20"/>
    <n v="-10"/>
    <n v="70"/>
    <n v="0"/>
    <n v="1"/>
    <n v="10"/>
  </r>
  <r>
    <x v="6832"/>
    <n v="-10"/>
    <n v="70"/>
    <n v="60"/>
    <n v="20"/>
    <n v="20"/>
    <x v="6"/>
    <n v="20"/>
    <n v="-10"/>
    <n v="70"/>
    <n v="0"/>
    <n v="1"/>
    <n v="10"/>
  </r>
  <r>
    <x v="6833"/>
    <n v="-10"/>
    <n v="70"/>
    <n v="60"/>
    <n v="20"/>
    <n v="23"/>
    <x v="21"/>
    <n v="14"/>
    <n v="-1"/>
    <n v="67"/>
    <n v="0"/>
    <n v="1"/>
    <n v="1"/>
  </r>
  <r>
    <x v="6834"/>
    <n v="-1"/>
    <n v="67"/>
    <n v="66"/>
    <n v="14"/>
    <n v="27"/>
    <x v="16"/>
    <n v="16"/>
    <n v="10"/>
    <n v="54"/>
    <n v="1"/>
    <n v="0"/>
    <n v="0"/>
  </r>
  <r>
    <x v="6835"/>
    <n v="10"/>
    <n v="54"/>
    <n v="64"/>
    <n v="16"/>
    <n v="20"/>
    <x v="13"/>
    <n v="20"/>
    <n v="10"/>
    <n v="50"/>
    <n v="1"/>
    <n v="0"/>
    <n v="0"/>
  </r>
  <r>
    <x v="6836"/>
    <n v="10"/>
    <n v="50"/>
    <n v="60"/>
    <n v="20"/>
    <n v="20"/>
    <x v="13"/>
    <n v="19"/>
    <n v="11"/>
    <n v="50"/>
    <n v="1.1000000000000001"/>
    <n v="0"/>
    <n v="0"/>
  </r>
  <r>
    <x v="6837"/>
    <n v="11"/>
    <n v="50"/>
    <n v="61"/>
    <n v="19"/>
    <n v="14"/>
    <x v="27"/>
    <n v="17"/>
    <n v="8"/>
    <n v="55"/>
    <n v="0.8"/>
    <n v="0"/>
    <n v="0"/>
  </r>
  <r>
    <x v="6838"/>
    <n v="8"/>
    <n v="55"/>
    <n v="63"/>
    <n v="17"/>
    <n v="16"/>
    <x v="32"/>
    <n v="28"/>
    <n v="-4"/>
    <n v="56"/>
    <n v="0"/>
    <n v="1"/>
    <n v="4"/>
  </r>
  <r>
    <x v="6839"/>
    <n v="-4"/>
    <n v="56"/>
    <n v="52"/>
    <n v="28"/>
    <n v="20"/>
    <x v="8"/>
    <n v="19"/>
    <n v="-3"/>
    <n v="64"/>
    <n v="0"/>
    <n v="1"/>
    <n v="3"/>
  </r>
  <r>
    <x v="6840"/>
    <n v="-3"/>
    <n v="64"/>
    <n v="61"/>
    <n v="19"/>
    <n v="19"/>
    <x v="8"/>
    <n v="11"/>
    <n v="5"/>
    <n v="64"/>
    <n v="0.5"/>
    <n v="0"/>
    <n v="0"/>
  </r>
  <r>
    <x v="6841"/>
    <n v="5"/>
    <n v="64"/>
    <n v="69"/>
    <n v="11"/>
    <n v="17"/>
    <x v="28"/>
    <n v="19"/>
    <n v="3"/>
    <n v="58"/>
    <n v="0.30000000000000004"/>
    <n v="0"/>
    <n v="0"/>
  </r>
  <r>
    <x v="6842"/>
    <n v="3"/>
    <n v="58"/>
    <n v="61"/>
    <n v="19"/>
    <n v="28"/>
    <x v="10"/>
    <n v="22"/>
    <n v="9"/>
    <n v="49"/>
    <n v="0.9"/>
    <n v="0"/>
    <n v="0"/>
  </r>
  <r>
    <x v="6843"/>
    <n v="9"/>
    <n v="49"/>
    <n v="58"/>
    <n v="22"/>
    <n v="19"/>
    <x v="25"/>
    <n v="22"/>
    <n v="6"/>
    <n v="52"/>
    <n v="0.60000000000000009"/>
    <n v="0"/>
    <n v="0"/>
  </r>
  <r>
    <x v="6844"/>
    <n v="6"/>
    <n v="52"/>
    <n v="58"/>
    <n v="22"/>
    <n v="11"/>
    <x v="22"/>
    <n v="18"/>
    <n v="-1"/>
    <n v="63"/>
    <n v="0"/>
    <n v="1"/>
    <n v="1"/>
  </r>
  <r>
    <x v="6845"/>
    <n v="-1"/>
    <n v="63"/>
    <n v="62"/>
    <n v="18"/>
    <n v="19"/>
    <x v="33"/>
    <n v="16"/>
    <n v="2"/>
    <n v="62"/>
    <n v="0.2"/>
    <n v="0"/>
    <n v="0"/>
  </r>
  <r>
    <x v="6846"/>
    <n v="2"/>
    <n v="62"/>
    <n v="64"/>
    <n v="16"/>
    <n v="22"/>
    <x v="32"/>
    <n v="21"/>
    <n v="3"/>
    <n v="56"/>
    <n v="0.30000000000000004"/>
    <n v="0"/>
    <n v="0"/>
  </r>
  <r>
    <x v="6847"/>
    <n v="3"/>
    <n v="56"/>
    <n v="59"/>
    <n v="21"/>
    <n v="22"/>
    <x v="27"/>
    <n v="22"/>
    <n v="3"/>
    <n v="55"/>
    <n v="0.30000000000000004"/>
    <n v="0"/>
    <n v="0"/>
  </r>
  <r>
    <x v="6848"/>
    <n v="3"/>
    <n v="55"/>
    <n v="58"/>
    <n v="22"/>
    <n v="18"/>
    <x v="5"/>
    <n v="28"/>
    <n v="-7"/>
    <n v="59"/>
    <n v="0"/>
    <n v="1"/>
    <n v="7"/>
  </r>
  <r>
    <x v="6849"/>
    <n v="-7"/>
    <n v="59"/>
    <n v="52"/>
    <n v="28"/>
    <n v="16"/>
    <x v="20"/>
    <n v="18"/>
    <n v="-9"/>
    <n v="71"/>
    <n v="0"/>
    <n v="1"/>
    <n v="9"/>
  </r>
  <r>
    <x v="6850"/>
    <n v="-9"/>
    <n v="71"/>
    <n v="62"/>
    <n v="18"/>
    <n v="21"/>
    <x v="17"/>
    <n v="20"/>
    <n v="-8"/>
    <n v="68"/>
    <n v="0"/>
    <n v="1"/>
    <n v="8"/>
  </r>
  <r>
    <x v="6851"/>
    <n v="-8"/>
    <n v="68"/>
    <n v="60"/>
    <n v="20"/>
    <n v="22"/>
    <x v="7"/>
    <n v="11"/>
    <n v="3"/>
    <n v="66"/>
    <n v="0.30000000000000004"/>
    <n v="0"/>
    <n v="0"/>
  </r>
  <r>
    <x v="6852"/>
    <n v="3"/>
    <n v="66"/>
    <n v="69"/>
    <n v="11"/>
    <n v="28"/>
    <x v="10"/>
    <n v="14"/>
    <n v="17"/>
    <n v="49"/>
    <n v="1.7000000000000002"/>
    <n v="0"/>
    <n v="0"/>
  </r>
  <r>
    <x v="6853"/>
    <n v="17"/>
    <n v="49"/>
    <n v="66"/>
    <n v="14"/>
    <n v="18"/>
    <x v="11"/>
    <n v="20"/>
    <n v="15"/>
    <n v="45"/>
    <n v="1.5"/>
    <n v="0"/>
    <n v="0"/>
  </r>
  <r>
    <x v="6854"/>
    <n v="15"/>
    <n v="45"/>
    <n v="60"/>
    <n v="20"/>
    <n v="20"/>
    <x v="11"/>
    <n v="12"/>
    <n v="23"/>
    <n v="45"/>
    <n v="2.3000000000000003"/>
    <n v="0"/>
    <n v="0"/>
  </r>
  <r>
    <x v="6855"/>
    <n v="23"/>
    <n v="45"/>
    <n v="68"/>
    <n v="12"/>
    <n v="11"/>
    <x v="38"/>
    <n v="21"/>
    <n v="13"/>
    <n v="46"/>
    <n v="1.3"/>
    <n v="0"/>
    <n v="0"/>
  </r>
  <r>
    <x v="6856"/>
    <n v="13"/>
    <n v="46"/>
    <n v="59"/>
    <n v="21"/>
    <n v="14"/>
    <x v="12"/>
    <n v="19"/>
    <n v="8"/>
    <n v="53"/>
    <n v="0.8"/>
    <n v="0"/>
    <n v="0"/>
  </r>
  <r>
    <x v="6857"/>
    <n v="8"/>
    <n v="53"/>
    <n v="61"/>
    <n v="19"/>
    <n v="20"/>
    <x v="25"/>
    <n v="26"/>
    <n v="2"/>
    <n v="52"/>
    <n v="0.2"/>
    <n v="0"/>
    <n v="0"/>
  </r>
  <r>
    <x v="6858"/>
    <n v="2"/>
    <n v="52"/>
    <n v="54"/>
    <n v="26"/>
    <n v="12"/>
    <x v="7"/>
    <n v="16"/>
    <n v="-2"/>
    <n v="66"/>
    <n v="0"/>
    <n v="1"/>
    <n v="2"/>
  </r>
  <r>
    <x v="6859"/>
    <n v="-2"/>
    <n v="66"/>
    <n v="64"/>
    <n v="16"/>
    <n v="21"/>
    <x v="23"/>
    <n v="26"/>
    <n v="-7"/>
    <n v="61"/>
    <n v="0"/>
    <n v="1"/>
    <n v="7"/>
  </r>
  <r>
    <x v="6860"/>
    <n v="-7"/>
    <n v="61"/>
    <n v="54"/>
    <n v="26"/>
    <n v="19"/>
    <x v="17"/>
    <n v="16"/>
    <n v="-4"/>
    <n v="68"/>
    <n v="0"/>
    <n v="1"/>
    <n v="4"/>
  </r>
  <r>
    <x v="6861"/>
    <n v="-4"/>
    <n v="68"/>
    <n v="64"/>
    <n v="16"/>
    <n v="26"/>
    <x v="28"/>
    <n v="23"/>
    <n v="-1"/>
    <n v="58"/>
    <n v="0"/>
    <n v="1"/>
    <n v="1"/>
  </r>
  <r>
    <x v="6862"/>
    <n v="-1"/>
    <n v="58"/>
    <n v="57"/>
    <n v="23"/>
    <n v="16"/>
    <x v="26"/>
    <n v="20"/>
    <n v="-5"/>
    <n v="65"/>
    <n v="0"/>
    <n v="1"/>
    <n v="5"/>
  </r>
  <r>
    <x v="6863"/>
    <n v="-5"/>
    <n v="65"/>
    <n v="60"/>
    <n v="20"/>
    <n v="26"/>
    <x v="5"/>
    <n v="21"/>
    <n v="0"/>
    <n v="59"/>
    <n v="0"/>
    <n v="0"/>
    <n v="0"/>
  </r>
  <r>
    <x v="6864"/>
    <n v="0"/>
    <n v="59"/>
    <n v="59"/>
    <n v="21"/>
    <n v="16"/>
    <x v="8"/>
    <n v="12"/>
    <n v="4"/>
    <n v="64"/>
    <n v="0.4"/>
    <n v="0"/>
    <n v="0"/>
  </r>
  <r>
    <x v="6865"/>
    <n v="4"/>
    <n v="64"/>
    <n v="68"/>
    <n v="12"/>
    <n v="23"/>
    <x v="12"/>
    <n v="14"/>
    <n v="13"/>
    <n v="53"/>
    <n v="1.3"/>
    <n v="0"/>
    <n v="0"/>
  </r>
  <r>
    <x v="6866"/>
    <n v="13"/>
    <n v="53"/>
    <n v="66"/>
    <n v="14"/>
    <n v="20"/>
    <x v="14"/>
    <n v="19"/>
    <n v="14"/>
    <n v="47"/>
    <n v="1.4000000000000001"/>
    <n v="0"/>
    <n v="0"/>
  </r>
  <r>
    <x v="6867"/>
    <n v="14"/>
    <n v="47"/>
    <n v="61"/>
    <n v="19"/>
    <n v="21"/>
    <x v="11"/>
    <n v="15"/>
    <n v="20"/>
    <n v="45"/>
    <n v="2"/>
    <n v="0"/>
    <n v="0"/>
  </r>
  <r>
    <x v="6868"/>
    <n v="20"/>
    <n v="45"/>
    <n v="65"/>
    <n v="15"/>
    <n v="12"/>
    <x v="15"/>
    <n v="18"/>
    <n v="14"/>
    <n v="48"/>
    <n v="1.4000000000000001"/>
    <n v="0"/>
    <n v="0"/>
  </r>
  <r>
    <x v="6869"/>
    <n v="14"/>
    <n v="48"/>
    <n v="62"/>
    <n v="18"/>
    <n v="14"/>
    <x v="25"/>
    <n v="19"/>
    <n v="9"/>
    <n v="52"/>
    <n v="0.9"/>
    <n v="0"/>
    <n v="0"/>
  </r>
  <r>
    <x v="6870"/>
    <n v="9"/>
    <n v="52"/>
    <n v="61"/>
    <n v="19"/>
    <n v="19"/>
    <x v="25"/>
    <n v="22"/>
    <n v="6"/>
    <n v="52"/>
    <n v="0.60000000000000009"/>
    <n v="0"/>
    <n v="0"/>
  </r>
  <r>
    <x v="6871"/>
    <n v="6"/>
    <n v="52"/>
    <n v="58"/>
    <n v="22"/>
    <n v="15"/>
    <x v="5"/>
    <n v="21"/>
    <n v="0"/>
    <n v="59"/>
    <n v="0"/>
    <n v="0"/>
    <n v="0"/>
  </r>
  <r>
    <x v="6872"/>
    <n v="0"/>
    <n v="59"/>
    <n v="59"/>
    <n v="21"/>
    <n v="18"/>
    <x v="33"/>
    <n v="17"/>
    <n v="1"/>
    <n v="62"/>
    <n v="0.1"/>
    <n v="0"/>
    <n v="0"/>
  </r>
  <r>
    <x v="6873"/>
    <n v="1"/>
    <n v="62"/>
    <n v="63"/>
    <n v="17"/>
    <n v="19"/>
    <x v="4"/>
    <n v="20"/>
    <n v="0"/>
    <n v="60"/>
    <n v="0"/>
    <n v="0"/>
    <n v="0"/>
  </r>
  <r>
    <x v="6874"/>
    <n v="0"/>
    <n v="60"/>
    <n v="60"/>
    <n v="20"/>
    <n v="22"/>
    <x v="28"/>
    <n v="29"/>
    <n v="-7"/>
    <n v="58"/>
    <n v="0"/>
    <n v="1"/>
    <n v="7"/>
  </r>
  <r>
    <x v="6875"/>
    <n v="-7"/>
    <n v="58"/>
    <n v="51"/>
    <n v="29"/>
    <n v="21"/>
    <x v="7"/>
    <n v="25"/>
    <n v="-11"/>
    <n v="66"/>
    <n v="0"/>
    <n v="1"/>
    <n v="11"/>
  </r>
  <r>
    <x v="6876"/>
    <n v="-11"/>
    <n v="66"/>
    <n v="55"/>
    <n v="25"/>
    <n v="17"/>
    <x v="39"/>
    <n v="16"/>
    <n v="-10"/>
    <n v="74"/>
    <n v="0"/>
    <n v="1"/>
    <n v="10"/>
  </r>
  <r>
    <x v="6877"/>
    <n v="-10"/>
    <n v="74"/>
    <n v="64"/>
    <n v="16"/>
    <n v="20"/>
    <x v="6"/>
    <n v="16"/>
    <n v="-6"/>
    <n v="70"/>
    <n v="0"/>
    <n v="1"/>
    <n v="6"/>
  </r>
  <r>
    <x v="6878"/>
    <n v="-6"/>
    <n v="70"/>
    <n v="64"/>
    <n v="16"/>
    <n v="29"/>
    <x v="24"/>
    <n v="21"/>
    <n v="2"/>
    <n v="57"/>
    <n v="0.2"/>
    <n v="0"/>
    <n v="0"/>
  </r>
  <r>
    <x v="6879"/>
    <n v="2"/>
    <n v="57"/>
    <n v="59"/>
    <n v="21"/>
    <n v="25"/>
    <x v="12"/>
    <n v="21"/>
    <n v="6"/>
    <n v="53"/>
    <n v="0.60000000000000009"/>
    <n v="0"/>
    <n v="0"/>
  </r>
  <r>
    <x v="6880"/>
    <n v="6"/>
    <n v="53"/>
    <n v="59"/>
    <n v="21"/>
    <n v="16"/>
    <x v="28"/>
    <n v="16"/>
    <n v="6"/>
    <n v="58"/>
    <n v="0.60000000000000009"/>
    <n v="0"/>
    <n v="0"/>
  </r>
  <r>
    <x v="6881"/>
    <n v="6"/>
    <n v="58"/>
    <n v="64"/>
    <n v="16"/>
    <n v="16"/>
    <x v="28"/>
    <n v="12"/>
    <n v="10"/>
    <n v="58"/>
    <n v="1"/>
    <n v="0"/>
    <n v="0"/>
  </r>
  <r>
    <x v="6882"/>
    <n v="10"/>
    <n v="58"/>
    <n v="68"/>
    <n v="12"/>
    <n v="21"/>
    <x v="10"/>
    <n v="27"/>
    <n v="4"/>
    <n v="49"/>
    <n v="0.4"/>
    <n v="0"/>
    <n v="0"/>
  </r>
  <r>
    <x v="6883"/>
    <n v="4"/>
    <n v="49"/>
    <n v="53"/>
    <n v="27"/>
    <n v="21"/>
    <x v="27"/>
    <n v="19"/>
    <n v="6"/>
    <n v="55"/>
    <n v="0.60000000000000009"/>
    <n v="0"/>
    <n v="0"/>
  </r>
  <r>
    <x v="6884"/>
    <n v="6"/>
    <n v="55"/>
    <n v="61"/>
    <n v="19"/>
    <n v="16"/>
    <x v="28"/>
    <n v="23"/>
    <n v="-1"/>
    <n v="58"/>
    <n v="0"/>
    <n v="1"/>
    <n v="1"/>
  </r>
  <r>
    <x v="6885"/>
    <n v="-1"/>
    <n v="58"/>
    <n v="57"/>
    <n v="23"/>
    <n v="12"/>
    <x v="30"/>
    <n v="21"/>
    <n v="-10"/>
    <n v="69"/>
    <n v="0"/>
    <n v="1"/>
    <n v="10"/>
  </r>
  <r>
    <x v="6886"/>
    <n v="-10"/>
    <n v="69"/>
    <n v="59"/>
    <n v="21"/>
    <n v="27"/>
    <x v="22"/>
    <n v="16"/>
    <n v="1"/>
    <n v="63"/>
    <n v="0.1"/>
    <n v="0"/>
    <n v="0"/>
  </r>
  <r>
    <x v="6887"/>
    <n v="1"/>
    <n v="63"/>
    <n v="64"/>
    <n v="16"/>
    <n v="19"/>
    <x v="4"/>
    <n v="23"/>
    <n v="-3"/>
    <n v="60"/>
    <n v="0"/>
    <n v="1"/>
    <n v="3"/>
  </r>
  <r>
    <x v="6888"/>
    <n v="-3"/>
    <n v="60"/>
    <n v="57"/>
    <n v="23"/>
    <n v="23"/>
    <x v="4"/>
    <n v="28"/>
    <n v="-8"/>
    <n v="60"/>
    <n v="0"/>
    <n v="1"/>
    <n v="8"/>
  </r>
  <r>
    <x v="6889"/>
    <n v="-8"/>
    <n v="60"/>
    <n v="52"/>
    <n v="28"/>
    <n v="21"/>
    <x v="21"/>
    <n v="17"/>
    <n v="-4"/>
    <n v="67"/>
    <n v="0"/>
    <n v="1"/>
    <n v="4"/>
  </r>
  <r>
    <x v="6890"/>
    <n v="-4"/>
    <n v="67"/>
    <n v="63"/>
    <n v="17"/>
    <n v="16"/>
    <x v="17"/>
    <n v="17"/>
    <n v="-5"/>
    <n v="68"/>
    <n v="0"/>
    <n v="1"/>
    <n v="5"/>
  </r>
  <r>
    <x v="6891"/>
    <n v="-5"/>
    <n v="68"/>
    <n v="63"/>
    <n v="17"/>
    <n v="23"/>
    <x v="33"/>
    <n v="17"/>
    <n v="1"/>
    <n v="62"/>
    <n v="0.1"/>
    <n v="0"/>
    <n v="0"/>
  </r>
  <r>
    <x v="6892"/>
    <n v="1"/>
    <n v="62"/>
    <n v="63"/>
    <n v="17"/>
    <n v="28"/>
    <x v="9"/>
    <n v="17"/>
    <n v="12"/>
    <n v="51"/>
    <n v="1.2000000000000002"/>
    <n v="0"/>
    <n v="0"/>
  </r>
  <r>
    <x v="6893"/>
    <n v="12"/>
    <n v="51"/>
    <n v="63"/>
    <n v="17"/>
    <n v="17"/>
    <x v="9"/>
    <n v="22"/>
    <n v="7"/>
    <n v="51"/>
    <n v="0.70000000000000007"/>
    <n v="0"/>
    <n v="0"/>
  </r>
  <r>
    <x v="6894"/>
    <n v="7"/>
    <n v="51"/>
    <n v="58"/>
    <n v="22"/>
    <n v="17"/>
    <x v="32"/>
    <n v="11"/>
    <n v="13"/>
    <n v="56"/>
    <n v="1.3"/>
    <n v="0"/>
    <n v="0"/>
  </r>
  <r>
    <x v="6895"/>
    <n v="13"/>
    <n v="56"/>
    <n v="69"/>
    <n v="11"/>
    <n v="17"/>
    <x v="13"/>
    <n v="20"/>
    <n v="10"/>
    <n v="50"/>
    <n v="1"/>
    <n v="0"/>
    <n v="0"/>
  </r>
  <r>
    <x v="6896"/>
    <n v="10"/>
    <n v="50"/>
    <n v="60"/>
    <n v="20"/>
    <n v="17"/>
    <x v="12"/>
    <n v="16"/>
    <n v="11"/>
    <n v="53"/>
    <n v="1.1000000000000001"/>
    <n v="0"/>
    <n v="0"/>
  </r>
  <r>
    <x v="6897"/>
    <n v="11"/>
    <n v="53"/>
    <n v="64"/>
    <n v="16"/>
    <n v="22"/>
    <x v="14"/>
    <n v="25"/>
    <n v="8"/>
    <n v="47"/>
    <n v="0.8"/>
    <n v="0"/>
    <n v="0"/>
  </r>
  <r>
    <x v="6898"/>
    <n v="8"/>
    <n v="47"/>
    <n v="55"/>
    <n v="25"/>
    <n v="11"/>
    <x v="23"/>
    <n v="19"/>
    <n v="0"/>
    <n v="61"/>
    <n v="0"/>
    <n v="0"/>
    <n v="0"/>
  </r>
  <r>
    <x v="6899"/>
    <n v="0"/>
    <n v="61"/>
    <n v="61"/>
    <n v="19"/>
    <n v="20"/>
    <x v="4"/>
    <n v="21"/>
    <n v="-1"/>
    <n v="60"/>
    <n v="0"/>
    <n v="1"/>
    <n v="1"/>
  </r>
  <r>
    <x v="6900"/>
    <n v="-1"/>
    <n v="60"/>
    <n v="59"/>
    <n v="21"/>
    <n v="16"/>
    <x v="26"/>
    <n v="15"/>
    <n v="0"/>
    <n v="65"/>
    <n v="0"/>
    <n v="0"/>
    <n v="0"/>
  </r>
  <r>
    <x v="6901"/>
    <n v="0"/>
    <n v="65"/>
    <n v="65"/>
    <n v="15"/>
    <n v="25"/>
    <x v="27"/>
    <n v="23"/>
    <n v="2"/>
    <n v="55"/>
    <n v="0.2"/>
    <n v="0"/>
    <n v="0"/>
  </r>
  <r>
    <x v="6902"/>
    <n v="2"/>
    <n v="55"/>
    <n v="57"/>
    <n v="23"/>
    <n v="19"/>
    <x v="5"/>
    <n v="14"/>
    <n v="7"/>
    <n v="59"/>
    <n v="0.70000000000000007"/>
    <n v="0"/>
    <n v="0"/>
  </r>
  <r>
    <x v="6903"/>
    <n v="7"/>
    <n v="59"/>
    <n v="66"/>
    <n v="14"/>
    <n v="21"/>
    <x v="25"/>
    <n v="21"/>
    <n v="7"/>
    <n v="52"/>
    <n v="0.70000000000000007"/>
    <n v="0"/>
    <n v="0"/>
  </r>
  <r>
    <x v="6904"/>
    <n v="7"/>
    <n v="52"/>
    <n v="59"/>
    <n v="21"/>
    <n v="15"/>
    <x v="28"/>
    <n v="19"/>
    <n v="3"/>
    <n v="58"/>
    <n v="0.30000000000000004"/>
    <n v="0"/>
    <n v="0"/>
  </r>
  <r>
    <x v="6905"/>
    <n v="3"/>
    <n v="58"/>
    <n v="61"/>
    <n v="19"/>
    <n v="23"/>
    <x v="16"/>
    <n v="17"/>
    <n v="9"/>
    <n v="54"/>
    <n v="0.9"/>
    <n v="0"/>
    <n v="0"/>
  </r>
  <r>
    <x v="6906"/>
    <n v="9"/>
    <n v="54"/>
    <n v="63"/>
    <n v="17"/>
    <n v="14"/>
    <x v="24"/>
    <n v="24"/>
    <n v="-1"/>
    <n v="57"/>
    <n v="0"/>
    <n v="1"/>
    <n v="1"/>
  </r>
  <r>
    <x v="6907"/>
    <n v="-1"/>
    <n v="57"/>
    <n v="56"/>
    <n v="24"/>
    <n v="21"/>
    <x v="4"/>
    <n v="25"/>
    <n v="-5"/>
    <n v="60"/>
    <n v="0"/>
    <n v="1"/>
    <n v="5"/>
  </r>
  <r>
    <x v="6908"/>
    <n v="-5"/>
    <n v="60"/>
    <n v="55"/>
    <n v="25"/>
    <n v="19"/>
    <x v="7"/>
    <n v="18"/>
    <n v="-4"/>
    <n v="66"/>
    <n v="0"/>
    <n v="1"/>
    <n v="4"/>
  </r>
  <r>
    <x v="6909"/>
    <n v="-4"/>
    <n v="66"/>
    <n v="62"/>
    <n v="18"/>
    <n v="17"/>
    <x v="21"/>
    <n v="16"/>
    <n v="-3"/>
    <n v="67"/>
    <n v="0"/>
    <n v="1"/>
    <n v="3"/>
  </r>
  <r>
    <x v="6910"/>
    <n v="-3"/>
    <n v="67"/>
    <n v="64"/>
    <n v="16"/>
    <n v="24"/>
    <x v="5"/>
    <n v="26"/>
    <n v="-5"/>
    <n v="59"/>
    <n v="0"/>
    <n v="1"/>
    <n v="5"/>
  </r>
  <r>
    <x v="6911"/>
    <n v="-5"/>
    <n v="59"/>
    <n v="54"/>
    <n v="26"/>
    <n v="25"/>
    <x v="4"/>
    <n v="19"/>
    <n v="1"/>
    <n v="60"/>
    <n v="0.1"/>
    <n v="0"/>
    <n v="0"/>
  </r>
  <r>
    <x v="6912"/>
    <n v="1"/>
    <n v="60"/>
    <n v="61"/>
    <n v="19"/>
    <n v="18"/>
    <x v="23"/>
    <n v="21"/>
    <n v="-2"/>
    <n v="61"/>
    <n v="0"/>
    <n v="1"/>
    <n v="2"/>
  </r>
  <r>
    <x v="6913"/>
    <n v="-2"/>
    <n v="61"/>
    <n v="59"/>
    <n v="21"/>
    <n v="16"/>
    <x v="7"/>
    <n v="19"/>
    <n v="-5"/>
    <n v="66"/>
    <n v="0"/>
    <n v="1"/>
    <n v="5"/>
  </r>
  <r>
    <x v="6914"/>
    <n v="-5"/>
    <n v="66"/>
    <n v="61"/>
    <n v="19"/>
    <n v="26"/>
    <x v="5"/>
    <n v="18"/>
    <n v="3"/>
    <n v="59"/>
    <n v="0.30000000000000004"/>
    <n v="0"/>
    <n v="0"/>
  </r>
  <r>
    <x v="6915"/>
    <n v="3"/>
    <n v="59"/>
    <n v="62"/>
    <n v="18"/>
    <n v="19"/>
    <x v="28"/>
    <n v="23"/>
    <n v="-1"/>
    <n v="58"/>
    <n v="0"/>
    <n v="1"/>
    <n v="1"/>
  </r>
  <r>
    <x v="6916"/>
    <n v="-1"/>
    <n v="58"/>
    <n v="57"/>
    <n v="23"/>
    <n v="21"/>
    <x v="4"/>
    <n v="24"/>
    <n v="-4"/>
    <n v="60"/>
    <n v="0"/>
    <n v="1"/>
    <n v="4"/>
  </r>
  <r>
    <x v="6917"/>
    <n v="-4"/>
    <n v="60"/>
    <n v="56"/>
    <n v="24"/>
    <n v="19"/>
    <x v="26"/>
    <n v="21"/>
    <n v="-6"/>
    <n v="65"/>
    <n v="0"/>
    <n v="1"/>
    <n v="6"/>
  </r>
  <r>
    <x v="6918"/>
    <n v="-6"/>
    <n v="65"/>
    <n v="59"/>
    <n v="21"/>
    <n v="18"/>
    <x v="17"/>
    <n v="22"/>
    <n v="-10"/>
    <n v="68"/>
    <n v="0"/>
    <n v="1"/>
    <n v="10"/>
  </r>
  <r>
    <x v="6919"/>
    <n v="-10"/>
    <n v="68"/>
    <n v="58"/>
    <n v="22"/>
    <n v="23"/>
    <x v="21"/>
    <n v="18"/>
    <n v="-5"/>
    <n v="67"/>
    <n v="0"/>
    <n v="1"/>
    <n v="5"/>
  </r>
  <r>
    <x v="6920"/>
    <n v="-5"/>
    <n v="67"/>
    <n v="62"/>
    <n v="18"/>
    <n v="24"/>
    <x v="23"/>
    <n v="9"/>
    <n v="10"/>
    <n v="61"/>
    <n v="1"/>
    <n v="0"/>
    <n v="0"/>
  </r>
  <r>
    <x v="6921"/>
    <n v="10"/>
    <n v="61"/>
    <n v="71"/>
    <n v="9"/>
    <n v="21"/>
    <x v="10"/>
    <n v="23"/>
    <n v="8"/>
    <n v="49"/>
    <n v="0.8"/>
    <n v="0"/>
    <n v="0"/>
  </r>
  <r>
    <x v="6922"/>
    <n v="8"/>
    <n v="49"/>
    <n v="57"/>
    <n v="23"/>
    <n v="22"/>
    <x v="13"/>
    <n v="13"/>
    <n v="17"/>
    <n v="50"/>
    <n v="1.7000000000000002"/>
    <n v="0"/>
    <n v="0"/>
  </r>
  <r>
    <x v="6923"/>
    <n v="17"/>
    <n v="50"/>
    <n v="67"/>
    <n v="13"/>
    <n v="18"/>
    <x v="11"/>
    <n v="20"/>
    <n v="15"/>
    <n v="45"/>
    <n v="1.5"/>
    <n v="0"/>
    <n v="0"/>
  </r>
  <r>
    <x v="6924"/>
    <n v="15"/>
    <n v="45"/>
    <n v="60"/>
    <n v="20"/>
    <n v="9"/>
    <x v="32"/>
    <n v="14"/>
    <n v="10"/>
    <n v="56"/>
    <n v="1"/>
    <n v="0"/>
    <n v="0"/>
  </r>
  <r>
    <x v="6925"/>
    <n v="10"/>
    <n v="56"/>
    <n v="66"/>
    <n v="14"/>
    <n v="23"/>
    <x v="14"/>
    <n v="19"/>
    <n v="14"/>
    <n v="47"/>
    <n v="1.4000000000000001"/>
    <n v="0"/>
    <n v="0"/>
  </r>
  <r>
    <x v="6926"/>
    <n v="14"/>
    <n v="47"/>
    <n v="61"/>
    <n v="19"/>
    <n v="13"/>
    <x v="12"/>
    <n v="25"/>
    <n v="2"/>
    <n v="53"/>
    <n v="0.2"/>
    <n v="0"/>
    <n v="0"/>
  </r>
  <r>
    <x v="6927"/>
    <n v="2"/>
    <n v="53"/>
    <n v="55"/>
    <n v="25"/>
    <n v="20"/>
    <x v="28"/>
    <n v="20"/>
    <n v="2"/>
    <n v="58"/>
    <n v="0.2"/>
    <n v="0"/>
    <n v="0"/>
  </r>
  <r>
    <x v="6928"/>
    <n v="2"/>
    <n v="58"/>
    <n v="60"/>
    <n v="20"/>
    <n v="14"/>
    <x v="8"/>
    <n v="31"/>
    <n v="-15"/>
    <n v="64"/>
    <n v="0"/>
    <n v="1"/>
    <n v="15"/>
  </r>
  <r>
    <x v="6929"/>
    <n v="-15"/>
    <n v="64"/>
    <n v="49"/>
    <n v="31"/>
    <n v="19"/>
    <x v="37"/>
    <n v="21"/>
    <n v="-17"/>
    <n v="76"/>
    <n v="0"/>
    <n v="1"/>
    <n v="17"/>
  </r>
  <r>
    <x v="6930"/>
    <n v="-17"/>
    <n v="76"/>
    <n v="59"/>
    <n v="21"/>
    <n v="25"/>
    <x v="29"/>
    <n v="18"/>
    <n v="-10"/>
    <n v="72"/>
    <n v="0"/>
    <n v="1"/>
    <n v="10"/>
  </r>
  <r>
    <x v="6931"/>
    <n v="-10"/>
    <n v="72"/>
    <n v="62"/>
    <n v="18"/>
    <n v="20"/>
    <x v="6"/>
    <n v="18"/>
    <n v="-8"/>
    <n v="70"/>
    <n v="0"/>
    <n v="1"/>
    <n v="8"/>
  </r>
  <r>
    <x v="6932"/>
    <n v="-8"/>
    <n v="70"/>
    <n v="62"/>
    <n v="18"/>
    <n v="31"/>
    <x v="24"/>
    <n v="21"/>
    <n v="2"/>
    <n v="57"/>
    <n v="0.2"/>
    <n v="0"/>
    <n v="0"/>
  </r>
  <r>
    <x v="6933"/>
    <n v="2"/>
    <n v="57"/>
    <n v="59"/>
    <n v="21"/>
    <n v="21"/>
    <x v="24"/>
    <n v="15"/>
    <n v="8"/>
    <n v="57"/>
    <n v="0.8"/>
    <n v="0"/>
    <n v="0"/>
  </r>
  <r>
    <x v="6934"/>
    <n v="8"/>
    <n v="57"/>
    <n v="65"/>
    <n v="15"/>
    <n v="18"/>
    <x v="16"/>
    <n v="15"/>
    <n v="11"/>
    <n v="54"/>
    <n v="1.1000000000000001"/>
    <n v="0"/>
    <n v="0"/>
  </r>
  <r>
    <x v="6935"/>
    <n v="11"/>
    <n v="54"/>
    <n v="65"/>
    <n v="15"/>
    <n v="18"/>
    <x v="9"/>
    <n v="22"/>
    <n v="7"/>
    <n v="51"/>
    <n v="0.70000000000000007"/>
    <n v="0"/>
    <n v="0"/>
  </r>
  <r>
    <x v="6936"/>
    <n v="7"/>
    <n v="51"/>
    <n v="58"/>
    <n v="22"/>
    <n v="21"/>
    <x v="25"/>
    <n v="24"/>
    <n v="4"/>
    <n v="52"/>
    <n v="0.4"/>
    <n v="0"/>
    <n v="0"/>
  </r>
  <r>
    <x v="6937"/>
    <n v="4"/>
    <n v="52"/>
    <n v="56"/>
    <n v="24"/>
    <n v="15"/>
    <x v="23"/>
    <n v="21"/>
    <n v="-2"/>
    <n v="61"/>
    <n v="0"/>
    <n v="1"/>
    <n v="2"/>
  </r>
  <r>
    <x v="6938"/>
    <n v="-2"/>
    <n v="61"/>
    <n v="59"/>
    <n v="21"/>
    <n v="15"/>
    <x v="21"/>
    <n v="26"/>
    <n v="-13"/>
    <n v="67"/>
    <n v="0"/>
    <n v="1"/>
    <n v="13"/>
  </r>
  <r>
    <x v="6939"/>
    <n v="-13"/>
    <n v="67"/>
    <n v="54"/>
    <n v="26"/>
    <n v="22"/>
    <x v="20"/>
    <n v="19"/>
    <n v="-10"/>
    <n v="71"/>
    <n v="0"/>
    <n v="1"/>
    <n v="10"/>
  </r>
  <r>
    <x v="6940"/>
    <n v="-10"/>
    <n v="71"/>
    <n v="61"/>
    <n v="19"/>
    <n v="24"/>
    <x v="7"/>
    <n v="19"/>
    <n v="-5"/>
    <n v="66"/>
    <n v="0"/>
    <n v="1"/>
    <n v="5"/>
  </r>
  <r>
    <x v="6941"/>
    <n v="-5"/>
    <n v="66"/>
    <n v="61"/>
    <n v="19"/>
    <n v="21"/>
    <x v="8"/>
    <n v="22"/>
    <n v="-6"/>
    <n v="64"/>
    <n v="0"/>
    <n v="1"/>
    <n v="6"/>
  </r>
  <r>
    <x v="6942"/>
    <n v="-6"/>
    <n v="64"/>
    <n v="58"/>
    <n v="22"/>
    <n v="26"/>
    <x v="4"/>
    <n v="11"/>
    <n v="9"/>
    <n v="60"/>
    <n v="0.9"/>
    <n v="0"/>
    <n v="0"/>
  </r>
  <r>
    <x v="6943"/>
    <n v="9"/>
    <n v="60"/>
    <n v="69"/>
    <n v="11"/>
    <n v="19"/>
    <x v="25"/>
    <n v="22"/>
    <n v="6"/>
    <n v="52"/>
    <n v="0.60000000000000009"/>
    <n v="0"/>
    <n v="0"/>
  </r>
  <r>
    <x v="6944"/>
    <n v="6"/>
    <n v="52"/>
    <n v="58"/>
    <n v="22"/>
    <n v="19"/>
    <x v="27"/>
    <n v="19"/>
    <n v="6"/>
    <n v="55"/>
    <n v="0.60000000000000009"/>
    <n v="0"/>
    <n v="0"/>
  </r>
  <r>
    <x v="6945"/>
    <n v="6"/>
    <n v="55"/>
    <n v="61"/>
    <n v="19"/>
    <n v="22"/>
    <x v="25"/>
    <n v="26"/>
    <n v="2"/>
    <n v="52"/>
    <n v="0.2"/>
    <n v="0"/>
    <n v="0"/>
  </r>
  <r>
    <x v="6946"/>
    <n v="2"/>
    <n v="52"/>
    <n v="54"/>
    <n v="26"/>
    <n v="11"/>
    <x v="21"/>
    <n v="24"/>
    <n v="-11"/>
    <n v="67"/>
    <n v="0"/>
    <n v="1"/>
    <n v="11"/>
  </r>
  <r>
    <x v="6947"/>
    <n v="-11"/>
    <n v="67"/>
    <n v="56"/>
    <n v="24"/>
    <n v="22"/>
    <x v="30"/>
    <n v="22"/>
    <n v="-11"/>
    <n v="69"/>
    <n v="0"/>
    <n v="1"/>
    <n v="11"/>
  </r>
  <r>
    <x v="6948"/>
    <n v="-11"/>
    <n v="69"/>
    <n v="58"/>
    <n v="22"/>
    <n v="19"/>
    <x v="29"/>
    <n v="19"/>
    <n v="-11"/>
    <n v="72"/>
    <n v="0"/>
    <n v="1"/>
    <n v="11"/>
  </r>
  <r>
    <x v="6949"/>
    <n v="-11"/>
    <n v="72"/>
    <n v="61"/>
    <n v="19"/>
    <n v="26"/>
    <x v="26"/>
    <n v="11"/>
    <n v="4"/>
    <n v="65"/>
    <n v="0.4"/>
    <n v="0"/>
    <n v="0"/>
  </r>
  <r>
    <x v="6950"/>
    <n v="4"/>
    <n v="65"/>
    <n v="69"/>
    <n v="11"/>
    <n v="24"/>
    <x v="25"/>
    <n v="25"/>
    <n v="3"/>
    <n v="52"/>
    <n v="0.30000000000000004"/>
    <n v="0"/>
    <n v="0"/>
  </r>
  <r>
    <x v="6951"/>
    <n v="3"/>
    <n v="52"/>
    <n v="55"/>
    <n v="25"/>
    <n v="22"/>
    <x v="27"/>
    <n v="27"/>
    <n v="-2"/>
    <n v="55"/>
    <n v="0"/>
    <n v="1"/>
    <n v="2"/>
  </r>
  <r>
    <x v="6952"/>
    <n v="-2"/>
    <n v="55"/>
    <n v="53"/>
    <n v="27"/>
    <n v="19"/>
    <x v="22"/>
    <n v="12"/>
    <n v="5"/>
    <n v="63"/>
    <n v="0.5"/>
    <n v="0"/>
    <n v="0"/>
  </r>
  <r>
    <x v="6953"/>
    <n v="5"/>
    <n v="63"/>
    <n v="68"/>
    <n v="12"/>
    <n v="11"/>
    <x v="8"/>
    <n v="22"/>
    <n v="-6"/>
    <n v="64"/>
    <n v="0"/>
    <n v="1"/>
    <n v="6"/>
  </r>
  <r>
    <x v="6954"/>
    <n v="-6"/>
    <n v="64"/>
    <n v="58"/>
    <n v="22"/>
    <n v="25"/>
    <x v="23"/>
    <n v="26"/>
    <n v="-7"/>
    <n v="61"/>
    <n v="0"/>
    <n v="1"/>
    <n v="7"/>
  </r>
  <r>
    <x v="6955"/>
    <n v="-7"/>
    <n v="61"/>
    <n v="54"/>
    <n v="26"/>
    <n v="27"/>
    <x v="4"/>
    <n v="17"/>
    <n v="3"/>
    <n v="60"/>
    <n v="0.30000000000000004"/>
    <n v="0"/>
    <n v="0"/>
  </r>
  <r>
    <x v="6956"/>
    <n v="3"/>
    <n v="60"/>
    <n v="63"/>
    <n v="17"/>
    <n v="12"/>
    <x v="26"/>
    <n v="23"/>
    <n v="-8"/>
    <n v="65"/>
    <n v="0"/>
    <n v="1"/>
    <n v="8"/>
  </r>
  <r>
    <x v="6957"/>
    <n v="-8"/>
    <n v="65"/>
    <n v="57"/>
    <n v="23"/>
    <n v="22"/>
    <x v="7"/>
    <n v="24"/>
    <n v="-10"/>
    <n v="66"/>
    <n v="0"/>
    <n v="1"/>
    <n v="10"/>
  </r>
  <r>
    <x v="6958"/>
    <n v="-10"/>
    <n v="66"/>
    <n v="56"/>
    <n v="24"/>
    <n v="26"/>
    <x v="8"/>
    <n v="22"/>
    <n v="-6"/>
    <n v="64"/>
    <n v="0"/>
    <n v="1"/>
    <n v="6"/>
  </r>
  <r>
    <x v="6959"/>
    <n v="-6"/>
    <n v="64"/>
    <n v="58"/>
    <n v="22"/>
    <n v="17"/>
    <x v="30"/>
    <n v="13"/>
    <n v="-2"/>
    <n v="69"/>
    <n v="0"/>
    <n v="1"/>
    <n v="2"/>
  </r>
  <r>
    <x v="6960"/>
    <n v="-2"/>
    <n v="69"/>
    <n v="67"/>
    <n v="13"/>
    <n v="23"/>
    <x v="5"/>
    <n v="22"/>
    <n v="-1"/>
    <n v="59"/>
    <n v="0"/>
    <n v="1"/>
    <n v="1"/>
  </r>
  <r>
    <x v="6961"/>
    <n v="-1"/>
    <n v="59"/>
    <n v="58"/>
    <n v="22"/>
    <n v="24"/>
    <x v="24"/>
    <n v="19"/>
    <n v="4"/>
    <n v="57"/>
    <n v="0.4"/>
    <n v="0"/>
    <n v="0"/>
  </r>
  <r>
    <x v="6962"/>
    <n v="4"/>
    <n v="57"/>
    <n v="61"/>
    <n v="19"/>
    <n v="22"/>
    <x v="16"/>
    <n v="12"/>
    <n v="14"/>
    <n v="54"/>
    <n v="1.4000000000000001"/>
    <n v="0"/>
    <n v="0"/>
  </r>
  <r>
    <x v="6963"/>
    <n v="14"/>
    <n v="54"/>
    <n v="68"/>
    <n v="12"/>
    <n v="13"/>
    <x v="12"/>
    <n v="16"/>
    <n v="11"/>
    <n v="53"/>
    <n v="1.1000000000000001"/>
    <n v="0"/>
    <n v="0"/>
  </r>
  <r>
    <x v="6964"/>
    <n v="11"/>
    <n v="53"/>
    <n v="64"/>
    <n v="16"/>
    <n v="22"/>
    <x v="14"/>
    <n v="13"/>
    <n v="20"/>
    <n v="47"/>
    <n v="2"/>
    <n v="0"/>
    <n v="0"/>
  </r>
  <r>
    <x v="6965"/>
    <n v="20"/>
    <n v="47"/>
    <n v="67"/>
    <n v="13"/>
    <n v="19"/>
    <x v="52"/>
    <n v="21"/>
    <n v="18"/>
    <n v="41"/>
    <n v="1.8"/>
    <n v="0"/>
    <n v="0"/>
  </r>
  <r>
    <x v="6966"/>
    <n v="18"/>
    <n v="41"/>
    <n v="59"/>
    <n v="21"/>
    <n v="12"/>
    <x v="13"/>
    <n v="24"/>
    <n v="6"/>
    <n v="50"/>
    <n v="0.60000000000000009"/>
    <n v="0"/>
    <n v="0"/>
  </r>
  <r>
    <x v="6967"/>
    <n v="6"/>
    <n v="50"/>
    <n v="56"/>
    <n v="24"/>
    <n v="16"/>
    <x v="28"/>
    <n v="15"/>
    <n v="7"/>
    <n v="58"/>
    <n v="0.70000000000000007"/>
    <n v="0"/>
    <n v="0"/>
  </r>
  <r>
    <x v="6968"/>
    <n v="7"/>
    <n v="58"/>
    <n v="65"/>
    <n v="15"/>
    <n v="13"/>
    <x v="4"/>
    <n v="16"/>
    <n v="4"/>
    <n v="60"/>
    <n v="0.4"/>
    <n v="0"/>
    <n v="0"/>
  </r>
  <r>
    <x v="6969"/>
    <n v="4"/>
    <n v="60"/>
    <n v="64"/>
    <n v="16"/>
    <n v="21"/>
    <x v="27"/>
    <n v="18"/>
    <n v="7"/>
    <n v="55"/>
    <n v="0.70000000000000007"/>
    <n v="0"/>
    <n v="0"/>
  </r>
  <r>
    <x v="6970"/>
    <n v="7"/>
    <n v="55"/>
    <n v="62"/>
    <n v="18"/>
    <n v="24"/>
    <x v="10"/>
    <n v="17"/>
    <n v="14"/>
    <n v="49"/>
    <n v="1.4000000000000001"/>
    <n v="0"/>
    <n v="0"/>
  </r>
  <r>
    <x v="6971"/>
    <n v="14"/>
    <n v="49"/>
    <n v="63"/>
    <n v="17"/>
    <n v="15"/>
    <x v="9"/>
    <n v="17"/>
    <n v="12"/>
    <n v="51"/>
    <n v="1.2000000000000002"/>
    <n v="0"/>
    <n v="0"/>
  </r>
  <r>
    <x v="6972"/>
    <n v="12"/>
    <n v="51"/>
    <n v="63"/>
    <n v="17"/>
    <n v="16"/>
    <x v="25"/>
    <n v="12"/>
    <n v="16"/>
    <n v="52"/>
    <n v="1.6"/>
    <n v="0"/>
    <n v="0"/>
  </r>
  <r>
    <x v="6973"/>
    <n v="16"/>
    <n v="52"/>
    <n v="68"/>
    <n v="12"/>
    <n v="18"/>
    <x v="38"/>
    <n v="19"/>
    <n v="15"/>
    <n v="46"/>
    <n v="1.5"/>
    <n v="0"/>
    <n v="0"/>
  </r>
  <r>
    <x v="6974"/>
    <n v="15"/>
    <n v="46"/>
    <n v="61"/>
    <n v="19"/>
    <n v="17"/>
    <x v="15"/>
    <n v="20"/>
    <n v="12"/>
    <n v="48"/>
    <n v="1.2000000000000002"/>
    <n v="0"/>
    <n v="0"/>
  </r>
  <r>
    <x v="6975"/>
    <n v="12"/>
    <n v="48"/>
    <n v="60"/>
    <n v="20"/>
    <n v="17"/>
    <x v="9"/>
    <n v="26"/>
    <n v="3"/>
    <n v="51"/>
    <n v="0.30000000000000004"/>
    <n v="0"/>
    <n v="0"/>
  </r>
  <r>
    <x v="6976"/>
    <n v="3"/>
    <n v="51"/>
    <n v="54"/>
    <n v="26"/>
    <n v="12"/>
    <x v="26"/>
    <n v="22"/>
    <n v="-7"/>
    <n v="65"/>
    <n v="0"/>
    <n v="1"/>
    <n v="7"/>
  </r>
  <r>
    <x v="6977"/>
    <n v="-7"/>
    <n v="65"/>
    <n v="58"/>
    <n v="22"/>
    <n v="19"/>
    <x v="17"/>
    <n v="22"/>
    <n v="-10"/>
    <n v="68"/>
    <n v="0"/>
    <n v="1"/>
    <n v="10"/>
  </r>
  <r>
    <x v="6978"/>
    <n v="-10"/>
    <n v="68"/>
    <n v="58"/>
    <n v="22"/>
    <n v="20"/>
    <x v="6"/>
    <n v="23"/>
    <n v="-13"/>
    <n v="70"/>
    <n v="0"/>
    <n v="1"/>
    <n v="13"/>
  </r>
  <r>
    <x v="6979"/>
    <n v="-13"/>
    <n v="70"/>
    <n v="57"/>
    <n v="23"/>
    <n v="26"/>
    <x v="21"/>
    <n v="21"/>
    <n v="-8"/>
    <n v="67"/>
    <n v="0"/>
    <n v="1"/>
    <n v="8"/>
  </r>
  <r>
    <x v="6980"/>
    <n v="-8"/>
    <n v="67"/>
    <n v="59"/>
    <n v="21"/>
    <n v="22"/>
    <x v="7"/>
    <n v="26"/>
    <n v="-12"/>
    <n v="66"/>
    <n v="0"/>
    <n v="1"/>
    <n v="12"/>
  </r>
  <r>
    <x v="6981"/>
    <n v="-12"/>
    <n v="66"/>
    <n v="54"/>
    <n v="26"/>
    <n v="22"/>
    <x v="6"/>
    <n v="21"/>
    <n v="-11"/>
    <n v="70"/>
    <n v="0"/>
    <n v="1"/>
    <n v="11"/>
  </r>
  <r>
    <x v="6982"/>
    <n v="-11"/>
    <n v="70"/>
    <n v="59"/>
    <n v="21"/>
    <n v="23"/>
    <x v="17"/>
    <n v="12"/>
    <n v="0"/>
    <n v="68"/>
    <n v="0"/>
    <n v="0"/>
    <n v="0"/>
  </r>
  <r>
    <x v="6983"/>
    <n v="0"/>
    <n v="68"/>
    <n v="68"/>
    <n v="12"/>
    <n v="21"/>
    <x v="5"/>
    <n v="18"/>
    <n v="3"/>
    <n v="59"/>
    <n v="0.30000000000000004"/>
    <n v="0"/>
    <n v="0"/>
  </r>
  <r>
    <x v="6984"/>
    <n v="3"/>
    <n v="59"/>
    <n v="62"/>
    <n v="18"/>
    <n v="26"/>
    <x v="9"/>
    <n v="22"/>
    <n v="7"/>
    <n v="51"/>
    <n v="0.70000000000000007"/>
    <n v="0"/>
    <n v="0"/>
  </r>
  <r>
    <x v="6985"/>
    <n v="7"/>
    <n v="51"/>
    <n v="58"/>
    <n v="22"/>
    <n v="21"/>
    <x v="25"/>
    <n v="20"/>
    <n v="8"/>
    <n v="52"/>
    <n v="0.8"/>
    <n v="0"/>
    <n v="0"/>
  </r>
  <r>
    <x v="6986"/>
    <n v="8"/>
    <n v="52"/>
    <n v="60"/>
    <n v="20"/>
    <n v="12"/>
    <x v="4"/>
    <n v="32"/>
    <n v="-12"/>
    <n v="60"/>
    <n v="0"/>
    <n v="1"/>
    <n v="12"/>
  </r>
  <r>
    <x v="6987"/>
    <n v="-12"/>
    <n v="60"/>
    <n v="48"/>
    <n v="32"/>
    <n v="18"/>
    <x v="39"/>
    <n v="19"/>
    <n v="-13"/>
    <n v="74"/>
    <n v="0"/>
    <n v="1"/>
    <n v="13"/>
  </r>
  <r>
    <x v="6988"/>
    <n v="-13"/>
    <n v="74"/>
    <n v="61"/>
    <n v="19"/>
    <n v="22"/>
    <x v="20"/>
    <n v="19"/>
    <n v="-10"/>
    <n v="71"/>
    <n v="0"/>
    <n v="1"/>
    <n v="10"/>
  </r>
  <r>
    <x v="6989"/>
    <n v="-10"/>
    <n v="71"/>
    <n v="61"/>
    <n v="19"/>
    <n v="20"/>
    <x v="6"/>
    <n v="21"/>
    <n v="-11"/>
    <n v="70"/>
    <n v="0"/>
    <n v="1"/>
    <n v="11"/>
  </r>
  <r>
    <x v="6990"/>
    <n v="-11"/>
    <n v="70"/>
    <n v="59"/>
    <n v="21"/>
    <n v="32"/>
    <x v="5"/>
    <n v="14"/>
    <n v="7"/>
    <n v="59"/>
    <n v="0.70000000000000007"/>
    <n v="0"/>
    <n v="0"/>
  </r>
  <r>
    <x v="6991"/>
    <n v="7"/>
    <n v="59"/>
    <n v="66"/>
    <n v="14"/>
    <n v="19"/>
    <x v="16"/>
    <n v="18"/>
    <n v="8"/>
    <n v="54"/>
    <n v="0.8"/>
    <n v="0"/>
    <n v="0"/>
  </r>
  <r>
    <x v="6992"/>
    <n v="8"/>
    <n v="54"/>
    <n v="62"/>
    <n v="18"/>
    <n v="19"/>
    <x v="12"/>
    <n v="11"/>
    <n v="16"/>
    <n v="53"/>
    <n v="1.6"/>
    <n v="0"/>
    <n v="0"/>
  </r>
  <r>
    <x v="6993"/>
    <n v="16"/>
    <n v="53"/>
    <n v="69"/>
    <n v="11"/>
    <n v="21"/>
    <x v="51"/>
    <n v="26"/>
    <n v="11"/>
    <n v="43"/>
    <n v="1.1000000000000001"/>
    <n v="0"/>
    <n v="0"/>
  </r>
  <r>
    <x v="6994"/>
    <n v="11"/>
    <n v="43"/>
    <n v="54"/>
    <n v="26"/>
    <n v="14"/>
    <x v="27"/>
    <n v="15"/>
    <n v="10"/>
    <n v="55"/>
    <n v="1"/>
    <n v="0"/>
    <n v="0"/>
  </r>
  <r>
    <x v="6995"/>
    <n v="10"/>
    <n v="55"/>
    <n v="65"/>
    <n v="15"/>
    <n v="18"/>
    <x v="25"/>
    <n v="23"/>
    <n v="5"/>
    <n v="52"/>
    <n v="0.5"/>
    <n v="0"/>
    <n v="0"/>
  </r>
  <r>
    <x v="6996"/>
    <n v="5"/>
    <n v="52"/>
    <n v="57"/>
    <n v="23"/>
    <n v="11"/>
    <x v="8"/>
    <n v="12"/>
    <n v="4"/>
    <n v="64"/>
    <n v="0.4"/>
    <n v="0"/>
    <n v="0"/>
  </r>
  <r>
    <x v="6997"/>
    <n v="4"/>
    <n v="64"/>
    <n v="68"/>
    <n v="12"/>
    <n v="26"/>
    <x v="13"/>
    <n v="24"/>
    <n v="6"/>
    <n v="50"/>
    <n v="0.60000000000000009"/>
    <n v="0"/>
    <n v="0"/>
  </r>
  <r>
    <x v="6998"/>
    <n v="6"/>
    <n v="50"/>
    <n v="56"/>
    <n v="24"/>
    <n v="15"/>
    <x v="5"/>
    <n v="15"/>
    <n v="6"/>
    <n v="59"/>
    <n v="0.60000000000000009"/>
    <n v="0"/>
    <n v="0"/>
  </r>
  <r>
    <x v="6999"/>
    <n v="6"/>
    <n v="59"/>
    <n v="65"/>
    <n v="15"/>
    <n v="23"/>
    <x v="9"/>
    <n v="26"/>
    <n v="3"/>
    <n v="51"/>
    <n v="0.30000000000000004"/>
    <n v="0"/>
    <n v="0"/>
  </r>
  <r>
    <x v="7000"/>
    <n v="3"/>
    <n v="51"/>
    <n v="54"/>
    <n v="26"/>
    <n v="12"/>
    <x v="26"/>
    <n v="17"/>
    <n v="-2"/>
    <n v="65"/>
    <n v="0"/>
    <n v="1"/>
    <n v="2"/>
  </r>
  <r>
    <x v="7001"/>
    <n v="-2"/>
    <n v="65"/>
    <n v="63"/>
    <n v="17"/>
    <n v="24"/>
    <x v="28"/>
    <n v="16"/>
    <n v="6"/>
    <n v="58"/>
    <n v="0.60000000000000009"/>
    <n v="0"/>
    <n v="0"/>
  </r>
  <r>
    <x v="7002"/>
    <n v="6"/>
    <n v="58"/>
    <n v="64"/>
    <n v="16"/>
    <n v="15"/>
    <x v="5"/>
    <n v="13"/>
    <n v="8"/>
    <n v="59"/>
    <n v="0.8"/>
    <n v="0"/>
    <n v="0"/>
  </r>
  <r>
    <x v="7003"/>
    <n v="8"/>
    <n v="59"/>
    <n v="67"/>
    <n v="13"/>
    <n v="26"/>
    <x v="38"/>
    <n v="21"/>
    <n v="13"/>
    <n v="46"/>
    <n v="1.3"/>
    <n v="0"/>
    <n v="0"/>
  </r>
  <r>
    <x v="7004"/>
    <n v="13"/>
    <n v="46"/>
    <n v="59"/>
    <n v="21"/>
    <n v="17"/>
    <x v="13"/>
    <n v="18"/>
    <n v="12"/>
    <n v="50"/>
    <n v="1.2000000000000002"/>
    <n v="0"/>
    <n v="0"/>
  </r>
  <r>
    <x v="7005"/>
    <n v="12"/>
    <n v="50"/>
    <n v="62"/>
    <n v="18"/>
    <n v="16"/>
    <x v="25"/>
    <n v="27"/>
    <n v="1"/>
    <n v="52"/>
    <n v="0.1"/>
    <n v="0"/>
    <n v="0"/>
  </r>
  <r>
    <x v="7006"/>
    <n v="1"/>
    <n v="52"/>
    <n v="53"/>
    <n v="27"/>
    <n v="13"/>
    <x v="7"/>
    <n v="27"/>
    <n v="-13"/>
    <n v="66"/>
    <n v="0"/>
    <n v="1"/>
    <n v="13"/>
  </r>
  <r>
    <x v="7007"/>
    <n v="-13"/>
    <n v="66"/>
    <n v="53"/>
    <n v="27"/>
    <n v="21"/>
    <x v="29"/>
    <n v="21"/>
    <n v="-13"/>
    <n v="72"/>
    <n v="0"/>
    <n v="1"/>
    <n v="13"/>
  </r>
  <r>
    <x v="7008"/>
    <n v="-13"/>
    <n v="72"/>
    <n v="59"/>
    <n v="21"/>
    <n v="18"/>
    <x v="44"/>
    <n v="24"/>
    <n v="-19"/>
    <n v="75"/>
    <n v="0"/>
    <n v="1"/>
    <n v="19"/>
  </r>
  <r>
    <x v="7009"/>
    <n v="-19"/>
    <n v="75"/>
    <n v="56"/>
    <n v="24"/>
    <n v="27"/>
    <x v="29"/>
    <n v="8"/>
    <n v="0"/>
    <n v="72"/>
    <n v="0"/>
    <n v="0"/>
    <n v="0"/>
  </r>
  <r>
    <x v="7010"/>
    <n v="0"/>
    <n v="72"/>
    <n v="72"/>
    <n v="8"/>
    <n v="27"/>
    <x v="12"/>
    <n v="20"/>
    <n v="7"/>
    <n v="53"/>
    <n v="0.70000000000000007"/>
    <n v="0"/>
    <n v="0"/>
  </r>
  <r>
    <x v="7011"/>
    <n v="7"/>
    <n v="53"/>
    <n v="60"/>
    <n v="20"/>
    <n v="21"/>
    <x v="25"/>
    <n v="16"/>
    <n v="12"/>
    <n v="52"/>
    <n v="1.2000000000000002"/>
    <n v="0"/>
    <n v="0"/>
  </r>
  <r>
    <x v="7012"/>
    <n v="12"/>
    <n v="52"/>
    <n v="64"/>
    <n v="16"/>
    <n v="24"/>
    <x v="45"/>
    <n v="18"/>
    <n v="18"/>
    <n v="44"/>
    <n v="1.8"/>
    <n v="0"/>
    <n v="0"/>
  </r>
  <r>
    <x v="7013"/>
    <n v="18"/>
    <n v="44"/>
    <n v="62"/>
    <n v="18"/>
    <n v="8"/>
    <x v="16"/>
    <n v="22"/>
    <n v="4"/>
    <n v="54"/>
    <n v="0.4"/>
    <n v="0"/>
    <n v="0"/>
  </r>
  <r>
    <x v="7014"/>
    <n v="4"/>
    <n v="54"/>
    <n v="58"/>
    <n v="22"/>
    <n v="20"/>
    <x v="32"/>
    <n v="15"/>
    <n v="9"/>
    <n v="56"/>
    <n v="0.9"/>
    <n v="0"/>
    <n v="0"/>
  </r>
  <r>
    <x v="7015"/>
    <n v="9"/>
    <n v="56"/>
    <n v="65"/>
    <n v="15"/>
    <n v="16"/>
    <x v="27"/>
    <n v="22"/>
    <n v="3"/>
    <n v="55"/>
    <n v="0.30000000000000004"/>
    <n v="0"/>
    <n v="0"/>
  </r>
  <r>
    <x v="7016"/>
    <n v="3"/>
    <n v="55"/>
    <n v="58"/>
    <n v="22"/>
    <n v="18"/>
    <x v="5"/>
    <n v="23"/>
    <n v="-2"/>
    <n v="59"/>
    <n v="0"/>
    <n v="1"/>
    <n v="2"/>
  </r>
  <r>
    <x v="7017"/>
    <n v="-2"/>
    <n v="59"/>
    <n v="57"/>
    <n v="23"/>
    <n v="22"/>
    <x v="4"/>
    <n v="19"/>
    <n v="1"/>
    <n v="60"/>
    <n v="0.1"/>
    <n v="0"/>
    <n v="0"/>
  </r>
  <r>
    <x v="7018"/>
    <n v="1"/>
    <n v="60"/>
    <n v="61"/>
    <n v="19"/>
    <n v="15"/>
    <x v="8"/>
    <n v="20"/>
    <n v="-4"/>
    <n v="64"/>
    <n v="0"/>
    <n v="1"/>
    <n v="4"/>
  </r>
  <r>
    <x v="7019"/>
    <n v="-4"/>
    <n v="64"/>
    <n v="60"/>
    <n v="20"/>
    <n v="22"/>
    <x v="33"/>
    <n v="14"/>
    <n v="4"/>
    <n v="62"/>
    <n v="0.4"/>
    <n v="0"/>
    <n v="0"/>
  </r>
  <r>
    <x v="7020"/>
    <n v="4"/>
    <n v="62"/>
    <n v="66"/>
    <n v="14"/>
    <n v="23"/>
    <x v="12"/>
    <n v="18"/>
    <n v="9"/>
    <n v="53"/>
    <n v="0.9"/>
    <n v="0"/>
    <n v="0"/>
  </r>
  <r>
    <x v="7021"/>
    <n v="9"/>
    <n v="53"/>
    <n v="62"/>
    <n v="18"/>
    <n v="19"/>
    <x v="25"/>
    <n v="24"/>
    <n v="4"/>
    <n v="52"/>
    <n v="0.4"/>
    <n v="0"/>
    <n v="0"/>
  </r>
  <r>
    <x v="7022"/>
    <n v="4"/>
    <n v="52"/>
    <n v="56"/>
    <n v="24"/>
    <n v="20"/>
    <x v="32"/>
    <n v="22"/>
    <n v="2"/>
    <n v="56"/>
    <n v="0.2"/>
    <n v="0"/>
    <n v="0"/>
  </r>
  <r>
    <x v="7023"/>
    <n v="2"/>
    <n v="56"/>
    <n v="58"/>
    <n v="22"/>
    <n v="14"/>
    <x v="8"/>
    <n v="15"/>
    <n v="1"/>
    <n v="64"/>
    <n v="0.1"/>
    <n v="0"/>
    <n v="0"/>
  </r>
  <r>
    <x v="7024"/>
    <n v="1"/>
    <n v="64"/>
    <n v="65"/>
    <n v="15"/>
    <n v="18"/>
    <x v="23"/>
    <n v="18"/>
    <n v="1"/>
    <n v="61"/>
    <n v="0.1"/>
    <n v="0"/>
    <n v="0"/>
  </r>
  <r>
    <x v="7025"/>
    <n v="1"/>
    <n v="61"/>
    <n v="62"/>
    <n v="18"/>
    <n v="24"/>
    <x v="27"/>
    <n v="25"/>
    <n v="0"/>
    <n v="55"/>
    <n v="0"/>
    <n v="0"/>
    <n v="0"/>
  </r>
  <r>
    <x v="7026"/>
    <n v="0"/>
    <n v="55"/>
    <n v="55"/>
    <n v="25"/>
    <n v="22"/>
    <x v="28"/>
    <n v="26"/>
    <n v="-4"/>
    <n v="58"/>
    <n v="0"/>
    <n v="1"/>
    <n v="4"/>
  </r>
  <r>
    <x v="7027"/>
    <n v="-4"/>
    <n v="58"/>
    <n v="54"/>
    <n v="26"/>
    <n v="15"/>
    <x v="30"/>
    <n v="24"/>
    <n v="-13"/>
    <n v="69"/>
    <n v="0"/>
    <n v="1"/>
    <n v="13"/>
  </r>
  <r>
    <x v="7028"/>
    <n v="-13"/>
    <n v="69"/>
    <n v="56"/>
    <n v="24"/>
    <n v="18"/>
    <x v="44"/>
    <n v="17"/>
    <n v="-12"/>
    <n v="75"/>
    <n v="0"/>
    <n v="1"/>
    <n v="12"/>
  </r>
  <r>
    <x v="7029"/>
    <n v="-12"/>
    <n v="75"/>
    <n v="63"/>
    <n v="17"/>
    <n v="25"/>
    <x v="21"/>
    <n v="22"/>
    <n v="-9"/>
    <n v="67"/>
    <n v="0"/>
    <n v="1"/>
    <n v="9"/>
  </r>
  <r>
    <x v="7030"/>
    <n v="-9"/>
    <n v="67"/>
    <n v="58"/>
    <n v="22"/>
    <n v="26"/>
    <x v="22"/>
    <n v="25"/>
    <n v="-8"/>
    <n v="63"/>
    <n v="0"/>
    <n v="1"/>
    <n v="8"/>
  </r>
  <r>
    <x v="7031"/>
    <n v="-8"/>
    <n v="63"/>
    <n v="55"/>
    <n v="25"/>
    <n v="24"/>
    <x v="8"/>
    <n v="17"/>
    <n v="-1"/>
    <n v="64"/>
    <n v="0"/>
    <n v="1"/>
    <n v="1"/>
  </r>
  <r>
    <x v="7032"/>
    <n v="-1"/>
    <n v="64"/>
    <n v="63"/>
    <n v="17"/>
    <n v="17"/>
    <x v="8"/>
    <n v="24"/>
    <n v="-8"/>
    <n v="64"/>
    <n v="0"/>
    <n v="1"/>
    <n v="8"/>
  </r>
  <r>
    <x v="7033"/>
    <n v="-8"/>
    <n v="64"/>
    <n v="56"/>
    <n v="24"/>
    <n v="22"/>
    <x v="7"/>
    <n v="24"/>
    <n v="-10"/>
    <n v="66"/>
    <n v="0"/>
    <n v="1"/>
    <n v="10"/>
  </r>
  <r>
    <x v="7034"/>
    <n v="-10"/>
    <n v="66"/>
    <n v="56"/>
    <n v="24"/>
    <n v="25"/>
    <x v="26"/>
    <n v="18"/>
    <n v="-3"/>
    <n v="65"/>
    <n v="0"/>
    <n v="1"/>
    <n v="3"/>
  </r>
  <r>
    <x v="7035"/>
    <n v="-3"/>
    <n v="65"/>
    <n v="62"/>
    <n v="18"/>
    <n v="17"/>
    <x v="7"/>
    <n v="27"/>
    <n v="-13"/>
    <n v="66"/>
    <n v="0"/>
    <n v="1"/>
    <n v="13"/>
  </r>
  <r>
    <x v="7036"/>
    <n v="-13"/>
    <n v="66"/>
    <n v="53"/>
    <n v="27"/>
    <n v="24"/>
    <x v="30"/>
    <n v="21"/>
    <n v="-10"/>
    <n v="69"/>
    <n v="0"/>
    <n v="1"/>
    <n v="10"/>
  </r>
  <r>
    <x v="7037"/>
    <n v="-10"/>
    <n v="69"/>
    <n v="59"/>
    <n v="21"/>
    <n v="24"/>
    <x v="7"/>
    <n v="11"/>
    <n v="3"/>
    <n v="66"/>
    <n v="0.30000000000000004"/>
    <n v="0"/>
    <n v="0"/>
  </r>
  <r>
    <x v="7038"/>
    <n v="3"/>
    <n v="66"/>
    <n v="69"/>
    <n v="11"/>
    <n v="18"/>
    <x v="5"/>
    <n v="19"/>
    <n v="2"/>
    <n v="59"/>
    <n v="0.2"/>
    <n v="0"/>
    <n v="0"/>
  </r>
  <r>
    <x v="7039"/>
    <n v="2"/>
    <n v="59"/>
    <n v="61"/>
    <n v="19"/>
    <n v="27"/>
    <x v="9"/>
    <n v="17"/>
    <n v="12"/>
    <n v="51"/>
    <n v="1.2000000000000002"/>
    <n v="0"/>
    <n v="0"/>
  </r>
  <r>
    <x v="7040"/>
    <n v="12"/>
    <n v="51"/>
    <n v="63"/>
    <n v="17"/>
    <n v="21"/>
    <x v="14"/>
    <n v="10"/>
    <n v="23"/>
    <n v="47"/>
    <n v="2.3000000000000003"/>
    <n v="0"/>
    <n v="0"/>
  </r>
  <r>
    <x v="7041"/>
    <n v="23"/>
    <n v="47"/>
    <n v="70"/>
    <n v="10"/>
    <n v="11"/>
    <x v="38"/>
    <n v="23"/>
    <n v="11"/>
    <n v="46"/>
    <n v="1.1000000000000001"/>
    <n v="0"/>
    <n v="0"/>
  </r>
  <r>
    <x v="7042"/>
    <n v="11"/>
    <n v="46"/>
    <n v="57"/>
    <n v="23"/>
    <n v="19"/>
    <x v="13"/>
    <n v="21"/>
    <n v="9"/>
    <n v="50"/>
    <n v="0.9"/>
    <n v="0"/>
    <n v="0"/>
  </r>
  <r>
    <x v="7043"/>
    <n v="9"/>
    <n v="50"/>
    <n v="59"/>
    <n v="21"/>
    <n v="17"/>
    <x v="16"/>
    <n v="27"/>
    <n v="-1"/>
    <n v="54"/>
    <n v="0"/>
    <n v="1"/>
    <n v="1"/>
  </r>
  <r>
    <x v="7044"/>
    <n v="-1"/>
    <n v="54"/>
    <n v="53"/>
    <n v="27"/>
    <n v="10"/>
    <x v="20"/>
    <n v="20"/>
    <n v="-11"/>
    <n v="71"/>
    <n v="0"/>
    <n v="1"/>
    <n v="11"/>
  </r>
  <r>
    <x v="7045"/>
    <n v="-11"/>
    <n v="71"/>
    <n v="60"/>
    <n v="20"/>
    <n v="23"/>
    <x v="17"/>
    <n v="16"/>
    <n v="-4"/>
    <n v="68"/>
    <n v="0"/>
    <n v="1"/>
    <n v="4"/>
  </r>
  <r>
    <x v="7046"/>
    <n v="-4"/>
    <n v="68"/>
    <n v="64"/>
    <n v="16"/>
    <n v="21"/>
    <x v="22"/>
    <n v="22"/>
    <n v="-5"/>
    <n v="63"/>
    <n v="0"/>
    <n v="1"/>
    <n v="5"/>
  </r>
  <r>
    <x v="7047"/>
    <n v="-5"/>
    <n v="63"/>
    <n v="58"/>
    <n v="22"/>
    <n v="27"/>
    <x v="28"/>
    <n v="19"/>
    <n v="3"/>
    <n v="58"/>
    <n v="0.30000000000000004"/>
    <n v="0"/>
    <n v="0"/>
  </r>
  <r>
    <x v="7048"/>
    <n v="3"/>
    <n v="58"/>
    <n v="61"/>
    <n v="19"/>
    <n v="20"/>
    <x v="24"/>
    <n v="24"/>
    <n v="-1"/>
    <n v="57"/>
    <n v="0"/>
    <n v="1"/>
    <n v="1"/>
  </r>
  <r>
    <x v="7049"/>
    <n v="-1"/>
    <n v="57"/>
    <n v="56"/>
    <n v="24"/>
    <n v="16"/>
    <x v="26"/>
    <n v="24"/>
    <n v="-9"/>
    <n v="65"/>
    <n v="0"/>
    <n v="1"/>
    <n v="9"/>
  </r>
  <r>
    <x v="7050"/>
    <n v="-9"/>
    <n v="65"/>
    <n v="56"/>
    <n v="24"/>
    <n v="22"/>
    <x v="21"/>
    <n v="20"/>
    <n v="-7"/>
    <n v="67"/>
    <n v="0"/>
    <n v="1"/>
    <n v="7"/>
  </r>
  <r>
    <x v="7051"/>
    <n v="-7"/>
    <n v="67"/>
    <n v="60"/>
    <n v="20"/>
    <n v="19"/>
    <x v="17"/>
    <n v="12"/>
    <n v="0"/>
    <n v="68"/>
    <n v="0"/>
    <n v="0"/>
    <n v="0"/>
  </r>
  <r>
    <x v="7052"/>
    <n v="0"/>
    <n v="68"/>
    <n v="68"/>
    <n v="12"/>
    <n v="24"/>
    <x v="32"/>
    <n v="28"/>
    <n v="-4"/>
    <n v="56"/>
    <n v="0"/>
    <n v="1"/>
    <n v="4"/>
  </r>
  <r>
    <x v="7053"/>
    <n v="-4"/>
    <n v="56"/>
    <n v="52"/>
    <n v="28"/>
    <n v="24"/>
    <x v="4"/>
    <n v="18"/>
    <n v="2"/>
    <n v="60"/>
    <n v="0.2"/>
    <n v="0"/>
    <n v="0"/>
  </r>
  <r>
    <x v="7054"/>
    <n v="2"/>
    <n v="60"/>
    <n v="62"/>
    <n v="18"/>
    <n v="20"/>
    <x v="28"/>
    <n v="27"/>
    <n v="-5"/>
    <n v="58"/>
    <n v="0"/>
    <n v="1"/>
    <n v="5"/>
  </r>
  <r>
    <x v="7055"/>
    <n v="-5"/>
    <n v="58"/>
    <n v="53"/>
    <n v="27"/>
    <n v="12"/>
    <x v="31"/>
    <n v="23"/>
    <n v="-16"/>
    <n v="73"/>
    <n v="0"/>
    <n v="1"/>
    <n v="16"/>
  </r>
  <r>
    <x v="7056"/>
    <n v="-16"/>
    <n v="73"/>
    <n v="57"/>
    <n v="23"/>
    <n v="28"/>
    <x v="17"/>
    <n v="18"/>
    <n v="-6"/>
    <n v="68"/>
    <n v="0"/>
    <n v="1"/>
    <n v="6"/>
  </r>
  <r>
    <x v="7057"/>
    <n v="-6"/>
    <n v="68"/>
    <n v="62"/>
    <n v="18"/>
    <n v="18"/>
    <x v="17"/>
    <n v="18"/>
    <n v="-6"/>
    <n v="68"/>
    <n v="0"/>
    <n v="1"/>
    <n v="6"/>
  </r>
  <r>
    <x v="7058"/>
    <n v="-6"/>
    <n v="68"/>
    <n v="62"/>
    <n v="18"/>
    <n v="27"/>
    <x v="5"/>
    <n v="22"/>
    <n v="-1"/>
    <n v="59"/>
    <n v="0"/>
    <n v="1"/>
    <n v="1"/>
  </r>
  <r>
    <x v="7059"/>
    <n v="-1"/>
    <n v="59"/>
    <n v="58"/>
    <n v="22"/>
    <n v="23"/>
    <x v="28"/>
    <n v="21"/>
    <n v="1"/>
    <n v="58"/>
    <n v="0.1"/>
    <n v="0"/>
    <n v="0"/>
  </r>
  <r>
    <x v="7060"/>
    <n v="1"/>
    <n v="58"/>
    <n v="59"/>
    <n v="21"/>
    <n v="18"/>
    <x v="23"/>
    <n v="23"/>
    <n v="-4"/>
    <n v="61"/>
    <n v="0"/>
    <n v="1"/>
    <n v="4"/>
  </r>
  <r>
    <x v="7061"/>
    <n v="-4"/>
    <n v="61"/>
    <n v="57"/>
    <n v="23"/>
    <n v="18"/>
    <x v="7"/>
    <n v="15"/>
    <n v="-1"/>
    <n v="66"/>
    <n v="0"/>
    <n v="1"/>
    <n v="1"/>
  </r>
  <r>
    <x v="7062"/>
    <n v="-1"/>
    <n v="66"/>
    <n v="65"/>
    <n v="15"/>
    <n v="22"/>
    <x v="5"/>
    <n v="15"/>
    <n v="6"/>
    <n v="59"/>
    <n v="0.60000000000000009"/>
    <n v="0"/>
    <n v="0"/>
  </r>
  <r>
    <x v="7063"/>
    <n v="6"/>
    <n v="59"/>
    <n v="65"/>
    <n v="15"/>
    <n v="21"/>
    <x v="12"/>
    <n v="20"/>
    <n v="7"/>
    <n v="53"/>
    <n v="0.70000000000000007"/>
    <n v="0"/>
    <n v="0"/>
  </r>
  <r>
    <x v="7064"/>
    <n v="7"/>
    <n v="53"/>
    <n v="60"/>
    <n v="20"/>
    <n v="23"/>
    <x v="13"/>
    <n v="15"/>
    <n v="15"/>
    <n v="50"/>
    <n v="1.5"/>
    <n v="0"/>
    <n v="0"/>
  </r>
  <r>
    <x v="7065"/>
    <n v="15"/>
    <n v="50"/>
    <n v="65"/>
    <n v="15"/>
    <n v="15"/>
    <x v="13"/>
    <n v="27"/>
    <n v="3"/>
    <n v="50"/>
    <n v="0.30000000000000004"/>
    <n v="0"/>
    <n v="0"/>
  </r>
  <r>
    <x v="7066"/>
    <n v="3"/>
    <n v="50"/>
    <n v="53"/>
    <n v="27"/>
    <n v="15"/>
    <x v="33"/>
    <n v="20"/>
    <n v="-2"/>
    <n v="62"/>
    <n v="0"/>
    <n v="1"/>
    <n v="2"/>
  </r>
  <r>
    <x v="7067"/>
    <n v="-2"/>
    <n v="62"/>
    <n v="60"/>
    <n v="20"/>
    <n v="20"/>
    <x v="33"/>
    <n v="16"/>
    <n v="2"/>
    <n v="62"/>
    <n v="0.2"/>
    <n v="0"/>
    <n v="0"/>
  </r>
  <r>
    <x v="7068"/>
    <n v="2"/>
    <n v="62"/>
    <n v="64"/>
    <n v="16"/>
    <n v="15"/>
    <x v="22"/>
    <n v="18"/>
    <n v="-1"/>
    <n v="63"/>
    <n v="0"/>
    <n v="1"/>
    <n v="1"/>
  </r>
  <r>
    <x v="7069"/>
    <n v="-1"/>
    <n v="63"/>
    <n v="62"/>
    <n v="18"/>
    <n v="27"/>
    <x v="16"/>
    <n v="31"/>
    <n v="-5"/>
    <n v="54"/>
    <n v="0"/>
    <n v="1"/>
    <n v="5"/>
  </r>
  <r>
    <x v="7070"/>
    <n v="-5"/>
    <n v="54"/>
    <n v="49"/>
    <n v="31"/>
    <n v="20"/>
    <x v="26"/>
    <n v="14"/>
    <n v="1"/>
    <n v="65"/>
    <n v="0.1"/>
    <n v="0"/>
    <n v="0"/>
  </r>
  <r>
    <x v="7071"/>
    <n v="1"/>
    <n v="65"/>
    <n v="66"/>
    <n v="14"/>
    <n v="16"/>
    <x v="22"/>
    <n v="16"/>
    <n v="1"/>
    <n v="63"/>
    <n v="0.1"/>
    <n v="0"/>
    <n v="0"/>
  </r>
  <r>
    <x v="7072"/>
    <n v="1"/>
    <n v="63"/>
    <n v="64"/>
    <n v="16"/>
    <n v="18"/>
    <x v="23"/>
    <n v="20"/>
    <n v="-1"/>
    <n v="61"/>
    <n v="0"/>
    <n v="1"/>
    <n v="1"/>
  </r>
  <r>
    <x v="7073"/>
    <n v="-1"/>
    <n v="61"/>
    <n v="60"/>
    <n v="20"/>
    <n v="31"/>
    <x v="13"/>
    <n v="24"/>
    <n v="6"/>
    <n v="50"/>
    <n v="0.60000000000000009"/>
    <n v="0"/>
    <n v="0"/>
  </r>
  <r>
    <x v="7074"/>
    <n v="6"/>
    <n v="50"/>
    <n v="56"/>
    <n v="24"/>
    <n v="14"/>
    <x v="4"/>
    <n v="17"/>
    <n v="3"/>
    <n v="60"/>
    <n v="0.30000000000000004"/>
    <n v="0"/>
    <n v="0"/>
  </r>
  <r>
    <x v="7075"/>
    <n v="3"/>
    <n v="60"/>
    <n v="63"/>
    <n v="17"/>
    <n v="16"/>
    <x v="23"/>
    <n v="17"/>
    <n v="2"/>
    <n v="61"/>
    <n v="0.2"/>
    <n v="0"/>
    <n v="0"/>
  </r>
  <r>
    <x v="7076"/>
    <n v="2"/>
    <n v="61"/>
    <n v="63"/>
    <n v="17"/>
    <n v="20"/>
    <x v="28"/>
    <n v="21"/>
    <n v="1"/>
    <n v="58"/>
    <n v="0.1"/>
    <n v="0"/>
    <n v="0"/>
  </r>
  <r>
    <x v="7077"/>
    <n v="1"/>
    <n v="58"/>
    <n v="59"/>
    <n v="21"/>
    <n v="24"/>
    <x v="27"/>
    <n v="19"/>
    <n v="6"/>
    <n v="55"/>
    <n v="0.60000000000000009"/>
    <n v="0"/>
    <n v="0"/>
  </r>
  <r>
    <x v="7078"/>
    <n v="6"/>
    <n v="55"/>
    <n v="61"/>
    <n v="19"/>
    <n v="17"/>
    <x v="24"/>
    <n v="23"/>
    <n v="0"/>
    <n v="57"/>
    <n v="0"/>
    <n v="0"/>
    <n v="0"/>
  </r>
  <r>
    <x v="7079"/>
    <n v="0"/>
    <n v="57"/>
    <n v="57"/>
    <n v="23"/>
    <n v="17"/>
    <x v="22"/>
    <n v="21"/>
    <n v="-4"/>
    <n v="63"/>
    <n v="0"/>
    <n v="1"/>
    <n v="4"/>
  </r>
  <r>
    <x v="7080"/>
    <n v="-4"/>
    <n v="63"/>
    <n v="59"/>
    <n v="21"/>
    <n v="21"/>
    <x v="22"/>
    <n v="14"/>
    <n v="3"/>
    <n v="63"/>
    <n v="0.30000000000000004"/>
    <n v="0"/>
    <n v="0"/>
  </r>
  <r>
    <x v="7081"/>
    <n v="3"/>
    <n v="63"/>
    <n v="66"/>
    <n v="14"/>
    <n v="19"/>
    <x v="28"/>
    <n v="24"/>
    <n v="-2"/>
    <n v="58"/>
    <n v="0"/>
    <n v="1"/>
    <n v="2"/>
  </r>
  <r>
    <x v="7082"/>
    <n v="-2"/>
    <n v="58"/>
    <n v="56"/>
    <n v="24"/>
    <n v="23"/>
    <x v="5"/>
    <n v="14"/>
    <n v="7"/>
    <n v="59"/>
    <n v="0.70000000000000007"/>
    <n v="0"/>
    <n v="0"/>
  </r>
  <r>
    <x v="7083"/>
    <n v="7"/>
    <n v="59"/>
    <n v="66"/>
    <n v="14"/>
    <n v="21"/>
    <x v="25"/>
    <n v="21"/>
    <n v="7"/>
    <n v="52"/>
    <n v="0.70000000000000007"/>
    <n v="0"/>
    <n v="0"/>
  </r>
  <r>
    <x v="7084"/>
    <n v="7"/>
    <n v="52"/>
    <n v="59"/>
    <n v="21"/>
    <n v="14"/>
    <x v="5"/>
    <n v="20"/>
    <n v="1"/>
    <n v="59"/>
    <n v="0.1"/>
    <n v="0"/>
    <n v="0"/>
  </r>
  <r>
    <x v="7085"/>
    <n v="1"/>
    <n v="59"/>
    <n v="60"/>
    <n v="20"/>
    <n v="24"/>
    <x v="27"/>
    <n v="26"/>
    <n v="-1"/>
    <n v="55"/>
    <n v="0"/>
    <n v="1"/>
    <n v="1"/>
  </r>
  <r>
    <x v="7086"/>
    <n v="-1"/>
    <n v="55"/>
    <n v="54"/>
    <n v="26"/>
    <n v="14"/>
    <x v="21"/>
    <n v="25"/>
    <n v="-12"/>
    <n v="67"/>
    <n v="0"/>
    <n v="1"/>
    <n v="12"/>
  </r>
  <r>
    <x v="7087"/>
    <n v="-12"/>
    <n v="67"/>
    <n v="55"/>
    <n v="25"/>
    <n v="21"/>
    <x v="20"/>
    <n v="17"/>
    <n v="-8"/>
    <n v="71"/>
    <n v="0"/>
    <n v="1"/>
    <n v="8"/>
  </r>
  <r>
    <x v="7088"/>
    <n v="-8"/>
    <n v="71"/>
    <n v="63"/>
    <n v="17"/>
    <n v="20"/>
    <x v="17"/>
    <n v="20"/>
    <n v="-8"/>
    <n v="68"/>
    <n v="0"/>
    <n v="1"/>
    <n v="8"/>
  </r>
  <r>
    <x v="7089"/>
    <n v="-8"/>
    <n v="68"/>
    <n v="60"/>
    <n v="20"/>
    <n v="26"/>
    <x v="33"/>
    <n v="17"/>
    <n v="1"/>
    <n v="62"/>
    <n v="0.1"/>
    <n v="0"/>
    <n v="0"/>
  </r>
  <r>
    <x v="7090"/>
    <n v="1"/>
    <n v="62"/>
    <n v="63"/>
    <n v="17"/>
    <n v="25"/>
    <x v="16"/>
    <n v="19"/>
    <n v="7"/>
    <n v="54"/>
    <n v="0.70000000000000007"/>
    <n v="0"/>
    <n v="0"/>
  </r>
  <r>
    <x v="7091"/>
    <n v="7"/>
    <n v="54"/>
    <n v="61"/>
    <n v="19"/>
    <n v="17"/>
    <x v="32"/>
    <n v="18"/>
    <n v="6"/>
    <n v="56"/>
    <n v="0.60000000000000009"/>
    <n v="0"/>
    <n v="0"/>
  </r>
  <r>
    <x v="7092"/>
    <n v="6"/>
    <n v="56"/>
    <n v="62"/>
    <n v="18"/>
    <n v="20"/>
    <x v="16"/>
    <n v="17"/>
    <n v="9"/>
    <n v="54"/>
    <n v="0.9"/>
    <n v="0"/>
    <n v="0"/>
  </r>
  <r>
    <x v="7093"/>
    <n v="9"/>
    <n v="54"/>
    <n v="63"/>
    <n v="17"/>
    <n v="17"/>
    <x v="16"/>
    <n v="26"/>
    <n v="0"/>
    <n v="54"/>
    <n v="0"/>
    <n v="0"/>
    <n v="0"/>
  </r>
  <r>
    <x v="7094"/>
    <n v="0"/>
    <n v="54"/>
    <n v="54"/>
    <n v="26"/>
    <n v="19"/>
    <x v="23"/>
    <n v="22"/>
    <n v="-3"/>
    <n v="61"/>
    <n v="0"/>
    <n v="1"/>
    <n v="3"/>
  </r>
  <r>
    <x v="7095"/>
    <n v="-3"/>
    <n v="61"/>
    <n v="58"/>
    <n v="22"/>
    <n v="18"/>
    <x v="26"/>
    <n v="18"/>
    <n v="-3"/>
    <n v="65"/>
    <n v="0"/>
    <n v="1"/>
    <n v="3"/>
  </r>
  <r>
    <x v="7096"/>
    <n v="-3"/>
    <n v="65"/>
    <n v="62"/>
    <n v="18"/>
    <n v="17"/>
    <x v="7"/>
    <n v="20"/>
    <n v="-6"/>
    <n v="66"/>
    <n v="0"/>
    <n v="1"/>
    <n v="6"/>
  </r>
  <r>
    <x v="7097"/>
    <n v="-6"/>
    <n v="66"/>
    <n v="60"/>
    <n v="20"/>
    <n v="26"/>
    <x v="4"/>
    <n v="17"/>
    <n v="3"/>
    <n v="60"/>
    <n v="0.30000000000000004"/>
    <n v="0"/>
    <n v="0"/>
  </r>
  <r>
    <x v="7098"/>
    <n v="3"/>
    <n v="60"/>
    <n v="63"/>
    <n v="17"/>
    <n v="22"/>
    <x v="27"/>
    <n v="18"/>
    <n v="7"/>
    <n v="55"/>
    <n v="0.70000000000000007"/>
    <n v="0"/>
    <n v="0"/>
  </r>
  <r>
    <x v="7099"/>
    <n v="7"/>
    <n v="55"/>
    <n v="62"/>
    <n v="18"/>
    <n v="18"/>
    <x v="27"/>
    <n v="22"/>
    <n v="3"/>
    <n v="55"/>
    <n v="0.30000000000000004"/>
    <n v="0"/>
    <n v="0"/>
  </r>
  <r>
    <x v="7100"/>
    <n v="3"/>
    <n v="55"/>
    <n v="58"/>
    <n v="22"/>
    <n v="20"/>
    <x v="24"/>
    <n v="20"/>
    <n v="3"/>
    <n v="57"/>
    <n v="0.30000000000000004"/>
    <n v="0"/>
    <n v="0"/>
  </r>
  <r>
    <x v="7101"/>
    <n v="3"/>
    <n v="57"/>
    <n v="60"/>
    <n v="20"/>
    <n v="17"/>
    <x v="4"/>
    <n v="25"/>
    <n v="-5"/>
    <n v="60"/>
    <n v="0"/>
    <n v="1"/>
    <n v="5"/>
  </r>
  <r>
    <x v="7102"/>
    <n v="-5"/>
    <n v="60"/>
    <n v="55"/>
    <n v="25"/>
    <n v="18"/>
    <x v="21"/>
    <n v="22"/>
    <n v="-9"/>
    <n v="67"/>
    <n v="0"/>
    <n v="1"/>
    <n v="9"/>
  </r>
  <r>
    <x v="7103"/>
    <n v="-9"/>
    <n v="67"/>
    <n v="58"/>
    <n v="22"/>
    <n v="22"/>
    <x v="21"/>
    <n v="15"/>
    <n v="-2"/>
    <n v="67"/>
    <n v="0"/>
    <n v="1"/>
    <n v="2"/>
  </r>
  <r>
    <x v="7104"/>
    <n v="-2"/>
    <n v="67"/>
    <n v="65"/>
    <n v="15"/>
    <n v="20"/>
    <x v="33"/>
    <n v="25"/>
    <n v="-7"/>
    <n v="62"/>
    <n v="0"/>
    <n v="1"/>
    <n v="7"/>
  </r>
  <r>
    <x v="7105"/>
    <n v="-7"/>
    <n v="62"/>
    <n v="55"/>
    <n v="25"/>
    <n v="25"/>
    <x v="33"/>
    <n v="20"/>
    <n v="-2"/>
    <n v="62"/>
    <n v="0"/>
    <n v="1"/>
    <n v="2"/>
  </r>
  <r>
    <x v="7106"/>
    <n v="-2"/>
    <n v="62"/>
    <n v="60"/>
    <n v="20"/>
    <n v="22"/>
    <x v="4"/>
    <n v="15"/>
    <n v="5"/>
    <n v="60"/>
    <n v="0.5"/>
    <n v="0"/>
    <n v="0"/>
  </r>
  <r>
    <x v="7107"/>
    <n v="5"/>
    <n v="60"/>
    <n v="65"/>
    <n v="15"/>
    <n v="15"/>
    <x v="4"/>
    <n v="15"/>
    <n v="5"/>
    <n v="60"/>
    <n v="0.5"/>
    <n v="0"/>
    <n v="0"/>
  </r>
  <r>
    <x v="7108"/>
    <n v="5"/>
    <n v="60"/>
    <n v="65"/>
    <n v="15"/>
    <n v="25"/>
    <x v="13"/>
    <n v="20"/>
    <n v="10"/>
    <n v="50"/>
    <n v="1"/>
    <n v="0"/>
    <n v="0"/>
  </r>
  <r>
    <x v="7109"/>
    <n v="10"/>
    <n v="50"/>
    <n v="60"/>
    <n v="20"/>
    <n v="20"/>
    <x v="13"/>
    <n v="18"/>
    <n v="12"/>
    <n v="50"/>
    <n v="1.2000000000000002"/>
    <n v="0"/>
    <n v="0"/>
  </r>
  <r>
    <x v="7110"/>
    <n v="12"/>
    <n v="50"/>
    <n v="62"/>
    <n v="18"/>
    <n v="15"/>
    <x v="12"/>
    <n v="27"/>
    <n v="0"/>
    <n v="53"/>
    <n v="0"/>
    <n v="0"/>
    <n v="0"/>
  </r>
  <r>
    <x v="7111"/>
    <n v="0"/>
    <n v="53"/>
    <n v="53"/>
    <n v="27"/>
    <n v="15"/>
    <x v="26"/>
    <n v="20"/>
    <n v="-5"/>
    <n v="65"/>
    <n v="0"/>
    <n v="1"/>
    <n v="5"/>
  </r>
  <r>
    <x v="7112"/>
    <n v="-5"/>
    <n v="65"/>
    <n v="60"/>
    <n v="20"/>
    <n v="20"/>
    <x v="26"/>
    <n v="29"/>
    <n v="-14"/>
    <n v="65"/>
    <n v="0"/>
    <n v="1"/>
    <n v="14"/>
  </r>
  <r>
    <x v="7113"/>
    <n v="-14"/>
    <n v="65"/>
    <n v="51"/>
    <n v="29"/>
    <n v="18"/>
    <x v="37"/>
    <n v="14"/>
    <n v="-10"/>
    <n v="76"/>
    <n v="0"/>
    <n v="1"/>
    <n v="10"/>
  </r>
  <r>
    <x v="7114"/>
    <n v="-10"/>
    <n v="76"/>
    <n v="66"/>
    <n v="14"/>
    <n v="27"/>
    <x v="22"/>
    <n v="23"/>
    <n v="-6"/>
    <n v="63"/>
    <n v="0"/>
    <n v="1"/>
    <n v="6"/>
  </r>
  <r>
    <x v="7115"/>
    <n v="-6"/>
    <n v="63"/>
    <n v="57"/>
    <n v="23"/>
    <n v="20"/>
    <x v="7"/>
    <n v="16"/>
    <n v="-2"/>
    <n v="66"/>
    <n v="0"/>
    <n v="1"/>
    <n v="2"/>
  </r>
  <r>
    <x v="7116"/>
    <n v="-2"/>
    <n v="66"/>
    <n v="64"/>
    <n v="16"/>
    <n v="29"/>
    <x v="12"/>
    <n v="15"/>
    <n v="12"/>
    <n v="53"/>
    <n v="1.2000000000000002"/>
    <n v="0"/>
    <n v="0"/>
  </r>
  <r>
    <x v="7117"/>
    <n v="12"/>
    <n v="53"/>
    <n v="65"/>
    <n v="15"/>
    <n v="14"/>
    <x v="16"/>
    <n v="19"/>
    <n v="7"/>
    <n v="54"/>
    <n v="0.70000000000000007"/>
    <n v="0"/>
    <n v="0"/>
  </r>
  <r>
    <x v="7118"/>
    <n v="7"/>
    <n v="54"/>
    <n v="61"/>
    <n v="19"/>
    <n v="23"/>
    <x v="13"/>
    <n v="24"/>
    <n v="6"/>
    <n v="50"/>
    <n v="0.60000000000000009"/>
    <n v="0"/>
    <n v="0"/>
  </r>
  <r>
    <x v="7119"/>
    <n v="6"/>
    <n v="50"/>
    <n v="56"/>
    <n v="24"/>
    <n v="16"/>
    <x v="28"/>
    <n v="16"/>
    <n v="6"/>
    <n v="58"/>
    <n v="0.60000000000000009"/>
    <n v="0"/>
    <n v="0"/>
  </r>
  <r>
    <x v="7120"/>
    <n v="6"/>
    <n v="58"/>
    <n v="64"/>
    <n v="16"/>
    <n v="15"/>
    <x v="5"/>
    <n v="16"/>
    <n v="5"/>
    <n v="59"/>
    <n v="0.5"/>
    <n v="0"/>
    <n v="0"/>
  </r>
  <r>
    <x v="7121"/>
    <n v="5"/>
    <n v="59"/>
    <n v="64"/>
    <n v="16"/>
    <n v="19"/>
    <x v="32"/>
    <n v="31"/>
    <n v="-7"/>
    <n v="56"/>
    <n v="0"/>
    <n v="1"/>
    <n v="7"/>
  </r>
  <r>
    <x v="7122"/>
    <n v="-7"/>
    <n v="56"/>
    <n v="49"/>
    <n v="31"/>
    <n v="24"/>
    <x v="22"/>
    <n v="19"/>
    <n v="-2"/>
    <n v="63"/>
    <n v="0"/>
    <n v="1"/>
    <n v="2"/>
  </r>
  <r>
    <x v="7123"/>
    <n v="-2"/>
    <n v="63"/>
    <n v="61"/>
    <n v="19"/>
    <n v="16"/>
    <x v="7"/>
    <n v="15"/>
    <n v="-1"/>
    <n v="66"/>
    <n v="0"/>
    <n v="1"/>
    <n v="1"/>
  </r>
  <r>
    <x v="7124"/>
    <n v="-1"/>
    <n v="66"/>
    <n v="65"/>
    <n v="15"/>
    <n v="16"/>
    <x v="26"/>
    <n v="15"/>
    <n v="0"/>
    <n v="65"/>
    <n v="0"/>
    <n v="0"/>
    <n v="0"/>
  </r>
  <r>
    <x v="7125"/>
    <n v="0"/>
    <n v="65"/>
    <n v="65"/>
    <n v="15"/>
    <n v="31"/>
    <x v="10"/>
    <n v="24"/>
    <n v="7"/>
    <n v="49"/>
    <n v="0.70000000000000007"/>
    <n v="0"/>
    <n v="0"/>
  </r>
  <r>
    <x v="7126"/>
    <n v="7"/>
    <n v="49"/>
    <n v="56"/>
    <n v="24"/>
    <n v="19"/>
    <x v="16"/>
    <n v="19"/>
    <n v="7"/>
    <n v="54"/>
    <n v="0.70000000000000007"/>
    <n v="0"/>
    <n v="0"/>
  </r>
  <r>
    <x v="7127"/>
    <n v="7"/>
    <n v="54"/>
    <n v="61"/>
    <n v="19"/>
    <n v="15"/>
    <x v="28"/>
    <n v="20"/>
    <n v="2"/>
    <n v="58"/>
    <n v="0.2"/>
    <n v="0"/>
    <n v="0"/>
  </r>
  <r>
    <x v="7128"/>
    <n v="2"/>
    <n v="58"/>
    <n v="60"/>
    <n v="20"/>
    <n v="15"/>
    <x v="22"/>
    <n v="24"/>
    <n v="-7"/>
    <n v="63"/>
    <n v="0"/>
    <n v="1"/>
    <n v="7"/>
  </r>
  <r>
    <x v="7129"/>
    <n v="-7"/>
    <n v="63"/>
    <n v="56"/>
    <n v="24"/>
    <n v="24"/>
    <x v="22"/>
    <n v="18"/>
    <n v="-1"/>
    <n v="63"/>
    <n v="0"/>
    <n v="1"/>
    <n v="1"/>
  </r>
  <r>
    <x v="7130"/>
    <n v="-1"/>
    <n v="63"/>
    <n v="62"/>
    <n v="18"/>
    <n v="19"/>
    <x v="33"/>
    <n v="19"/>
    <n v="-1"/>
    <n v="62"/>
    <n v="0"/>
    <n v="1"/>
    <n v="1"/>
  </r>
  <r>
    <x v="7131"/>
    <n v="-1"/>
    <n v="62"/>
    <n v="61"/>
    <n v="19"/>
    <n v="20"/>
    <x v="23"/>
    <n v="26"/>
    <n v="-7"/>
    <n v="61"/>
    <n v="0"/>
    <n v="1"/>
    <n v="7"/>
  </r>
  <r>
    <x v="7132"/>
    <n v="-7"/>
    <n v="61"/>
    <n v="54"/>
    <n v="26"/>
    <n v="24"/>
    <x v="22"/>
    <n v="16"/>
    <n v="1"/>
    <n v="63"/>
    <n v="0.1"/>
    <n v="0"/>
    <n v="0"/>
  </r>
  <r>
    <x v="7133"/>
    <n v="1"/>
    <n v="63"/>
    <n v="64"/>
    <n v="16"/>
    <n v="18"/>
    <x v="23"/>
    <n v="13"/>
    <n v="6"/>
    <n v="61"/>
    <n v="0.60000000000000009"/>
    <n v="0"/>
    <n v="0"/>
  </r>
  <r>
    <x v="7134"/>
    <n v="6"/>
    <n v="61"/>
    <n v="67"/>
    <n v="13"/>
    <n v="19"/>
    <x v="27"/>
    <n v="20"/>
    <n v="5"/>
    <n v="55"/>
    <n v="0.5"/>
    <n v="0"/>
    <n v="0"/>
  </r>
  <r>
    <x v="7135"/>
    <n v="5"/>
    <n v="55"/>
    <n v="60"/>
    <n v="20"/>
    <n v="26"/>
    <x v="10"/>
    <n v="14"/>
    <n v="17"/>
    <n v="49"/>
    <n v="1.7000000000000002"/>
    <n v="0"/>
    <n v="0"/>
  </r>
  <r>
    <x v="7136"/>
    <n v="17"/>
    <n v="49"/>
    <n v="66"/>
    <n v="14"/>
    <n v="16"/>
    <x v="14"/>
    <n v="25"/>
    <n v="8"/>
    <n v="47"/>
    <n v="0.8"/>
    <n v="0"/>
    <n v="0"/>
  </r>
  <r>
    <x v="7137"/>
    <n v="8"/>
    <n v="47"/>
    <n v="55"/>
    <n v="25"/>
    <n v="13"/>
    <x v="5"/>
    <n v="24"/>
    <n v="-3"/>
    <n v="59"/>
    <n v="0"/>
    <n v="1"/>
    <n v="3"/>
  </r>
  <r>
    <x v="7138"/>
    <n v="-3"/>
    <n v="59"/>
    <n v="56"/>
    <n v="24"/>
    <n v="20"/>
    <x v="22"/>
    <n v="19"/>
    <n v="-2"/>
    <n v="63"/>
    <n v="0"/>
    <n v="1"/>
    <n v="2"/>
  </r>
  <r>
    <x v="7139"/>
    <n v="-2"/>
    <n v="63"/>
    <n v="61"/>
    <n v="19"/>
    <n v="14"/>
    <x v="17"/>
    <n v="17"/>
    <n v="-5"/>
    <n v="68"/>
    <n v="0"/>
    <n v="1"/>
    <n v="5"/>
  </r>
  <r>
    <x v="7140"/>
    <n v="-5"/>
    <n v="68"/>
    <n v="63"/>
    <n v="17"/>
    <n v="25"/>
    <x v="4"/>
    <n v="30"/>
    <n v="-10"/>
    <n v="60"/>
    <n v="0"/>
    <n v="1"/>
    <n v="10"/>
  </r>
  <r>
    <x v="7141"/>
    <n v="-10"/>
    <n v="60"/>
    <n v="50"/>
    <n v="30"/>
    <n v="24"/>
    <x v="7"/>
    <n v="20"/>
    <n v="-6"/>
    <n v="66"/>
    <n v="0"/>
    <n v="1"/>
    <n v="6"/>
  </r>
  <r>
    <x v="7142"/>
    <n v="-6"/>
    <n v="66"/>
    <n v="60"/>
    <n v="20"/>
    <n v="19"/>
    <x v="21"/>
    <n v="20"/>
    <n v="-7"/>
    <n v="67"/>
    <n v="0"/>
    <n v="1"/>
    <n v="7"/>
  </r>
  <r>
    <x v="7143"/>
    <n v="-7"/>
    <n v="67"/>
    <n v="60"/>
    <n v="20"/>
    <n v="17"/>
    <x v="6"/>
    <n v="23"/>
    <n v="-13"/>
    <n v="70"/>
    <n v="0"/>
    <n v="1"/>
    <n v="13"/>
  </r>
  <r>
    <x v="7144"/>
    <n v="-13"/>
    <n v="70"/>
    <n v="57"/>
    <n v="23"/>
    <n v="30"/>
    <x v="22"/>
    <n v="19"/>
    <n v="-2"/>
    <n v="63"/>
    <n v="0"/>
    <n v="1"/>
    <n v="2"/>
  </r>
  <r>
    <x v="7145"/>
    <n v="-2"/>
    <n v="63"/>
    <n v="61"/>
    <n v="19"/>
    <n v="20"/>
    <x v="33"/>
    <n v="14"/>
    <n v="4"/>
    <n v="62"/>
    <n v="0.4"/>
    <n v="0"/>
    <n v="0"/>
  </r>
  <r>
    <x v="7146"/>
    <n v="4"/>
    <n v="62"/>
    <n v="66"/>
    <n v="14"/>
    <n v="20"/>
    <x v="32"/>
    <n v="20"/>
    <n v="4"/>
    <n v="56"/>
    <n v="0.4"/>
    <n v="0"/>
    <n v="0"/>
  </r>
  <r>
    <x v="7147"/>
    <n v="4"/>
    <n v="56"/>
    <n v="60"/>
    <n v="20"/>
    <n v="23"/>
    <x v="12"/>
    <n v="23"/>
    <n v="4"/>
    <n v="53"/>
    <n v="0.4"/>
    <n v="0"/>
    <n v="0"/>
  </r>
  <r>
    <x v="7148"/>
    <n v="4"/>
    <n v="53"/>
    <n v="57"/>
    <n v="23"/>
    <n v="19"/>
    <x v="24"/>
    <n v="18"/>
    <n v="5"/>
    <n v="57"/>
    <n v="0.5"/>
    <n v="0"/>
    <n v="0"/>
  </r>
  <r>
    <x v="7149"/>
    <n v="5"/>
    <n v="57"/>
    <n v="62"/>
    <n v="18"/>
    <n v="14"/>
    <x v="23"/>
    <n v="19"/>
    <n v="0"/>
    <n v="61"/>
    <n v="0"/>
    <n v="0"/>
    <n v="0"/>
  </r>
  <r>
    <x v="7150"/>
    <n v="0"/>
    <n v="61"/>
    <n v="61"/>
    <n v="19"/>
    <n v="20"/>
    <x v="4"/>
    <n v="22"/>
    <n v="-2"/>
    <n v="60"/>
    <n v="0"/>
    <n v="1"/>
    <n v="2"/>
  </r>
  <r>
    <x v="7151"/>
    <n v="-2"/>
    <n v="60"/>
    <n v="58"/>
    <n v="22"/>
    <n v="23"/>
    <x v="5"/>
    <n v="28"/>
    <n v="-7"/>
    <n v="59"/>
    <n v="0"/>
    <n v="1"/>
    <n v="7"/>
  </r>
  <r>
    <x v="7152"/>
    <n v="-7"/>
    <n v="59"/>
    <n v="52"/>
    <n v="28"/>
    <n v="18"/>
    <x v="30"/>
    <n v="19"/>
    <n v="-8"/>
    <n v="69"/>
    <n v="0"/>
    <n v="1"/>
    <n v="8"/>
  </r>
  <r>
    <x v="7153"/>
    <n v="-8"/>
    <n v="69"/>
    <n v="61"/>
    <n v="19"/>
    <n v="19"/>
    <x v="30"/>
    <n v="19"/>
    <n v="-8"/>
    <n v="69"/>
    <n v="0"/>
    <n v="1"/>
    <n v="8"/>
  </r>
  <r>
    <x v="7154"/>
    <n v="-8"/>
    <n v="69"/>
    <n v="61"/>
    <n v="19"/>
    <n v="22"/>
    <x v="7"/>
    <n v="25"/>
    <n v="-11"/>
    <n v="66"/>
    <n v="0"/>
    <n v="1"/>
    <n v="11"/>
  </r>
  <r>
    <x v="7155"/>
    <n v="-11"/>
    <n v="66"/>
    <n v="55"/>
    <n v="25"/>
    <n v="28"/>
    <x v="22"/>
    <n v="17"/>
    <n v="0"/>
    <n v="63"/>
    <n v="0"/>
    <n v="0"/>
    <n v="0"/>
  </r>
  <r>
    <x v="7156"/>
    <n v="0"/>
    <n v="63"/>
    <n v="63"/>
    <n v="17"/>
    <n v="19"/>
    <x v="23"/>
    <n v="14"/>
    <n v="5"/>
    <n v="61"/>
    <n v="0.5"/>
    <n v="0"/>
    <n v="0"/>
  </r>
  <r>
    <x v="7157"/>
    <n v="5"/>
    <n v="61"/>
    <n v="66"/>
    <n v="14"/>
    <n v="19"/>
    <x v="32"/>
    <n v="17"/>
    <n v="7"/>
    <n v="56"/>
    <n v="0.70000000000000007"/>
    <n v="0"/>
    <n v="0"/>
  </r>
  <r>
    <x v="7158"/>
    <n v="7"/>
    <n v="56"/>
    <n v="63"/>
    <n v="17"/>
    <n v="25"/>
    <x v="15"/>
    <n v="26"/>
    <n v="6"/>
    <n v="48"/>
    <n v="0.60000000000000009"/>
    <n v="0"/>
    <n v="0"/>
  </r>
  <r>
    <x v="7159"/>
    <n v="6"/>
    <n v="48"/>
    <n v="54"/>
    <n v="26"/>
    <n v="17"/>
    <x v="24"/>
    <n v="18"/>
    <n v="5"/>
    <n v="57"/>
    <n v="0.5"/>
    <n v="0"/>
    <n v="0"/>
  </r>
  <r>
    <x v="7160"/>
    <n v="5"/>
    <n v="57"/>
    <n v="62"/>
    <n v="18"/>
    <n v="14"/>
    <x v="23"/>
    <n v="15"/>
    <n v="4"/>
    <n v="61"/>
    <n v="0.4"/>
    <n v="0"/>
    <n v="0"/>
  </r>
  <r>
    <x v="7161"/>
    <n v="4"/>
    <n v="61"/>
    <n v="65"/>
    <n v="15"/>
    <n v="17"/>
    <x v="5"/>
    <n v="23"/>
    <n v="-2"/>
    <n v="59"/>
    <n v="0"/>
    <n v="1"/>
    <n v="2"/>
  </r>
  <r>
    <x v="7162"/>
    <n v="-2"/>
    <n v="59"/>
    <n v="57"/>
    <n v="23"/>
    <n v="26"/>
    <x v="32"/>
    <n v="28"/>
    <n v="-4"/>
    <n v="56"/>
    <n v="0"/>
    <n v="1"/>
    <n v="4"/>
  </r>
  <r>
    <x v="7163"/>
    <n v="-4"/>
    <n v="56"/>
    <n v="52"/>
    <n v="28"/>
    <n v="18"/>
    <x v="7"/>
    <n v="13"/>
    <n v="1"/>
    <n v="66"/>
    <n v="0.1"/>
    <n v="0"/>
    <n v="0"/>
  </r>
  <r>
    <x v="7164"/>
    <n v="1"/>
    <n v="66"/>
    <n v="67"/>
    <n v="13"/>
    <n v="15"/>
    <x v="8"/>
    <n v="25"/>
    <n v="-9"/>
    <n v="64"/>
    <n v="0"/>
    <n v="1"/>
    <n v="9"/>
  </r>
  <r>
    <x v="7165"/>
    <n v="-9"/>
    <n v="64"/>
    <n v="55"/>
    <n v="25"/>
    <n v="23"/>
    <x v="7"/>
    <n v="18"/>
    <n v="-4"/>
    <n v="66"/>
    <n v="0"/>
    <n v="1"/>
    <n v="4"/>
  </r>
  <r>
    <x v="7166"/>
    <n v="-4"/>
    <n v="66"/>
    <n v="62"/>
    <n v="18"/>
    <n v="28"/>
    <x v="32"/>
    <n v="18"/>
    <n v="6"/>
    <n v="56"/>
    <n v="0.60000000000000009"/>
    <n v="0"/>
    <n v="0"/>
  </r>
  <r>
    <x v="7167"/>
    <n v="6"/>
    <n v="56"/>
    <n v="62"/>
    <n v="18"/>
    <n v="13"/>
    <x v="23"/>
    <n v="19"/>
    <n v="0"/>
    <n v="61"/>
    <n v="0"/>
    <n v="0"/>
    <n v="0"/>
  </r>
  <r>
    <x v="7168"/>
    <n v="0"/>
    <n v="61"/>
    <n v="61"/>
    <n v="19"/>
    <n v="25"/>
    <x v="27"/>
    <n v="26"/>
    <n v="-1"/>
    <n v="55"/>
    <n v="0"/>
    <n v="1"/>
    <n v="1"/>
  </r>
  <r>
    <x v="7169"/>
    <n v="-1"/>
    <n v="55"/>
    <n v="54"/>
    <n v="26"/>
    <n v="18"/>
    <x v="22"/>
    <n v="23"/>
    <n v="-6"/>
    <n v="63"/>
    <n v="0"/>
    <n v="1"/>
    <n v="6"/>
  </r>
  <r>
    <x v="7170"/>
    <n v="-6"/>
    <n v="63"/>
    <n v="57"/>
    <n v="23"/>
    <n v="18"/>
    <x v="17"/>
    <n v="21"/>
    <n v="-9"/>
    <n v="68"/>
    <n v="0"/>
    <n v="1"/>
    <n v="9"/>
  </r>
  <r>
    <x v="7171"/>
    <n v="-9"/>
    <n v="68"/>
    <n v="59"/>
    <n v="21"/>
    <n v="19"/>
    <x v="6"/>
    <n v="21"/>
    <n v="-11"/>
    <n v="70"/>
    <n v="0"/>
    <n v="1"/>
    <n v="11"/>
  </r>
  <r>
    <x v="7172"/>
    <n v="-11"/>
    <n v="70"/>
    <n v="59"/>
    <n v="21"/>
    <n v="26"/>
    <x v="26"/>
    <n v="21"/>
    <n v="-6"/>
    <n v="65"/>
    <n v="0"/>
    <n v="1"/>
    <n v="6"/>
  </r>
  <r>
    <x v="7173"/>
    <n v="-6"/>
    <n v="65"/>
    <n v="59"/>
    <n v="21"/>
    <n v="23"/>
    <x v="22"/>
    <n v="30"/>
    <n v="-13"/>
    <n v="63"/>
    <n v="0"/>
    <n v="1"/>
    <n v="13"/>
  </r>
  <r>
    <x v="7174"/>
    <n v="-13"/>
    <n v="63"/>
    <n v="50"/>
    <n v="30"/>
    <n v="21"/>
    <x v="29"/>
    <n v="16"/>
    <n v="-8"/>
    <n v="72"/>
    <n v="0"/>
    <n v="1"/>
    <n v="8"/>
  </r>
  <r>
    <x v="7175"/>
    <n v="-8"/>
    <n v="72"/>
    <n v="64"/>
    <n v="16"/>
    <n v="21"/>
    <x v="21"/>
    <n v="19"/>
    <n v="-6"/>
    <n v="67"/>
    <n v="0"/>
    <n v="1"/>
    <n v="6"/>
  </r>
  <r>
    <x v="7176"/>
    <n v="-6"/>
    <n v="67"/>
    <n v="61"/>
    <n v="19"/>
    <n v="21"/>
    <x v="26"/>
    <n v="23"/>
    <n v="-8"/>
    <n v="65"/>
    <n v="0"/>
    <n v="1"/>
    <n v="8"/>
  </r>
  <r>
    <x v="7177"/>
    <n v="-8"/>
    <n v="65"/>
    <n v="57"/>
    <n v="23"/>
    <n v="30"/>
    <x v="28"/>
    <n v="21"/>
    <n v="1"/>
    <n v="58"/>
    <n v="0.1"/>
    <n v="0"/>
    <n v="0"/>
  </r>
  <r>
    <x v="7178"/>
    <n v="1"/>
    <n v="58"/>
    <n v="59"/>
    <n v="21"/>
    <n v="16"/>
    <x v="22"/>
    <n v="29"/>
    <n v="-12"/>
    <n v="63"/>
    <n v="0"/>
    <n v="1"/>
    <n v="12"/>
  </r>
  <r>
    <x v="7179"/>
    <n v="-12"/>
    <n v="63"/>
    <n v="51"/>
    <n v="29"/>
    <n v="19"/>
    <x v="31"/>
    <n v="22"/>
    <n v="-15"/>
    <n v="73"/>
    <n v="0"/>
    <n v="1"/>
    <n v="15"/>
  </r>
  <r>
    <x v="7180"/>
    <n v="-15"/>
    <n v="73"/>
    <n v="58"/>
    <n v="22"/>
    <n v="23"/>
    <x v="29"/>
    <n v="23"/>
    <n v="-15"/>
    <n v="72"/>
    <n v="0"/>
    <n v="1"/>
    <n v="15"/>
  </r>
  <r>
    <x v="7181"/>
    <n v="-15"/>
    <n v="72"/>
    <n v="57"/>
    <n v="23"/>
    <n v="21"/>
    <x v="39"/>
    <n v="14"/>
    <n v="-8"/>
    <n v="74"/>
    <n v="0"/>
    <n v="1"/>
    <n v="8"/>
  </r>
  <r>
    <x v="7182"/>
    <n v="-8"/>
    <n v="74"/>
    <n v="66"/>
    <n v="14"/>
    <n v="29"/>
    <x v="5"/>
    <n v="21"/>
    <n v="0"/>
    <n v="59"/>
    <n v="0"/>
    <n v="0"/>
    <n v="0"/>
  </r>
  <r>
    <x v="7183"/>
    <n v="0"/>
    <n v="59"/>
    <n v="59"/>
    <n v="21"/>
    <n v="22"/>
    <x v="28"/>
    <n v="26"/>
    <n v="-4"/>
    <n v="58"/>
    <n v="0"/>
    <n v="1"/>
    <n v="4"/>
  </r>
  <r>
    <x v="7184"/>
    <n v="-4"/>
    <n v="58"/>
    <n v="54"/>
    <n v="26"/>
    <n v="23"/>
    <x v="23"/>
    <n v="26"/>
    <n v="-7"/>
    <n v="61"/>
    <n v="0"/>
    <n v="1"/>
    <n v="7"/>
  </r>
  <r>
    <x v="7185"/>
    <n v="-7"/>
    <n v="61"/>
    <n v="54"/>
    <n v="26"/>
    <n v="14"/>
    <x v="31"/>
    <n v="16"/>
    <n v="-9"/>
    <n v="73"/>
    <n v="0"/>
    <n v="1"/>
    <n v="9"/>
  </r>
  <r>
    <x v="7186"/>
    <n v="-9"/>
    <n v="73"/>
    <n v="64"/>
    <n v="16"/>
    <n v="21"/>
    <x v="17"/>
    <n v="15"/>
    <n v="-3"/>
    <n v="68"/>
    <n v="0"/>
    <n v="1"/>
    <n v="3"/>
  </r>
  <r>
    <x v="7187"/>
    <n v="-3"/>
    <n v="68"/>
    <n v="65"/>
    <n v="15"/>
    <n v="26"/>
    <x v="24"/>
    <n v="17"/>
    <n v="6"/>
    <n v="57"/>
    <n v="0.60000000000000009"/>
    <n v="0"/>
    <n v="0"/>
  </r>
  <r>
    <x v="7188"/>
    <n v="6"/>
    <n v="57"/>
    <n v="63"/>
    <n v="17"/>
    <n v="26"/>
    <x v="15"/>
    <n v="17"/>
    <n v="15"/>
    <n v="48"/>
    <n v="1.5"/>
    <n v="0"/>
    <n v="0"/>
  </r>
  <r>
    <x v="7189"/>
    <n v="15"/>
    <n v="48"/>
    <n v="63"/>
    <n v="17"/>
    <n v="16"/>
    <x v="10"/>
    <n v="22"/>
    <n v="9"/>
    <n v="49"/>
    <n v="0.9"/>
    <n v="0"/>
    <n v="0"/>
  </r>
  <r>
    <x v="7190"/>
    <n v="9"/>
    <n v="49"/>
    <n v="58"/>
    <n v="22"/>
    <n v="15"/>
    <x v="32"/>
    <n v="35"/>
    <n v="-11"/>
    <n v="56"/>
    <n v="0"/>
    <n v="1"/>
    <n v="11"/>
  </r>
  <r>
    <x v="7191"/>
    <n v="-11"/>
    <n v="56"/>
    <n v="45"/>
    <n v="35"/>
    <n v="17"/>
    <x v="39"/>
    <n v="16"/>
    <n v="-10"/>
    <n v="74"/>
    <n v="0"/>
    <n v="1"/>
    <n v="10"/>
  </r>
  <r>
    <x v="7192"/>
    <n v="-10"/>
    <n v="74"/>
    <n v="64"/>
    <n v="16"/>
    <n v="17"/>
    <x v="31"/>
    <n v="22"/>
    <n v="-15"/>
    <n v="73"/>
    <n v="0"/>
    <n v="1"/>
    <n v="15"/>
  </r>
  <r>
    <x v="7193"/>
    <n v="-15"/>
    <n v="73"/>
    <n v="58"/>
    <n v="22"/>
    <n v="22"/>
    <x v="31"/>
    <n v="17"/>
    <n v="-10"/>
    <n v="73"/>
    <n v="0"/>
    <n v="1"/>
    <n v="10"/>
  </r>
  <r>
    <x v="7194"/>
    <n v="-10"/>
    <n v="73"/>
    <n v="63"/>
    <n v="17"/>
    <n v="35"/>
    <x v="27"/>
    <n v="20"/>
    <n v="5"/>
    <n v="55"/>
    <n v="0.5"/>
    <n v="0"/>
    <n v="0"/>
  </r>
  <r>
    <x v="7195"/>
    <n v="5"/>
    <n v="55"/>
    <n v="60"/>
    <n v="20"/>
    <n v="16"/>
    <x v="5"/>
    <n v="15"/>
    <n v="6"/>
    <n v="59"/>
    <n v="0.60000000000000009"/>
    <n v="0"/>
    <n v="0"/>
  </r>
  <r>
    <x v="7196"/>
    <n v="6"/>
    <n v="59"/>
    <n v="65"/>
    <n v="15"/>
    <n v="22"/>
    <x v="25"/>
    <n v="12"/>
    <n v="16"/>
    <n v="52"/>
    <n v="1.6"/>
    <n v="0"/>
    <n v="0"/>
  </r>
  <r>
    <x v="7197"/>
    <n v="16"/>
    <n v="52"/>
    <n v="68"/>
    <n v="12"/>
    <n v="17"/>
    <x v="14"/>
    <n v="18"/>
    <n v="15"/>
    <n v="47"/>
    <n v="1.5"/>
    <n v="0"/>
    <n v="0"/>
  </r>
  <r>
    <x v="7198"/>
    <n v="15"/>
    <n v="47"/>
    <n v="62"/>
    <n v="18"/>
    <n v="20"/>
    <x v="11"/>
    <n v="15"/>
    <n v="20"/>
    <n v="45"/>
    <n v="2"/>
    <n v="0"/>
    <n v="0"/>
  </r>
  <r>
    <x v="7199"/>
    <n v="20"/>
    <n v="45"/>
    <n v="65"/>
    <n v="15"/>
    <n v="15"/>
    <x v="11"/>
    <n v="19"/>
    <n v="16"/>
    <n v="45"/>
    <n v="1.6"/>
    <n v="0"/>
    <n v="0"/>
  </r>
  <r>
    <x v="7200"/>
    <n v="16"/>
    <n v="45"/>
    <n v="61"/>
    <n v="19"/>
    <n v="12"/>
    <x v="25"/>
    <n v="17"/>
    <n v="11"/>
    <n v="52"/>
    <n v="1.1000000000000001"/>
    <n v="0"/>
    <n v="0"/>
  </r>
  <r>
    <x v="7201"/>
    <n v="11"/>
    <n v="52"/>
    <n v="63"/>
    <n v="17"/>
    <n v="18"/>
    <x v="9"/>
    <n v="10"/>
    <n v="19"/>
    <n v="51"/>
    <n v="1.9000000000000001"/>
    <n v="0"/>
    <n v="0"/>
  </r>
  <r>
    <x v="7202"/>
    <n v="19"/>
    <n v="51"/>
    <n v="70"/>
    <n v="10"/>
    <n v="15"/>
    <x v="38"/>
    <n v="14"/>
    <n v="20"/>
    <n v="46"/>
    <n v="2"/>
    <n v="0"/>
    <n v="0"/>
  </r>
  <r>
    <x v="7203"/>
    <n v="20"/>
    <n v="46"/>
    <n v="66"/>
    <n v="14"/>
    <n v="19"/>
    <x v="52"/>
    <n v="24"/>
    <n v="15"/>
    <n v="41"/>
    <n v="1.5"/>
    <n v="0"/>
    <n v="0"/>
  </r>
  <r>
    <x v="7204"/>
    <n v="15"/>
    <n v="41"/>
    <n v="56"/>
    <n v="24"/>
    <n v="17"/>
    <x v="15"/>
    <n v="20"/>
    <n v="12"/>
    <n v="48"/>
    <n v="1.2000000000000002"/>
    <n v="0"/>
    <n v="0"/>
  </r>
  <r>
    <x v="7205"/>
    <n v="12"/>
    <n v="48"/>
    <n v="60"/>
    <n v="20"/>
    <n v="10"/>
    <x v="28"/>
    <n v="19"/>
    <n v="3"/>
    <n v="58"/>
    <n v="0.30000000000000004"/>
    <n v="0"/>
    <n v="0"/>
  </r>
  <r>
    <x v="7206"/>
    <n v="3"/>
    <n v="58"/>
    <n v="61"/>
    <n v="19"/>
    <n v="14"/>
    <x v="22"/>
    <n v="24"/>
    <n v="-7"/>
    <n v="63"/>
    <n v="0"/>
    <n v="1"/>
    <n v="7"/>
  </r>
  <r>
    <x v="7207"/>
    <n v="-7"/>
    <n v="63"/>
    <n v="56"/>
    <n v="24"/>
    <n v="24"/>
    <x v="22"/>
    <n v="22"/>
    <n v="-5"/>
    <n v="63"/>
    <n v="0"/>
    <n v="1"/>
    <n v="5"/>
  </r>
  <r>
    <x v="7208"/>
    <n v="-5"/>
    <n v="63"/>
    <n v="58"/>
    <n v="22"/>
    <n v="20"/>
    <x v="26"/>
    <n v="21"/>
    <n v="-6"/>
    <n v="65"/>
    <n v="0"/>
    <n v="1"/>
    <n v="6"/>
  </r>
  <r>
    <x v="7209"/>
    <n v="-6"/>
    <n v="65"/>
    <n v="59"/>
    <n v="21"/>
    <n v="19"/>
    <x v="21"/>
    <n v="16"/>
    <n v="-3"/>
    <n v="67"/>
    <n v="0"/>
    <n v="1"/>
    <n v="3"/>
  </r>
  <r>
    <x v="7210"/>
    <n v="-3"/>
    <n v="67"/>
    <n v="64"/>
    <n v="16"/>
    <n v="24"/>
    <x v="5"/>
    <n v="23"/>
    <n v="-2"/>
    <n v="59"/>
    <n v="0"/>
    <n v="1"/>
    <n v="2"/>
  </r>
  <r>
    <x v="7211"/>
    <n v="-2"/>
    <n v="59"/>
    <n v="57"/>
    <n v="23"/>
    <n v="22"/>
    <x v="4"/>
    <n v="22"/>
    <n v="-2"/>
    <n v="60"/>
    <n v="0"/>
    <n v="1"/>
    <n v="2"/>
  </r>
  <r>
    <x v="7212"/>
    <n v="-2"/>
    <n v="60"/>
    <n v="58"/>
    <n v="22"/>
    <n v="21"/>
    <x v="23"/>
    <n v="22"/>
    <n v="-3"/>
    <n v="61"/>
    <n v="0"/>
    <n v="1"/>
    <n v="3"/>
  </r>
  <r>
    <x v="7213"/>
    <n v="-3"/>
    <n v="61"/>
    <n v="58"/>
    <n v="22"/>
    <n v="16"/>
    <x v="21"/>
    <n v="13"/>
    <n v="0"/>
    <n v="67"/>
    <n v="0"/>
    <n v="0"/>
    <n v="0"/>
  </r>
  <r>
    <x v="7214"/>
    <n v="0"/>
    <n v="67"/>
    <n v="67"/>
    <n v="13"/>
    <n v="23"/>
    <x v="24"/>
    <n v="23"/>
    <n v="0"/>
    <n v="57"/>
    <n v="0"/>
    <n v="0"/>
    <n v="0"/>
  </r>
  <r>
    <x v="7215"/>
    <n v="0"/>
    <n v="57"/>
    <n v="57"/>
    <n v="23"/>
    <n v="22"/>
    <x v="28"/>
    <n v="24"/>
    <n v="-2"/>
    <n v="58"/>
    <n v="0"/>
    <n v="1"/>
    <n v="2"/>
  </r>
  <r>
    <x v="7216"/>
    <n v="-2"/>
    <n v="58"/>
    <n v="56"/>
    <n v="24"/>
    <n v="22"/>
    <x v="4"/>
    <n v="15"/>
    <n v="5"/>
    <n v="60"/>
    <n v="0.5"/>
    <n v="0"/>
    <n v="0"/>
  </r>
  <r>
    <x v="7217"/>
    <n v="5"/>
    <n v="60"/>
    <n v="65"/>
    <n v="15"/>
    <n v="13"/>
    <x v="33"/>
    <n v="15"/>
    <n v="3"/>
    <n v="62"/>
    <n v="0.30000000000000004"/>
    <n v="0"/>
    <n v="0"/>
  </r>
  <r>
    <x v="7218"/>
    <n v="3"/>
    <n v="62"/>
    <n v="65"/>
    <n v="15"/>
    <n v="23"/>
    <x v="16"/>
    <n v="18"/>
    <n v="8"/>
    <n v="54"/>
    <n v="0.8"/>
    <n v="0"/>
    <n v="0"/>
  </r>
  <r>
    <x v="7219"/>
    <n v="8"/>
    <n v="54"/>
    <n v="62"/>
    <n v="18"/>
    <n v="24"/>
    <x v="15"/>
    <n v="24"/>
    <n v="8"/>
    <n v="48"/>
    <n v="0.8"/>
    <n v="0"/>
    <n v="0"/>
  </r>
  <r>
    <x v="7220"/>
    <n v="8"/>
    <n v="48"/>
    <n v="56"/>
    <n v="24"/>
    <n v="15"/>
    <x v="24"/>
    <n v="25"/>
    <n v="-2"/>
    <n v="57"/>
    <n v="0"/>
    <n v="1"/>
    <n v="2"/>
  </r>
  <r>
    <x v="7221"/>
    <n v="-2"/>
    <n v="57"/>
    <n v="55"/>
    <n v="25"/>
    <n v="15"/>
    <x v="21"/>
    <n v="19"/>
    <n v="-6"/>
    <n v="67"/>
    <n v="0"/>
    <n v="1"/>
    <n v="6"/>
  </r>
  <r>
    <x v="7222"/>
    <n v="-6"/>
    <n v="67"/>
    <n v="61"/>
    <n v="19"/>
    <n v="18"/>
    <x v="17"/>
    <n v="20"/>
    <n v="-8"/>
    <n v="68"/>
    <n v="0"/>
    <n v="1"/>
    <n v="8"/>
  </r>
  <r>
    <x v="7223"/>
    <n v="-8"/>
    <n v="68"/>
    <n v="60"/>
    <n v="20"/>
    <n v="24"/>
    <x v="8"/>
    <n v="18"/>
    <n v="-2"/>
    <n v="64"/>
    <n v="0"/>
    <n v="1"/>
    <n v="2"/>
  </r>
  <r>
    <x v="7224"/>
    <n v="-2"/>
    <n v="64"/>
    <n v="62"/>
    <n v="18"/>
    <n v="25"/>
    <x v="24"/>
    <n v="21"/>
    <n v="2"/>
    <n v="57"/>
    <n v="0.2"/>
    <n v="0"/>
    <n v="0"/>
  </r>
  <r>
    <x v="7225"/>
    <n v="2"/>
    <n v="57"/>
    <n v="59"/>
    <n v="21"/>
    <n v="19"/>
    <x v="5"/>
    <n v="19"/>
    <n v="2"/>
    <n v="59"/>
    <n v="0.2"/>
    <n v="0"/>
    <n v="0"/>
  </r>
  <r>
    <x v="7226"/>
    <n v="2"/>
    <n v="59"/>
    <n v="61"/>
    <n v="19"/>
    <n v="20"/>
    <x v="28"/>
    <n v="30"/>
    <n v="-8"/>
    <n v="58"/>
    <n v="0"/>
    <n v="1"/>
    <n v="8"/>
  </r>
  <r>
    <x v="7227"/>
    <n v="-8"/>
    <n v="58"/>
    <n v="50"/>
    <n v="30"/>
    <n v="18"/>
    <x v="6"/>
    <n v="18"/>
    <n v="-8"/>
    <n v="70"/>
    <n v="0"/>
    <n v="1"/>
    <n v="8"/>
  </r>
  <r>
    <x v="7228"/>
    <n v="-8"/>
    <n v="70"/>
    <n v="62"/>
    <n v="18"/>
    <n v="21"/>
    <x v="21"/>
    <n v="24"/>
    <n v="-11"/>
    <n v="67"/>
    <n v="0"/>
    <n v="1"/>
    <n v="11"/>
  </r>
  <r>
    <x v="7229"/>
    <n v="-11"/>
    <n v="67"/>
    <n v="56"/>
    <n v="24"/>
    <n v="19"/>
    <x v="29"/>
    <n v="19"/>
    <n v="-11"/>
    <n v="72"/>
    <n v="0"/>
    <n v="1"/>
    <n v="11"/>
  </r>
  <r>
    <x v="7230"/>
    <n v="-11"/>
    <n v="72"/>
    <n v="61"/>
    <n v="19"/>
    <n v="30"/>
    <x v="23"/>
    <n v="14"/>
    <n v="5"/>
    <n v="61"/>
    <n v="0.5"/>
    <n v="0"/>
    <n v="0"/>
  </r>
  <r>
    <x v="7231"/>
    <n v="5"/>
    <n v="61"/>
    <n v="66"/>
    <n v="14"/>
    <n v="18"/>
    <x v="24"/>
    <n v="16"/>
    <n v="7"/>
    <n v="57"/>
    <n v="0.70000000000000007"/>
    <n v="0"/>
    <n v="0"/>
  </r>
  <r>
    <x v="7232"/>
    <n v="7"/>
    <n v="57"/>
    <n v="64"/>
    <n v="16"/>
    <n v="24"/>
    <x v="10"/>
    <n v="15"/>
    <n v="16"/>
    <n v="49"/>
    <n v="1.6"/>
    <n v="0"/>
    <n v="0"/>
  </r>
  <r>
    <x v="7233"/>
    <n v="16"/>
    <n v="49"/>
    <n v="65"/>
    <n v="15"/>
    <n v="19"/>
    <x v="11"/>
    <n v="27"/>
    <n v="8"/>
    <n v="45"/>
    <n v="0.8"/>
    <n v="0"/>
    <n v="0"/>
  </r>
  <r>
    <x v="7234"/>
    <n v="8"/>
    <n v="45"/>
    <n v="53"/>
    <n v="27"/>
    <n v="14"/>
    <x v="28"/>
    <n v="18"/>
    <n v="4"/>
    <n v="58"/>
    <n v="0.4"/>
    <n v="0"/>
    <n v="0"/>
  </r>
  <r>
    <x v="7235"/>
    <n v="4"/>
    <n v="58"/>
    <n v="62"/>
    <n v="18"/>
    <n v="16"/>
    <x v="4"/>
    <n v="27"/>
    <n v="-7"/>
    <n v="60"/>
    <n v="0"/>
    <n v="1"/>
    <n v="7"/>
  </r>
  <r>
    <x v="7236"/>
    <n v="-7"/>
    <n v="60"/>
    <n v="53"/>
    <n v="27"/>
    <n v="15"/>
    <x v="29"/>
    <n v="25"/>
    <n v="-17"/>
    <n v="72"/>
    <n v="0"/>
    <n v="1"/>
    <n v="17"/>
  </r>
  <r>
    <x v="7237"/>
    <n v="-17"/>
    <n v="72"/>
    <n v="55"/>
    <n v="25"/>
    <n v="27"/>
    <x v="6"/>
    <n v="16"/>
    <n v="-6"/>
    <n v="70"/>
    <n v="0"/>
    <n v="1"/>
    <n v="6"/>
  </r>
  <r>
    <x v="7238"/>
    <n v="-6"/>
    <n v="70"/>
    <n v="64"/>
    <n v="16"/>
    <n v="18"/>
    <x v="17"/>
    <n v="17"/>
    <n v="-5"/>
    <n v="68"/>
    <n v="0"/>
    <n v="1"/>
    <n v="5"/>
  </r>
  <r>
    <x v="7239"/>
    <n v="-5"/>
    <n v="68"/>
    <n v="63"/>
    <n v="17"/>
    <n v="27"/>
    <x v="28"/>
    <n v="21"/>
    <n v="1"/>
    <n v="58"/>
    <n v="0.1"/>
    <n v="0"/>
    <n v="0"/>
  </r>
  <r>
    <x v="7240"/>
    <n v="1"/>
    <n v="58"/>
    <n v="59"/>
    <n v="21"/>
    <n v="25"/>
    <x v="16"/>
    <n v="19"/>
    <n v="7"/>
    <n v="54"/>
    <n v="0.70000000000000007"/>
    <n v="0"/>
    <n v="0"/>
  </r>
  <r>
    <x v="7241"/>
    <n v="7"/>
    <n v="54"/>
    <n v="61"/>
    <n v="19"/>
    <n v="16"/>
    <x v="24"/>
    <n v="22"/>
    <n v="1"/>
    <n v="57"/>
    <n v="0.1"/>
    <n v="0"/>
    <n v="0"/>
  </r>
  <r>
    <x v="7242"/>
    <n v="1"/>
    <n v="57"/>
    <n v="58"/>
    <n v="22"/>
    <n v="17"/>
    <x v="33"/>
    <n v="14"/>
    <n v="4"/>
    <n v="62"/>
    <n v="0.4"/>
    <n v="0"/>
    <n v="0"/>
  </r>
  <r>
    <x v="7243"/>
    <n v="4"/>
    <n v="62"/>
    <n v="66"/>
    <n v="14"/>
    <n v="21"/>
    <x v="27"/>
    <n v="25"/>
    <n v="0"/>
    <n v="55"/>
    <n v="0"/>
    <n v="0"/>
    <n v="0"/>
  </r>
  <r>
    <x v="7244"/>
    <n v="0"/>
    <n v="55"/>
    <n v="55"/>
    <n v="25"/>
    <n v="19"/>
    <x v="23"/>
    <n v="27"/>
    <n v="-8"/>
    <n v="61"/>
    <n v="0"/>
    <n v="1"/>
    <n v="8"/>
  </r>
  <r>
    <x v="7245"/>
    <n v="-8"/>
    <n v="61"/>
    <n v="53"/>
    <n v="27"/>
    <n v="22"/>
    <x v="7"/>
    <n v="23"/>
    <n v="-9"/>
    <n v="66"/>
    <n v="0"/>
    <n v="1"/>
    <n v="9"/>
  </r>
  <r>
    <x v="7246"/>
    <n v="-9"/>
    <n v="66"/>
    <n v="57"/>
    <n v="23"/>
    <n v="14"/>
    <x v="44"/>
    <n v="15"/>
    <n v="-10"/>
    <n v="75"/>
    <n v="0"/>
    <n v="1"/>
    <n v="10"/>
  </r>
  <r>
    <x v="7247"/>
    <n v="-10"/>
    <n v="75"/>
    <n v="65"/>
    <n v="15"/>
    <n v="25"/>
    <x v="26"/>
    <n v="18"/>
    <n v="-3"/>
    <n v="65"/>
    <n v="0"/>
    <n v="1"/>
    <n v="3"/>
  </r>
  <r>
    <x v="7248"/>
    <n v="-3"/>
    <n v="65"/>
    <n v="62"/>
    <n v="18"/>
    <n v="27"/>
    <x v="32"/>
    <n v="22"/>
    <n v="2"/>
    <n v="56"/>
    <n v="0.2"/>
    <n v="0"/>
    <n v="0"/>
  </r>
  <r>
    <x v="7249"/>
    <n v="2"/>
    <n v="56"/>
    <n v="58"/>
    <n v="22"/>
    <n v="23"/>
    <x v="27"/>
    <n v="15"/>
    <n v="10"/>
    <n v="55"/>
    <n v="1"/>
    <n v="0"/>
    <n v="0"/>
  </r>
  <r>
    <x v="7250"/>
    <n v="10"/>
    <n v="55"/>
    <n v="65"/>
    <n v="15"/>
    <n v="15"/>
    <x v="27"/>
    <n v="25"/>
    <n v="0"/>
    <n v="55"/>
    <n v="0"/>
    <n v="0"/>
    <n v="0"/>
  </r>
  <r>
    <x v="7251"/>
    <n v="0"/>
    <n v="55"/>
    <n v="55"/>
    <n v="25"/>
    <n v="18"/>
    <x v="33"/>
    <n v="25"/>
    <n v="-7"/>
    <n v="62"/>
    <n v="0"/>
    <n v="1"/>
    <n v="7"/>
  </r>
  <r>
    <x v="7252"/>
    <n v="-7"/>
    <n v="62"/>
    <n v="55"/>
    <n v="25"/>
    <n v="22"/>
    <x v="26"/>
    <n v="14"/>
    <n v="1"/>
    <n v="65"/>
    <n v="0.1"/>
    <n v="0"/>
    <n v="0"/>
  </r>
  <r>
    <x v="7253"/>
    <n v="1"/>
    <n v="65"/>
    <n v="66"/>
    <n v="14"/>
    <n v="15"/>
    <x v="8"/>
    <n v="22"/>
    <n v="-6"/>
    <n v="64"/>
    <n v="0"/>
    <n v="1"/>
    <n v="6"/>
  </r>
  <r>
    <x v="7254"/>
    <n v="-6"/>
    <n v="64"/>
    <n v="58"/>
    <n v="22"/>
    <n v="25"/>
    <x v="23"/>
    <n v="19"/>
    <n v="0"/>
    <n v="61"/>
    <n v="0"/>
    <n v="0"/>
    <n v="0"/>
  </r>
  <r>
    <x v="7255"/>
    <n v="0"/>
    <n v="61"/>
    <n v="61"/>
    <n v="19"/>
    <n v="25"/>
    <x v="27"/>
    <n v="20"/>
    <n v="5"/>
    <n v="55"/>
    <n v="0.5"/>
    <n v="0"/>
    <n v="0"/>
  </r>
  <r>
    <x v="7256"/>
    <n v="5"/>
    <n v="55"/>
    <n v="60"/>
    <n v="20"/>
    <n v="14"/>
    <x v="23"/>
    <n v="27"/>
    <n v="-8"/>
    <n v="61"/>
    <n v="0"/>
    <n v="1"/>
    <n v="8"/>
  </r>
  <r>
    <x v="7257"/>
    <n v="-8"/>
    <n v="61"/>
    <n v="53"/>
    <n v="27"/>
    <n v="22"/>
    <x v="7"/>
    <n v="16"/>
    <n v="-2"/>
    <n v="66"/>
    <n v="0"/>
    <n v="1"/>
    <n v="2"/>
  </r>
  <r>
    <x v="7258"/>
    <n v="-2"/>
    <n v="66"/>
    <n v="64"/>
    <n v="16"/>
    <n v="19"/>
    <x v="22"/>
    <n v="22"/>
    <n v="-5"/>
    <n v="63"/>
    <n v="0"/>
    <n v="1"/>
    <n v="5"/>
  </r>
  <r>
    <x v="7259"/>
    <n v="-5"/>
    <n v="63"/>
    <n v="58"/>
    <n v="22"/>
    <n v="20"/>
    <x v="26"/>
    <n v="19"/>
    <n v="-4"/>
    <n v="65"/>
    <n v="0"/>
    <n v="1"/>
    <n v="4"/>
  </r>
  <r>
    <x v="7260"/>
    <n v="-4"/>
    <n v="65"/>
    <n v="61"/>
    <n v="19"/>
    <n v="27"/>
    <x v="24"/>
    <n v="24"/>
    <n v="-1"/>
    <n v="57"/>
    <n v="0"/>
    <n v="1"/>
    <n v="1"/>
  </r>
  <r>
    <x v="7261"/>
    <n v="-1"/>
    <n v="57"/>
    <n v="56"/>
    <n v="24"/>
    <n v="16"/>
    <x v="26"/>
    <n v="20"/>
    <n v="-5"/>
    <n v="65"/>
    <n v="0"/>
    <n v="1"/>
    <n v="5"/>
  </r>
  <r>
    <x v="7262"/>
    <n v="-5"/>
    <n v="65"/>
    <n v="60"/>
    <n v="20"/>
    <n v="22"/>
    <x v="22"/>
    <n v="13"/>
    <n v="4"/>
    <n v="63"/>
    <n v="0.4"/>
    <n v="0"/>
    <n v="0"/>
  </r>
  <r>
    <x v="7263"/>
    <n v="4"/>
    <n v="63"/>
    <n v="67"/>
    <n v="13"/>
    <n v="19"/>
    <x v="24"/>
    <n v="22"/>
    <n v="1"/>
    <n v="57"/>
    <n v="0.1"/>
    <n v="0"/>
    <n v="0"/>
  </r>
  <r>
    <x v="7264"/>
    <n v="1"/>
    <n v="57"/>
    <n v="58"/>
    <n v="22"/>
    <n v="24"/>
    <x v="27"/>
    <n v="20"/>
    <n v="5"/>
    <n v="55"/>
    <n v="0.5"/>
    <n v="0"/>
    <n v="0"/>
  </r>
  <r>
    <x v="7265"/>
    <n v="5"/>
    <n v="55"/>
    <n v="60"/>
    <n v="20"/>
    <n v="20"/>
    <x v="27"/>
    <n v="23"/>
    <n v="2"/>
    <n v="55"/>
    <n v="0.2"/>
    <n v="0"/>
    <n v="0"/>
  </r>
  <r>
    <x v="7266"/>
    <n v="2"/>
    <n v="55"/>
    <n v="57"/>
    <n v="23"/>
    <n v="13"/>
    <x v="26"/>
    <n v="10"/>
    <n v="5"/>
    <n v="65"/>
    <n v="0.5"/>
    <n v="0"/>
    <n v="0"/>
  </r>
  <r>
    <x v="7267"/>
    <n v="5"/>
    <n v="65"/>
    <n v="70"/>
    <n v="10"/>
    <n v="22"/>
    <x v="12"/>
    <n v="22"/>
    <n v="5"/>
    <n v="53"/>
    <n v="0.5"/>
    <n v="0"/>
    <n v="0"/>
  </r>
  <r>
    <x v="7268"/>
    <n v="5"/>
    <n v="53"/>
    <n v="58"/>
    <n v="22"/>
    <n v="20"/>
    <x v="27"/>
    <n v="21"/>
    <n v="4"/>
    <n v="55"/>
    <n v="0.4"/>
    <n v="0"/>
    <n v="0"/>
  </r>
  <r>
    <x v="7269"/>
    <n v="4"/>
    <n v="55"/>
    <n v="59"/>
    <n v="21"/>
    <n v="23"/>
    <x v="12"/>
    <n v="22"/>
    <n v="5"/>
    <n v="53"/>
    <n v="0.5"/>
    <n v="0"/>
    <n v="0"/>
  </r>
  <r>
    <x v="7270"/>
    <n v="5"/>
    <n v="53"/>
    <n v="58"/>
    <n v="22"/>
    <n v="10"/>
    <x v="26"/>
    <n v="25"/>
    <n v="-10"/>
    <n v="65"/>
    <n v="0"/>
    <n v="1"/>
    <n v="10"/>
  </r>
  <r>
    <x v="7271"/>
    <n v="-10"/>
    <n v="65"/>
    <n v="55"/>
    <n v="25"/>
    <n v="22"/>
    <x v="17"/>
    <n v="29"/>
    <n v="-17"/>
    <n v="68"/>
    <n v="0"/>
    <n v="1"/>
    <n v="17"/>
  </r>
  <r>
    <x v="7272"/>
    <n v="-17"/>
    <n v="68"/>
    <n v="51"/>
    <n v="29"/>
    <n v="21"/>
    <x v="37"/>
    <n v="24"/>
    <n v="-20"/>
    <n v="76"/>
    <n v="0"/>
    <n v="1"/>
    <n v="20"/>
  </r>
  <r>
    <x v="7273"/>
    <n v="-20"/>
    <n v="76"/>
    <n v="56"/>
    <n v="24"/>
    <n v="22"/>
    <x v="35"/>
    <n v="21"/>
    <n v="-19"/>
    <n v="78"/>
    <n v="0"/>
    <n v="1"/>
    <n v="19"/>
  </r>
  <r>
    <x v="7274"/>
    <n v="-19"/>
    <n v="78"/>
    <n v="59"/>
    <n v="21"/>
    <n v="25"/>
    <x v="39"/>
    <n v="25"/>
    <n v="-19"/>
    <n v="74"/>
    <n v="0"/>
    <n v="1"/>
    <n v="19"/>
  </r>
  <r>
    <x v="7275"/>
    <n v="-19"/>
    <n v="74"/>
    <n v="55"/>
    <n v="25"/>
    <n v="29"/>
    <x v="6"/>
    <n v="13"/>
    <n v="-3"/>
    <n v="70"/>
    <n v="0"/>
    <n v="1"/>
    <n v="3"/>
  </r>
  <r>
    <x v="7276"/>
    <n v="-3"/>
    <n v="70"/>
    <n v="67"/>
    <n v="13"/>
    <n v="24"/>
    <x v="5"/>
    <n v="22"/>
    <n v="-1"/>
    <n v="59"/>
    <n v="0"/>
    <n v="1"/>
    <n v="1"/>
  </r>
  <r>
    <x v="7277"/>
    <n v="-1"/>
    <n v="59"/>
    <n v="58"/>
    <n v="22"/>
    <n v="21"/>
    <x v="4"/>
    <n v="25"/>
    <n v="-5"/>
    <n v="60"/>
    <n v="0"/>
    <n v="1"/>
    <n v="5"/>
  </r>
  <r>
    <x v="7278"/>
    <n v="-5"/>
    <n v="60"/>
    <n v="55"/>
    <n v="25"/>
    <n v="25"/>
    <x v="4"/>
    <n v="20"/>
    <n v="0"/>
    <n v="60"/>
    <n v="0"/>
    <n v="0"/>
    <n v="0"/>
  </r>
  <r>
    <x v="7279"/>
    <n v="0"/>
    <n v="60"/>
    <n v="60"/>
    <n v="20"/>
    <n v="13"/>
    <x v="21"/>
    <n v="22"/>
    <n v="-9"/>
    <n v="67"/>
    <n v="0"/>
    <n v="1"/>
    <n v="9"/>
  </r>
  <r>
    <x v="7280"/>
    <n v="-9"/>
    <n v="67"/>
    <n v="58"/>
    <n v="22"/>
    <n v="22"/>
    <x v="21"/>
    <n v="23"/>
    <n v="-10"/>
    <n v="67"/>
    <n v="0"/>
    <n v="1"/>
    <n v="10"/>
  </r>
  <r>
    <x v="7281"/>
    <n v="-10"/>
    <n v="67"/>
    <n v="57"/>
    <n v="23"/>
    <n v="25"/>
    <x v="26"/>
    <n v="32"/>
    <n v="-17"/>
    <n v="65"/>
    <n v="0"/>
    <n v="1"/>
    <n v="17"/>
  </r>
  <r>
    <x v="7282"/>
    <n v="-17"/>
    <n v="65"/>
    <n v="48"/>
    <n v="32"/>
    <n v="20"/>
    <x v="18"/>
    <n v="17"/>
    <n v="-14"/>
    <n v="77"/>
    <n v="0"/>
    <n v="1"/>
    <n v="14"/>
  </r>
  <r>
    <x v="7283"/>
    <n v="-14"/>
    <n v="77"/>
    <n v="63"/>
    <n v="17"/>
    <n v="22"/>
    <x v="29"/>
    <n v="18"/>
    <n v="-10"/>
    <n v="72"/>
    <n v="0"/>
    <n v="1"/>
    <n v="10"/>
  </r>
  <r>
    <x v="7284"/>
    <n v="-10"/>
    <n v="72"/>
    <n v="62"/>
    <n v="18"/>
    <n v="23"/>
    <x v="21"/>
    <n v="24"/>
    <n v="-11"/>
    <n v="67"/>
    <n v="0"/>
    <n v="1"/>
    <n v="11"/>
  </r>
  <r>
    <x v="7285"/>
    <n v="-11"/>
    <n v="67"/>
    <n v="56"/>
    <n v="24"/>
    <n v="32"/>
    <x v="5"/>
    <n v="27"/>
    <n v="-6"/>
    <n v="59"/>
    <n v="0"/>
    <n v="1"/>
    <n v="6"/>
  </r>
  <r>
    <x v="7286"/>
    <n v="-6"/>
    <n v="59"/>
    <n v="53"/>
    <n v="27"/>
    <n v="17"/>
    <x v="30"/>
    <n v="22"/>
    <n v="-11"/>
    <n v="69"/>
    <n v="0"/>
    <n v="1"/>
    <n v="11"/>
  </r>
  <r>
    <x v="7287"/>
    <n v="-11"/>
    <n v="69"/>
    <n v="58"/>
    <n v="22"/>
    <n v="18"/>
    <x v="31"/>
    <n v="19"/>
    <n v="-12"/>
    <n v="73"/>
    <n v="0"/>
    <n v="1"/>
    <n v="12"/>
  </r>
  <r>
    <x v="7288"/>
    <n v="-12"/>
    <n v="73"/>
    <n v="61"/>
    <n v="19"/>
    <n v="24"/>
    <x v="17"/>
    <n v="13"/>
    <n v="-1"/>
    <n v="68"/>
    <n v="0"/>
    <n v="1"/>
    <n v="1"/>
  </r>
  <r>
    <x v="7289"/>
    <n v="-1"/>
    <n v="68"/>
    <n v="67"/>
    <n v="13"/>
    <n v="27"/>
    <x v="16"/>
    <n v="19"/>
    <n v="7"/>
    <n v="54"/>
    <n v="0.70000000000000007"/>
    <n v="0"/>
    <n v="0"/>
  </r>
  <r>
    <x v="7290"/>
    <n v="7"/>
    <n v="54"/>
    <n v="61"/>
    <n v="19"/>
    <n v="22"/>
    <x v="9"/>
    <n v="17"/>
    <n v="12"/>
    <n v="51"/>
    <n v="1.2000000000000002"/>
    <n v="0"/>
    <n v="0"/>
  </r>
  <r>
    <x v="7291"/>
    <n v="12"/>
    <n v="51"/>
    <n v="63"/>
    <n v="17"/>
    <n v="19"/>
    <x v="10"/>
    <n v="15"/>
    <n v="16"/>
    <n v="49"/>
    <n v="1.6"/>
    <n v="0"/>
    <n v="0"/>
  </r>
  <r>
    <x v="7292"/>
    <n v="16"/>
    <n v="49"/>
    <n v="65"/>
    <n v="15"/>
    <n v="13"/>
    <x v="9"/>
    <n v="23"/>
    <n v="6"/>
    <n v="51"/>
    <n v="0.60000000000000009"/>
    <n v="0"/>
    <n v="0"/>
  </r>
  <r>
    <x v="7293"/>
    <n v="6"/>
    <n v="51"/>
    <n v="57"/>
    <n v="23"/>
    <n v="19"/>
    <x v="27"/>
    <n v="14"/>
    <n v="11"/>
    <n v="55"/>
    <n v="1.1000000000000001"/>
    <n v="0"/>
    <n v="0"/>
  </r>
  <r>
    <x v="7294"/>
    <n v="11"/>
    <n v="55"/>
    <n v="66"/>
    <n v="14"/>
    <n v="17"/>
    <x v="25"/>
    <n v="17"/>
    <n v="11"/>
    <n v="52"/>
    <n v="1.1000000000000001"/>
    <n v="0"/>
    <n v="0"/>
  </r>
  <r>
    <x v="7295"/>
    <n v="11"/>
    <n v="52"/>
    <n v="63"/>
    <n v="17"/>
    <n v="15"/>
    <x v="16"/>
    <n v="25"/>
    <n v="1"/>
    <n v="54"/>
    <n v="0.1"/>
    <n v="0"/>
    <n v="0"/>
  </r>
  <r>
    <x v="7296"/>
    <n v="1"/>
    <n v="54"/>
    <n v="55"/>
    <n v="25"/>
    <n v="23"/>
    <x v="32"/>
    <n v="21"/>
    <n v="3"/>
    <n v="56"/>
    <n v="0.30000000000000004"/>
    <n v="0"/>
    <n v="0"/>
  </r>
  <r>
    <x v="7297"/>
    <n v="3"/>
    <n v="56"/>
    <n v="59"/>
    <n v="21"/>
    <n v="14"/>
    <x v="22"/>
    <n v="17"/>
    <n v="0"/>
    <n v="63"/>
    <n v="0"/>
    <n v="0"/>
    <n v="0"/>
  </r>
  <r>
    <x v="7298"/>
    <n v="0"/>
    <n v="63"/>
    <n v="63"/>
    <n v="17"/>
    <n v="17"/>
    <x v="22"/>
    <n v="16"/>
    <n v="1"/>
    <n v="63"/>
    <n v="0.1"/>
    <n v="0"/>
    <n v="0"/>
  </r>
  <r>
    <x v="7299"/>
    <n v="1"/>
    <n v="63"/>
    <n v="64"/>
    <n v="16"/>
    <n v="25"/>
    <x v="16"/>
    <n v="27"/>
    <n v="-1"/>
    <n v="54"/>
    <n v="0"/>
    <n v="1"/>
    <n v="1"/>
  </r>
  <r>
    <x v="7300"/>
    <n v="-1"/>
    <n v="54"/>
    <n v="53"/>
    <n v="27"/>
    <n v="21"/>
    <x v="4"/>
    <n v="17"/>
    <n v="3"/>
    <n v="60"/>
    <n v="0.30000000000000004"/>
    <n v="0"/>
    <n v="0"/>
  </r>
  <r>
    <x v="7301"/>
    <n v="3"/>
    <n v="60"/>
    <n v="63"/>
    <n v="17"/>
    <n v="17"/>
    <x v="4"/>
    <n v="14"/>
    <n v="6"/>
    <n v="60"/>
    <n v="0.60000000000000009"/>
    <n v="0"/>
    <n v="0"/>
  </r>
  <r>
    <x v="7302"/>
    <n v="6"/>
    <n v="60"/>
    <n v="66"/>
    <n v="14"/>
    <n v="16"/>
    <x v="28"/>
    <n v="27"/>
    <n v="-5"/>
    <n v="58"/>
    <n v="0"/>
    <n v="1"/>
    <n v="5"/>
  </r>
  <r>
    <x v="7303"/>
    <n v="-5"/>
    <n v="58"/>
    <n v="53"/>
    <n v="27"/>
    <n v="27"/>
    <x v="28"/>
    <n v="20"/>
    <n v="2"/>
    <n v="58"/>
    <n v="0.2"/>
    <n v="0"/>
    <n v="0"/>
  </r>
  <r>
    <x v="7304"/>
    <n v="2"/>
    <n v="58"/>
    <n v="60"/>
    <n v="20"/>
    <n v="17"/>
    <x v="23"/>
    <n v="20"/>
    <n v="-1"/>
    <n v="61"/>
    <n v="0"/>
    <n v="1"/>
    <n v="1"/>
  </r>
  <r>
    <x v="7305"/>
    <n v="-1"/>
    <n v="61"/>
    <n v="60"/>
    <n v="20"/>
    <n v="14"/>
    <x v="21"/>
    <n v="21"/>
    <n v="-8"/>
    <n v="67"/>
    <n v="0"/>
    <n v="1"/>
    <n v="8"/>
  </r>
  <r>
    <x v="7306"/>
    <n v="-8"/>
    <n v="67"/>
    <n v="59"/>
    <n v="21"/>
    <n v="27"/>
    <x v="23"/>
    <n v="26"/>
    <n v="-7"/>
    <n v="61"/>
    <n v="0"/>
    <n v="1"/>
    <n v="7"/>
  </r>
  <r>
    <x v="7307"/>
    <n v="-7"/>
    <n v="61"/>
    <n v="54"/>
    <n v="26"/>
    <n v="20"/>
    <x v="21"/>
    <n v="14"/>
    <n v="-1"/>
    <n v="67"/>
    <n v="0"/>
    <n v="1"/>
    <n v="1"/>
  </r>
  <r>
    <x v="7308"/>
    <n v="-1"/>
    <n v="67"/>
    <n v="66"/>
    <n v="14"/>
    <n v="20"/>
    <x v="23"/>
    <n v="22"/>
    <n v="-3"/>
    <n v="61"/>
    <n v="0"/>
    <n v="1"/>
    <n v="3"/>
  </r>
  <r>
    <x v="7309"/>
    <n v="-3"/>
    <n v="61"/>
    <n v="58"/>
    <n v="22"/>
    <n v="21"/>
    <x v="33"/>
    <n v="25"/>
    <n v="-7"/>
    <n v="62"/>
    <n v="0"/>
    <n v="1"/>
    <n v="7"/>
  </r>
  <r>
    <x v="7310"/>
    <n v="-7"/>
    <n v="62"/>
    <n v="55"/>
    <n v="25"/>
    <n v="26"/>
    <x v="23"/>
    <n v="29"/>
    <n v="-10"/>
    <n v="61"/>
    <n v="0"/>
    <n v="1"/>
    <n v="10"/>
  </r>
  <r>
    <x v="7311"/>
    <n v="-10"/>
    <n v="61"/>
    <n v="51"/>
    <n v="29"/>
    <n v="14"/>
    <x v="37"/>
    <n v="23"/>
    <n v="-19"/>
    <n v="76"/>
    <n v="0"/>
    <n v="1"/>
    <n v="19"/>
  </r>
  <r>
    <x v="7312"/>
    <n v="-19"/>
    <n v="76"/>
    <n v="57"/>
    <n v="23"/>
    <n v="22"/>
    <x v="18"/>
    <n v="19"/>
    <n v="-16"/>
    <n v="77"/>
    <n v="0"/>
    <n v="1"/>
    <n v="16"/>
  </r>
  <r>
    <x v="7313"/>
    <n v="-16"/>
    <n v="77"/>
    <n v="61"/>
    <n v="19"/>
    <n v="25"/>
    <x v="20"/>
    <n v="21"/>
    <n v="-12"/>
    <n v="71"/>
    <n v="0"/>
    <n v="1"/>
    <n v="12"/>
  </r>
  <r>
    <x v="7314"/>
    <n v="-12"/>
    <n v="71"/>
    <n v="59"/>
    <n v="21"/>
    <n v="29"/>
    <x v="22"/>
    <n v="17"/>
    <n v="0"/>
    <n v="63"/>
    <n v="0"/>
    <n v="0"/>
    <n v="0"/>
  </r>
  <r>
    <x v="7315"/>
    <n v="0"/>
    <n v="63"/>
    <n v="63"/>
    <n v="17"/>
    <n v="23"/>
    <x v="24"/>
    <n v="20"/>
    <n v="3"/>
    <n v="57"/>
    <n v="0.30000000000000004"/>
    <n v="0"/>
    <n v="0"/>
  </r>
  <r>
    <x v="7316"/>
    <n v="3"/>
    <n v="57"/>
    <n v="60"/>
    <n v="20"/>
    <n v="19"/>
    <x v="28"/>
    <n v="28"/>
    <n v="-6"/>
    <n v="58"/>
    <n v="0"/>
    <n v="1"/>
    <n v="6"/>
  </r>
  <r>
    <x v="7317"/>
    <n v="-6"/>
    <n v="58"/>
    <n v="52"/>
    <n v="28"/>
    <n v="21"/>
    <x v="26"/>
    <n v="17"/>
    <n v="-2"/>
    <n v="65"/>
    <n v="0"/>
    <n v="1"/>
    <n v="2"/>
  </r>
  <r>
    <x v="7318"/>
    <n v="-2"/>
    <n v="65"/>
    <n v="63"/>
    <n v="17"/>
    <n v="17"/>
    <x v="26"/>
    <n v="16"/>
    <n v="-1"/>
    <n v="65"/>
    <n v="0"/>
    <n v="1"/>
    <n v="1"/>
  </r>
  <r>
    <x v="7319"/>
    <n v="-1"/>
    <n v="65"/>
    <n v="64"/>
    <n v="16"/>
    <n v="20"/>
    <x v="23"/>
    <n v="23"/>
    <n v="-4"/>
    <n v="61"/>
    <n v="0"/>
    <n v="1"/>
    <n v="4"/>
  </r>
  <r>
    <x v="7320"/>
    <n v="-4"/>
    <n v="61"/>
    <n v="57"/>
    <n v="23"/>
    <n v="28"/>
    <x v="32"/>
    <n v="13"/>
    <n v="11"/>
    <n v="56"/>
    <n v="1.1000000000000001"/>
    <n v="0"/>
    <n v="0"/>
  </r>
  <r>
    <x v="7321"/>
    <n v="11"/>
    <n v="56"/>
    <n v="67"/>
    <n v="13"/>
    <n v="17"/>
    <x v="25"/>
    <n v="22"/>
    <n v="6"/>
    <n v="52"/>
    <n v="0.60000000000000009"/>
    <n v="0"/>
    <n v="0"/>
  </r>
  <r>
    <x v="7322"/>
    <n v="6"/>
    <n v="52"/>
    <n v="58"/>
    <n v="22"/>
    <n v="16"/>
    <x v="28"/>
    <n v="15"/>
    <n v="7"/>
    <n v="58"/>
    <n v="0.70000000000000007"/>
    <n v="0"/>
    <n v="0"/>
  </r>
  <r>
    <x v="7323"/>
    <n v="7"/>
    <n v="58"/>
    <n v="65"/>
    <n v="15"/>
    <n v="23"/>
    <x v="13"/>
    <n v="19"/>
    <n v="11"/>
    <n v="50"/>
    <n v="1.1000000000000001"/>
    <n v="0"/>
    <n v="0"/>
  </r>
  <r>
    <x v="7324"/>
    <n v="11"/>
    <n v="50"/>
    <n v="61"/>
    <n v="19"/>
    <n v="13"/>
    <x v="32"/>
    <n v="19"/>
    <n v="5"/>
    <n v="56"/>
    <n v="0.5"/>
    <n v="0"/>
    <n v="0"/>
  </r>
  <r>
    <x v="7325"/>
    <n v="5"/>
    <n v="56"/>
    <n v="61"/>
    <n v="19"/>
    <n v="22"/>
    <x v="12"/>
    <n v="26"/>
    <n v="1"/>
    <n v="53"/>
    <n v="0.1"/>
    <n v="0"/>
    <n v="0"/>
  </r>
  <r>
    <x v="7326"/>
    <n v="1"/>
    <n v="53"/>
    <n v="54"/>
    <n v="26"/>
    <n v="15"/>
    <x v="8"/>
    <n v="16"/>
    <n v="0"/>
    <n v="64"/>
    <n v="0"/>
    <n v="0"/>
    <n v="0"/>
  </r>
  <r>
    <x v="7327"/>
    <n v="0"/>
    <n v="64"/>
    <n v="64"/>
    <n v="16"/>
    <n v="19"/>
    <x v="23"/>
    <n v="26"/>
    <n v="-7"/>
    <n v="61"/>
    <n v="0"/>
    <n v="1"/>
    <n v="7"/>
  </r>
  <r>
    <x v="7328"/>
    <n v="-7"/>
    <n v="61"/>
    <n v="54"/>
    <n v="26"/>
    <n v="19"/>
    <x v="17"/>
    <n v="17"/>
    <n v="-5"/>
    <n v="68"/>
    <n v="0"/>
    <n v="1"/>
    <n v="5"/>
  </r>
  <r>
    <x v="7329"/>
    <n v="-5"/>
    <n v="68"/>
    <n v="63"/>
    <n v="17"/>
    <n v="26"/>
    <x v="5"/>
    <n v="28"/>
    <n v="-7"/>
    <n v="59"/>
    <n v="0"/>
    <n v="1"/>
    <n v="7"/>
  </r>
  <r>
    <x v="7330"/>
    <n v="-7"/>
    <n v="59"/>
    <n v="52"/>
    <n v="28"/>
    <n v="16"/>
    <x v="20"/>
    <n v="16"/>
    <n v="-7"/>
    <n v="71"/>
    <n v="0"/>
    <n v="1"/>
    <n v="7"/>
  </r>
  <r>
    <x v="7331"/>
    <n v="-7"/>
    <n v="71"/>
    <n v="64"/>
    <n v="16"/>
    <n v="26"/>
    <x v="23"/>
    <n v="21"/>
    <n v="-2"/>
    <n v="61"/>
    <n v="0"/>
    <n v="1"/>
    <n v="2"/>
  </r>
  <r>
    <x v="7332"/>
    <n v="-2"/>
    <n v="61"/>
    <n v="59"/>
    <n v="21"/>
    <n v="17"/>
    <x v="26"/>
    <n v="20"/>
    <n v="-5"/>
    <n v="65"/>
    <n v="0"/>
    <n v="1"/>
    <n v="5"/>
  </r>
  <r>
    <x v="7333"/>
    <n v="-5"/>
    <n v="65"/>
    <n v="60"/>
    <n v="20"/>
    <n v="28"/>
    <x v="24"/>
    <n v="20"/>
    <n v="3"/>
    <n v="57"/>
    <n v="0.30000000000000004"/>
    <n v="0"/>
    <n v="0"/>
  </r>
  <r>
    <x v="7334"/>
    <n v="3"/>
    <n v="57"/>
    <n v="60"/>
    <n v="20"/>
    <n v="16"/>
    <x v="23"/>
    <n v="14"/>
    <n v="5"/>
    <n v="61"/>
    <n v="0.5"/>
    <n v="0"/>
    <n v="0"/>
  </r>
  <r>
    <x v="7335"/>
    <n v="5"/>
    <n v="61"/>
    <n v="66"/>
    <n v="14"/>
    <n v="21"/>
    <x v="16"/>
    <n v="15"/>
    <n v="11"/>
    <n v="54"/>
    <n v="1.1000000000000001"/>
    <n v="0"/>
    <n v="0"/>
  </r>
  <r>
    <x v="7336"/>
    <n v="11"/>
    <n v="54"/>
    <n v="65"/>
    <n v="15"/>
    <n v="20"/>
    <x v="10"/>
    <n v="21"/>
    <n v="10"/>
    <n v="49"/>
    <n v="1"/>
    <n v="0"/>
    <n v="0"/>
  </r>
  <r>
    <x v="7337"/>
    <n v="10"/>
    <n v="49"/>
    <n v="59"/>
    <n v="21"/>
    <n v="20"/>
    <x v="13"/>
    <n v="19"/>
    <n v="11"/>
    <n v="50"/>
    <n v="1.1000000000000001"/>
    <n v="0"/>
    <n v="0"/>
  </r>
  <r>
    <x v="7338"/>
    <n v="11"/>
    <n v="50"/>
    <n v="61"/>
    <n v="19"/>
    <n v="14"/>
    <x v="27"/>
    <n v="18"/>
    <n v="7"/>
    <n v="55"/>
    <n v="0.70000000000000007"/>
    <n v="0"/>
    <n v="0"/>
  </r>
  <r>
    <x v="7339"/>
    <n v="7"/>
    <n v="55"/>
    <n v="62"/>
    <n v="18"/>
    <n v="15"/>
    <x v="28"/>
    <n v="18"/>
    <n v="4"/>
    <n v="58"/>
    <n v="0.4"/>
    <n v="0"/>
    <n v="0"/>
  </r>
  <r>
    <x v="7340"/>
    <n v="4"/>
    <n v="58"/>
    <n v="62"/>
    <n v="18"/>
    <n v="21"/>
    <x v="27"/>
    <n v="29"/>
    <n v="-4"/>
    <n v="55"/>
    <n v="0"/>
    <n v="1"/>
    <n v="4"/>
  </r>
  <r>
    <x v="7341"/>
    <n v="-4"/>
    <n v="55"/>
    <n v="51"/>
    <n v="29"/>
    <n v="19"/>
    <x v="26"/>
    <n v="12"/>
    <n v="3"/>
    <n v="65"/>
    <n v="0.30000000000000004"/>
    <n v="0"/>
    <n v="0"/>
  </r>
  <r>
    <x v="7342"/>
    <n v="3"/>
    <n v="65"/>
    <n v="68"/>
    <n v="12"/>
    <n v="18"/>
    <x v="5"/>
    <n v="10"/>
    <n v="11"/>
    <n v="59"/>
    <n v="1.1000000000000001"/>
    <n v="0"/>
    <n v="0"/>
  </r>
  <r>
    <x v="7343"/>
    <n v="11"/>
    <n v="59"/>
    <n v="70"/>
    <n v="10"/>
    <n v="18"/>
    <x v="9"/>
    <n v="21"/>
    <n v="8"/>
    <n v="51"/>
    <n v="0.8"/>
    <n v="0"/>
    <n v="0"/>
  </r>
  <r>
    <x v="7344"/>
    <n v="8"/>
    <n v="51"/>
    <n v="59"/>
    <n v="21"/>
    <n v="29"/>
    <x v="51"/>
    <n v="20"/>
    <n v="17"/>
    <n v="43"/>
    <n v="1.7000000000000002"/>
    <n v="0"/>
    <n v="0"/>
  </r>
  <r>
    <x v="7345"/>
    <n v="17"/>
    <n v="43"/>
    <n v="60"/>
    <n v="20"/>
    <n v="12"/>
    <x v="9"/>
    <n v="24"/>
    <n v="5"/>
    <n v="51"/>
    <n v="0.5"/>
    <n v="0"/>
    <n v="0"/>
  </r>
  <r>
    <x v="7346"/>
    <n v="5"/>
    <n v="51"/>
    <n v="56"/>
    <n v="24"/>
    <n v="10"/>
    <x v="26"/>
    <n v="18"/>
    <n v="-3"/>
    <n v="65"/>
    <n v="0"/>
    <n v="1"/>
    <n v="3"/>
  </r>
  <r>
    <x v="7347"/>
    <n v="-3"/>
    <n v="65"/>
    <n v="62"/>
    <n v="18"/>
    <n v="21"/>
    <x v="33"/>
    <n v="13"/>
    <n v="5"/>
    <n v="62"/>
    <n v="0.5"/>
    <n v="0"/>
    <n v="0"/>
  </r>
  <r>
    <x v="7348"/>
    <n v="5"/>
    <n v="62"/>
    <n v="67"/>
    <n v="13"/>
    <n v="20"/>
    <x v="27"/>
    <n v="25"/>
    <n v="0"/>
    <n v="55"/>
    <n v="0"/>
    <n v="0"/>
    <n v="0"/>
  </r>
  <r>
    <x v="7349"/>
    <n v="0"/>
    <n v="55"/>
    <n v="55"/>
    <n v="25"/>
    <n v="24"/>
    <x v="32"/>
    <n v="12"/>
    <n v="12"/>
    <n v="56"/>
    <n v="1.2000000000000002"/>
    <n v="0"/>
    <n v="0"/>
  </r>
  <r>
    <x v="7350"/>
    <n v="12"/>
    <n v="56"/>
    <n v="68"/>
    <n v="12"/>
    <n v="18"/>
    <x v="13"/>
    <n v="15"/>
    <n v="15"/>
    <n v="50"/>
    <n v="1.5"/>
    <n v="0"/>
    <n v="0"/>
  </r>
  <r>
    <x v="7351"/>
    <n v="15"/>
    <n v="50"/>
    <n v="65"/>
    <n v="15"/>
    <n v="13"/>
    <x v="25"/>
    <n v="25"/>
    <n v="3"/>
    <n v="52"/>
    <n v="0.30000000000000004"/>
    <n v="0"/>
    <n v="0"/>
  </r>
  <r>
    <x v="7352"/>
    <n v="3"/>
    <n v="52"/>
    <n v="55"/>
    <n v="25"/>
    <n v="25"/>
    <x v="25"/>
    <n v="16"/>
    <n v="12"/>
    <n v="52"/>
    <n v="1.2000000000000002"/>
    <n v="0"/>
    <n v="0"/>
  </r>
  <r>
    <x v="7353"/>
    <n v="12"/>
    <n v="52"/>
    <n v="64"/>
    <n v="16"/>
    <n v="12"/>
    <x v="32"/>
    <n v="17"/>
    <n v="7"/>
    <n v="56"/>
    <n v="0.70000000000000007"/>
    <n v="0"/>
    <n v="0"/>
  </r>
  <r>
    <x v="7354"/>
    <n v="7"/>
    <n v="56"/>
    <n v="63"/>
    <n v="17"/>
    <n v="15"/>
    <x v="28"/>
    <n v="15"/>
    <n v="7"/>
    <n v="58"/>
    <n v="0.70000000000000007"/>
    <n v="0"/>
    <n v="0"/>
  </r>
  <r>
    <x v="7355"/>
    <n v="7"/>
    <n v="58"/>
    <n v="65"/>
    <n v="15"/>
    <n v="25"/>
    <x v="15"/>
    <n v="10"/>
    <n v="22"/>
    <n v="48"/>
    <n v="2.2000000000000002"/>
    <n v="0"/>
    <n v="0"/>
  </r>
  <r>
    <x v="7356"/>
    <n v="22"/>
    <n v="48"/>
    <n v="70"/>
    <n v="10"/>
    <n v="16"/>
    <x v="40"/>
    <n v="25"/>
    <n v="13"/>
    <n v="42"/>
    <n v="1.3"/>
    <n v="0"/>
    <n v="0"/>
  </r>
  <r>
    <x v="7357"/>
    <n v="13"/>
    <n v="42"/>
    <n v="55"/>
    <n v="25"/>
    <n v="17"/>
    <x v="13"/>
    <n v="24"/>
    <n v="6"/>
    <n v="50"/>
    <n v="0.60000000000000009"/>
    <n v="0"/>
    <n v="0"/>
  </r>
  <r>
    <x v="7358"/>
    <n v="6"/>
    <n v="50"/>
    <n v="56"/>
    <n v="24"/>
    <n v="15"/>
    <x v="5"/>
    <n v="18"/>
    <n v="3"/>
    <n v="59"/>
    <n v="0.30000000000000004"/>
    <n v="0"/>
    <n v="0"/>
  </r>
  <r>
    <x v="7359"/>
    <n v="3"/>
    <n v="59"/>
    <n v="62"/>
    <n v="18"/>
    <n v="10"/>
    <x v="21"/>
    <n v="21"/>
    <n v="-8"/>
    <n v="67"/>
    <n v="0"/>
    <n v="1"/>
    <n v="8"/>
  </r>
  <r>
    <x v="7360"/>
    <n v="-8"/>
    <n v="67"/>
    <n v="59"/>
    <n v="21"/>
    <n v="25"/>
    <x v="22"/>
    <n v="33"/>
    <n v="-16"/>
    <n v="63"/>
    <n v="0"/>
    <n v="1"/>
    <n v="16"/>
  </r>
  <r>
    <x v="7361"/>
    <n v="-16"/>
    <n v="63"/>
    <n v="47"/>
    <n v="33"/>
    <n v="24"/>
    <x v="29"/>
    <n v="20"/>
    <n v="-12"/>
    <n v="72"/>
    <n v="0"/>
    <n v="1"/>
    <n v="12"/>
  </r>
  <r>
    <x v="7362"/>
    <n v="-12"/>
    <n v="72"/>
    <n v="60"/>
    <n v="20"/>
    <n v="18"/>
    <x v="39"/>
    <n v="29"/>
    <n v="-23"/>
    <n v="74"/>
    <n v="0"/>
    <n v="1"/>
    <n v="23"/>
  </r>
  <r>
    <x v="7363"/>
    <n v="-23"/>
    <n v="74"/>
    <n v="51"/>
    <n v="29"/>
    <n v="21"/>
    <x v="19"/>
    <n v="17"/>
    <n v="-19"/>
    <n v="82"/>
    <n v="0"/>
    <n v="1"/>
    <n v="17"/>
  </r>
  <r>
    <x v="7364"/>
    <n v="-19"/>
    <n v="82"/>
    <n v="63"/>
    <n v="17"/>
    <n v="33"/>
    <x v="7"/>
    <n v="20"/>
    <n v="-6"/>
    <n v="66"/>
    <n v="0"/>
    <n v="1"/>
    <n v="6"/>
  </r>
  <r>
    <x v="7365"/>
    <n v="-6"/>
    <n v="66"/>
    <n v="60"/>
    <n v="20"/>
    <n v="20"/>
    <x v="7"/>
    <n v="12"/>
    <n v="2"/>
    <n v="66"/>
    <n v="0.2"/>
    <n v="0"/>
    <n v="0"/>
  </r>
  <r>
    <x v="7366"/>
    <n v="2"/>
    <n v="66"/>
    <n v="68"/>
    <n v="12"/>
    <n v="29"/>
    <x v="10"/>
    <n v="18"/>
    <n v="13"/>
    <n v="49"/>
    <n v="1.3"/>
    <n v="0"/>
    <n v="0"/>
  </r>
  <r>
    <x v="7367"/>
    <n v="13"/>
    <n v="49"/>
    <n v="62"/>
    <n v="18"/>
    <n v="17"/>
    <x v="13"/>
    <n v="28"/>
    <n v="2"/>
    <n v="50"/>
    <n v="0.2"/>
    <n v="0"/>
    <n v="0"/>
  </r>
  <r>
    <x v="7368"/>
    <n v="2"/>
    <n v="50"/>
    <n v="52"/>
    <n v="28"/>
    <n v="20"/>
    <x v="28"/>
    <n v="27"/>
    <n v="-5"/>
    <n v="58"/>
    <n v="0"/>
    <n v="1"/>
    <n v="5"/>
  </r>
  <r>
    <x v="7369"/>
    <n v="-5"/>
    <n v="58"/>
    <n v="53"/>
    <n v="27"/>
    <n v="12"/>
    <x v="31"/>
    <n v="17"/>
    <n v="-10"/>
    <n v="73"/>
    <n v="0"/>
    <n v="1"/>
    <n v="10"/>
  </r>
  <r>
    <x v="7370"/>
    <n v="-10"/>
    <n v="73"/>
    <n v="63"/>
    <n v="17"/>
    <n v="18"/>
    <x v="29"/>
    <n v="26"/>
    <n v="-18"/>
    <n v="72"/>
    <n v="0"/>
    <n v="1"/>
    <n v="18"/>
  </r>
  <r>
    <x v="7371"/>
    <n v="-18"/>
    <n v="72"/>
    <n v="54"/>
    <n v="26"/>
    <n v="28"/>
    <x v="6"/>
    <n v="19"/>
    <n v="-9"/>
    <n v="70"/>
    <n v="0"/>
    <n v="1"/>
    <n v="9"/>
  </r>
  <r>
    <x v="7372"/>
    <n v="-9"/>
    <n v="70"/>
    <n v="61"/>
    <n v="19"/>
    <n v="27"/>
    <x v="33"/>
    <n v="20"/>
    <n v="-2"/>
    <n v="62"/>
    <n v="0"/>
    <n v="1"/>
    <n v="2"/>
  </r>
  <r>
    <x v="7373"/>
    <n v="-2"/>
    <n v="62"/>
    <n v="60"/>
    <n v="20"/>
    <n v="17"/>
    <x v="26"/>
    <n v="21"/>
    <n v="-6"/>
    <n v="65"/>
    <n v="0"/>
    <n v="1"/>
    <n v="6"/>
  </r>
  <r>
    <x v="7374"/>
    <n v="-6"/>
    <n v="65"/>
    <n v="59"/>
    <n v="21"/>
    <n v="26"/>
    <x v="4"/>
    <n v="20"/>
    <n v="0"/>
    <n v="60"/>
    <n v="0"/>
    <n v="0"/>
    <n v="0"/>
  </r>
  <r>
    <x v="7375"/>
    <n v="0"/>
    <n v="60"/>
    <n v="60"/>
    <n v="20"/>
    <n v="19"/>
    <x v="23"/>
    <n v="25"/>
    <n v="-6"/>
    <n v="61"/>
    <n v="0"/>
    <n v="1"/>
    <n v="6"/>
  </r>
  <r>
    <x v="7376"/>
    <n v="-6"/>
    <n v="61"/>
    <n v="55"/>
    <n v="25"/>
    <n v="20"/>
    <x v="7"/>
    <n v="22"/>
    <n v="-8"/>
    <n v="66"/>
    <n v="0"/>
    <n v="1"/>
    <n v="8"/>
  </r>
  <r>
    <x v="7377"/>
    <n v="-8"/>
    <n v="66"/>
    <n v="58"/>
    <n v="22"/>
    <n v="21"/>
    <x v="21"/>
    <n v="19"/>
    <n v="-6"/>
    <n v="67"/>
    <n v="0"/>
    <n v="1"/>
    <n v="6"/>
  </r>
  <r>
    <x v="7378"/>
    <n v="-6"/>
    <n v="67"/>
    <n v="61"/>
    <n v="19"/>
    <n v="20"/>
    <x v="7"/>
    <n v="20"/>
    <n v="-6"/>
    <n v="66"/>
    <n v="0"/>
    <n v="1"/>
    <n v="6"/>
  </r>
  <r>
    <x v="7379"/>
    <n v="-6"/>
    <n v="66"/>
    <n v="60"/>
    <n v="20"/>
    <n v="25"/>
    <x v="23"/>
    <n v="19"/>
    <n v="0"/>
    <n v="61"/>
    <n v="0"/>
    <n v="0"/>
    <n v="0"/>
  </r>
  <r>
    <x v="7380"/>
    <n v="0"/>
    <n v="61"/>
    <n v="61"/>
    <n v="19"/>
    <n v="22"/>
    <x v="28"/>
    <n v="11"/>
    <n v="11"/>
    <n v="58"/>
    <n v="1.1000000000000001"/>
    <n v="0"/>
    <n v="0"/>
  </r>
  <r>
    <x v="7381"/>
    <n v="11"/>
    <n v="58"/>
    <n v="69"/>
    <n v="11"/>
    <n v="19"/>
    <x v="13"/>
    <n v="27"/>
    <n v="3"/>
    <n v="50"/>
    <n v="0.30000000000000004"/>
    <n v="0"/>
    <n v="0"/>
  </r>
  <r>
    <x v="7382"/>
    <n v="3"/>
    <n v="50"/>
    <n v="53"/>
    <n v="27"/>
    <n v="20"/>
    <x v="24"/>
    <n v="22"/>
    <n v="1"/>
    <n v="57"/>
    <n v="0.1"/>
    <n v="0"/>
    <n v="0"/>
  </r>
  <r>
    <x v="7383"/>
    <n v="1"/>
    <n v="57"/>
    <n v="58"/>
    <n v="22"/>
    <n v="19"/>
    <x v="4"/>
    <n v="18"/>
    <n v="2"/>
    <n v="60"/>
    <n v="0.2"/>
    <n v="0"/>
    <n v="0"/>
  </r>
  <r>
    <x v="7384"/>
    <n v="2"/>
    <n v="60"/>
    <n v="62"/>
    <n v="18"/>
    <n v="11"/>
    <x v="21"/>
    <n v="27"/>
    <n v="-14"/>
    <n v="67"/>
    <n v="0"/>
    <n v="1"/>
    <n v="14"/>
  </r>
  <r>
    <x v="7385"/>
    <n v="-14"/>
    <n v="67"/>
    <n v="53"/>
    <n v="27"/>
    <n v="27"/>
    <x v="21"/>
    <n v="22"/>
    <n v="-9"/>
    <n v="67"/>
    <n v="0"/>
    <n v="1"/>
    <n v="9"/>
  </r>
  <r>
    <x v="7386"/>
    <n v="-9"/>
    <n v="67"/>
    <n v="58"/>
    <n v="22"/>
    <n v="22"/>
    <x v="21"/>
    <n v="24"/>
    <n v="-11"/>
    <n v="67"/>
    <n v="0"/>
    <n v="1"/>
    <n v="11"/>
  </r>
  <r>
    <x v="7387"/>
    <n v="-11"/>
    <n v="67"/>
    <n v="56"/>
    <n v="24"/>
    <n v="18"/>
    <x v="31"/>
    <n v="17"/>
    <n v="-10"/>
    <n v="73"/>
    <n v="0"/>
    <n v="1"/>
    <n v="10"/>
  </r>
  <r>
    <x v="7388"/>
    <n v="-10"/>
    <n v="73"/>
    <n v="63"/>
    <n v="17"/>
    <n v="27"/>
    <x v="22"/>
    <n v="25"/>
    <n v="-8"/>
    <n v="63"/>
    <n v="0"/>
    <n v="1"/>
    <n v="8"/>
  </r>
  <r>
    <x v="7389"/>
    <n v="-8"/>
    <n v="63"/>
    <n v="55"/>
    <n v="25"/>
    <n v="22"/>
    <x v="7"/>
    <n v="12"/>
    <n v="2"/>
    <n v="66"/>
    <n v="0.2"/>
    <n v="0"/>
    <n v="0"/>
  </r>
  <r>
    <x v="7390"/>
    <n v="2"/>
    <n v="66"/>
    <n v="68"/>
    <n v="12"/>
    <n v="24"/>
    <x v="16"/>
    <n v="23"/>
    <n v="3"/>
    <n v="54"/>
    <n v="0.30000000000000004"/>
    <n v="0"/>
    <n v="0"/>
  </r>
  <r>
    <x v="7391"/>
    <n v="3"/>
    <n v="54"/>
    <n v="57"/>
    <n v="23"/>
    <n v="17"/>
    <x v="4"/>
    <n v="25"/>
    <n v="-5"/>
    <n v="60"/>
    <n v="0"/>
    <n v="1"/>
    <n v="5"/>
  </r>
  <r>
    <x v="7392"/>
    <n v="-5"/>
    <n v="60"/>
    <n v="55"/>
    <n v="25"/>
    <n v="25"/>
    <x v="4"/>
    <n v="18"/>
    <n v="2"/>
    <n v="60"/>
    <n v="0.2"/>
    <n v="0"/>
    <n v="0"/>
  </r>
  <r>
    <x v="7393"/>
    <n v="2"/>
    <n v="60"/>
    <n v="62"/>
    <n v="18"/>
    <n v="12"/>
    <x v="7"/>
    <n v="23"/>
    <n v="-9"/>
    <n v="66"/>
    <n v="0"/>
    <n v="1"/>
    <n v="9"/>
  </r>
  <r>
    <x v="7394"/>
    <n v="-9"/>
    <n v="66"/>
    <n v="57"/>
    <n v="23"/>
    <n v="23"/>
    <x v="7"/>
    <n v="17"/>
    <n v="-3"/>
    <n v="66"/>
    <n v="0"/>
    <n v="1"/>
    <n v="3"/>
  </r>
  <r>
    <x v="7395"/>
    <n v="-3"/>
    <n v="66"/>
    <n v="63"/>
    <n v="17"/>
    <n v="25"/>
    <x v="28"/>
    <n v="15"/>
    <n v="7"/>
    <n v="58"/>
    <n v="0.70000000000000007"/>
    <n v="0"/>
    <n v="0"/>
  </r>
  <r>
    <x v="7396"/>
    <n v="7"/>
    <n v="58"/>
    <n v="65"/>
    <n v="15"/>
    <n v="18"/>
    <x v="27"/>
    <n v="17"/>
    <n v="8"/>
    <n v="55"/>
    <n v="0.8"/>
    <n v="0"/>
    <n v="0"/>
  </r>
  <r>
    <x v="7397"/>
    <n v="8"/>
    <n v="55"/>
    <n v="63"/>
    <n v="17"/>
    <n v="23"/>
    <x v="10"/>
    <n v="13"/>
    <n v="18"/>
    <n v="49"/>
    <n v="1.8"/>
    <n v="0"/>
    <n v="0"/>
  </r>
  <r>
    <x v="7398"/>
    <n v="18"/>
    <n v="49"/>
    <n v="67"/>
    <n v="13"/>
    <n v="17"/>
    <x v="11"/>
    <n v="19"/>
    <n v="16"/>
    <n v="45"/>
    <n v="1.6"/>
    <n v="0"/>
    <n v="0"/>
  </r>
  <r>
    <x v="7399"/>
    <n v="16"/>
    <n v="45"/>
    <n v="61"/>
    <n v="19"/>
    <n v="15"/>
    <x v="10"/>
    <n v="13"/>
    <n v="18"/>
    <n v="49"/>
    <n v="1.8"/>
    <n v="0"/>
    <n v="0"/>
  </r>
  <r>
    <x v="7400"/>
    <n v="18"/>
    <n v="49"/>
    <n v="67"/>
    <n v="13"/>
    <n v="17"/>
    <x v="11"/>
    <n v="18"/>
    <n v="17"/>
    <n v="45"/>
    <n v="1.7000000000000002"/>
    <n v="0"/>
    <n v="0"/>
  </r>
  <r>
    <x v="7401"/>
    <n v="17"/>
    <n v="45"/>
    <n v="62"/>
    <n v="18"/>
    <n v="13"/>
    <x v="13"/>
    <n v="19"/>
    <n v="11"/>
    <n v="50"/>
    <n v="1.1000000000000001"/>
    <n v="0"/>
    <n v="0"/>
  </r>
  <r>
    <x v="7402"/>
    <n v="11"/>
    <n v="50"/>
    <n v="61"/>
    <n v="19"/>
    <n v="19"/>
    <x v="13"/>
    <n v="18"/>
    <n v="12"/>
    <n v="50"/>
    <n v="1.2000000000000002"/>
    <n v="0"/>
    <n v="0"/>
  </r>
  <r>
    <x v="7403"/>
    <n v="12"/>
    <n v="50"/>
    <n v="62"/>
    <n v="18"/>
    <n v="13"/>
    <x v="27"/>
    <n v="30"/>
    <n v="-5"/>
    <n v="55"/>
    <n v="0"/>
    <n v="1"/>
    <n v="5"/>
  </r>
  <r>
    <x v="7404"/>
    <n v="-5"/>
    <n v="55"/>
    <n v="50"/>
    <n v="30"/>
    <n v="18"/>
    <x v="21"/>
    <n v="6"/>
    <n v="7"/>
    <n v="67"/>
    <n v="0.70000000000000007"/>
    <n v="0"/>
    <n v="0"/>
  </r>
  <r>
    <x v="7405"/>
    <n v="7"/>
    <n v="67"/>
    <n v="74"/>
    <n v="6"/>
    <n v="19"/>
    <x v="16"/>
    <n v="22"/>
    <n v="4"/>
    <n v="54"/>
    <n v="0.4"/>
    <n v="0"/>
    <n v="0"/>
  </r>
  <r>
    <x v="7406"/>
    <n v="4"/>
    <n v="54"/>
    <n v="58"/>
    <n v="22"/>
    <n v="18"/>
    <x v="28"/>
    <n v="20"/>
    <n v="2"/>
    <n v="58"/>
    <n v="0.2"/>
    <n v="0"/>
    <n v="0"/>
  </r>
  <r>
    <x v="7407"/>
    <n v="2"/>
    <n v="58"/>
    <n v="60"/>
    <n v="20"/>
    <n v="30"/>
    <x v="15"/>
    <n v="20"/>
    <n v="12"/>
    <n v="48"/>
    <n v="1.2000000000000002"/>
    <n v="0"/>
    <n v="0"/>
  </r>
  <r>
    <x v="7408"/>
    <n v="12"/>
    <n v="48"/>
    <n v="60"/>
    <n v="20"/>
    <n v="6"/>
    <x v="33"/>
    <n v="20"/>
    <n v="-2"/>
    <n v="62"/>
    <n v="0"/>
    <n v="1"/>
    <n v="2"/>
  </r>
  <r>
    <x v="7409"/>
    <n v="-2"/>
    <n v="62"/>
    <n v="60"/>
    <n v="20"/>
    <n v="22"/>
    <x v="4"/>
    <n v="12"/>
    <n v="8"/>
    <n v="60"/>
    <n v="0.8"/>
    <n v="0"/>
    <n v="0"/>
  </r>
  <r>
    <x v="7410"/>
    <n v="8"/>
    <n v="60"/>
    <n v="68"/>
    <n v="12"/>
    <n v="20"/>
    <x v="25"/>
    <n v="19"/>
    <n v="9"/>
    <n v="52"/>
    <n v="0.9"/>
    <n v="0"/>
    <n v="0"/>
  </r>
  <r>
    <x v="7411"/>
    <n v="9"/>
    <n v="52"/>
    <n v="61"/>
    <n v="19"/>
    <n v="20"/>
    <x v="9"/>
    <n v="17"/>
    <n v="12"/>
    <n v="51"/>
    <n v="1.2000000000000002"/>
    <n v="0"/>
    <n v="0"/>
  </r>
  <r>
    <x v="7412"/>
    <n v="12"/>
    <n v="51"/>
    <n v="63"/>
    <n v="17"/>
    <n v="20"/>
    <x v="15"/>
    <n v="16"/>
    <n v="16"/>
    <n v="48"/>
    <n v="1.6"/>
    <n v="0"/>
    <n v="0"/>
  </r>
  <r>
    <x v="7413"/>
    <n v="16"/>
    <n v="48"/>
    <n v="64"/>
    <n v="16"/>
    <n v="12"/>
    <x v="25"/>
    <n v="22"/>
    <n v="6"/>
    <n v="52"/>
    <n v="0.60000000000000009"/>
    <n v="0"/>
    <n v="0"/>
  </r>
  <r>
    <x v="7414"/>
    <n v="6"/>
    <n v="52"/>
    <n v="58"/>
    <n v="22"/>
    <n v="19"/>
    <x v="27"/>
    <n v="27"/>
    <n v="-2"/>
    <n v="55"/>
    <n v="0"/>
    <n v="1"/>
    <n v="2"/>
  </r>
  <r>
    <x v="7415"/>
    <n v="-2"/>
    <n v="55"/>
    <n v="53"/>
    <n v="27"/>
    <n v="17"/>
    <x v="26"/>
    <n v="21"/>
    <n v="-6"/>
    <n v="65"/>
    <n v="0"/>
    <n v="1"/>
    <n v="6"/>
  </r>
  <r>
    <x v="7416"/>
    <n v="-6"/>
    <n v="65"/>
    <n v="59"/>
    <n v="21"/>
    <n v="16"/>
    <x v="6"/>
    <n v="16"/>
    <n v="-6"/>
    <n v="70"/>
    <n v="0"/>
    <n v="1"/>
    <n v="6"/>
  </r>
  <r>
    <x v="7417"/>
    <n v="-6"/>
    <n v="70"/>
    <n v="64"/>
    <n v="16"/>
    <n v="22"/>
    <x v="8"/>
    <n v="19"/>
    <n v="-3"/>
    <n v="64"/>
    <n v="0"/>
    <n v="1"/>
    <n v="3"/>
  </r>
  <r>
    <x v="7418"/>
    <n v="-3"/>
    <n v="64"/>
    <n v="61"/>
    <n v="19"/>
    <n v="27"/>
    <x v="32"/>
    <n v="19"/>
    <n v="5"/>
    <n v="56"/>
    <n v="0.5"/>
    <n v="0"/>
    <n v="0"/>
  </r>
  <r>
    <x v="7419"/>
    <n v="5"/>
    <n v="56"/>
    <n v="61"/>
    <n v="19"/>
    <n v="21"/>
    <x v="16"/>
    <n v="17"/>
    <n v="9"/>
    <n v="54"/>
    <n v="0.9"/>
    <n v="0"/>
    <n v="0"/>
  </r>
  <r>
    <x v="7420"/>
    <n v="9"/>
    <n v="54"/>
    <n v="63"/>
    <n v="17"/>
    <n v="16"/>
    <x v="27"/>
    <n v="13"/>
    <n v="12"/>
    <n v="55"/>
    <n v="1.2000000000000002"/>
    <n v="0"/>
    <n v="0"/>
  </r>
  <r>
    <x v="7421"/>
    <n v="12"/>
    <n v="55"/>
    <n v="67"/>
    <n v="13"/>
    <n v="19"/>
    <x v="10"/>
    <n v="18"/>
    <n v="13"/>
    <n v="49"/>
    <n v="1.3"/>
    <n v="0"/>
    <n v="0"/>
  </r>
  <r>
    <x v="7422"/>
    <n v="13"/>
    <n v="49"/>
    <n v="62"/>
    <n v="18"/>
    <n v="19"/>
    <x v="15"/>
    <n v="22"/>
    <n v="10"/>
    <n v="48"/>
    <n v="1"/>
    <n v="0"/>
    <n v="0"/>
  </r>
  <r>
    <x v="7423"/>
    <n v="10"/>
    <n v="48"/>
    <n v="58"/>
    <n v="22"/>
    <n v="17"/>
    <x v="12"/>
    <n v="22"/>
    <n v="5"/>
    <n v="53"/>
    <n v="0.5"/>
    <n v="0"/>
    <n v="0"/>
  </r>
  <r>
    <x v="7424"/>
    <n v="5"/>
    <n v="53"/>
    <n v="58"/>
    <n v="22"/>
    <n v="13"/>
    <x v="33"/>
    <n v="20"/>
    <n v="-2"/>
    <n v="62"/>
    <n v="0"/>
    <n v="1"/>
    <n v="2"/>
  </r>
  <r>
    <x v="7425"/>
    <n v="-2"/>
    <n v="62"/>
    <n v="60"/>
    <n v="20"/>
    <n v="18"/>
    <x v="8"/>
    <n v="24"/>
    <n v="-8"/>
    <n v="64"/>
    <n v="0"/>
    <n v="1"/>
    <n v="8"/>
  </r>
  <r>
    <x v="7426"/>
    <n v="-8"/>
    <n v="64"/>
    <n v="56"/>
    <n v="24"/>
    <n v="22"/>
    <x v="7"/>
    <n v="15"/>
    <n v="-1"/>
    <n v="66"/>
    <n v="0"/>
    <n v="1"/>
    <n v="1"/>
  </r>
  <r>
    <x v="7427"/>
    <n v="-1"/>
    <n v="66"/>
    <n v="65"/>
    <n v="15"/>
    <n v="22"/>
    <x v="5"/>
    <n v="25"/>
    <n v="-4"/>
    <n v="59"/>
    <n v="0"/>
    <n v="1"/>
    <n v="4"/>
  </r>
  <r>
    <x v="7428"/>
    <n v="-4"/>
    <n v="59"/>
    <n v="55"/>
    <n v="25"/>
    <n v="20"/>
    <x v="8"/>
    <n v="20"/>
    <n v="-4"/>
    <n v="64"/>
    <n v="0"/>
    <n v="1"/>
    <n v="4"/>
  </r>
  <r>
    <x v="7429"/>
    <n v="-4"/>
    <n v="64"/>
    <n v="60"/>
    <n v="20"/>
    <n v="24"/>
    <x v="4"/>
    <n v="17"/>
    <n v="3"/>
    <n v="60"/>
    <n v="0.30000000000000004"/>
    <n v="0"/>
    <n v="0"/>
  </r>
  <r>
    <x v="7430"/>
    <n v="3"/>
    <n v="60"/>
    <n v="63"/>
    <n v="17"/>
    <n v="15"/>
    <x v="33"/>
    <n v="28"/>
    <n v="-10"/>
    <n v="62"/>
    <n v="0"/>
    <n v="1"/>
    <n v="10"/>
  </r>
  <r>
    <x v="7431"/>
    <n v="-10"/>
    <n v="62"/>
    <n v="52"/>
    <n v="28"/>
    <n v="25"/>
    <x v="26"/>
    <n v="27"/>
    <n v="-12"/>
    <n v="65"/>
    <n v="0"/>
    <n v="1"/>
    <n v="12"/>
  </r>
  <r>
    <x v="7432"/>
    <n v="-12"/>
    <n v="65"/>
    <n v="53"/>
    <n v="27"/>
    <n v="20"/>
    <x v="29"/>
    <n v="18"/>
    <n v="-10"/>
    <n v="72"/>
    <n v="0"/>
    <n v="1"/>
    <n v="10"/>
  </r>
  <r>
    <x v="7433"/>
    <n v="-10"/>
    <n v="72"/>
    <n v="62"/>
    <n v="18"/>
    <n v="17"/>
    <x v="31"/>
    <n v="24"/>
    <n v="-17"/>
    <n v="73"/>
    <n v="0"/>
    <n v="1"/>
    <n v="17"/>
  </r>
  <r>
    <x v="7434"/>
    <n v="-17"/>
    <n v="73"/>
    <n v="56"/>
    <n v="24"/>
    <n v="28"/>
    <x v="30"/>
    <n v="19"/>
    <n v="-8"/>
    <n v="69"/>
    <n v="0"/>
    <n v="1"/>
    <n v="8"/>
  </r>
  <r>
    <x v="7435"/>
    <n v="-8"/>
    <n v="69"/>
    <n v="61"/>
    <n v="19"/>
    <n v="27"/>
    <x v="23"/>
    <n v="21"/>
    <n v="-2"/>
    <n v="61"/>
    <n v="0"/>
    <n v="1"/>
    <n v="2"/>
  </r>
  <r>
    <x v="7436"/>
    <n v="-2"/>
    <n v="61"/>
    <n v="59"/>
    <n v="21"/>
    <n v="18"/>
    <x v="8"/>
    <n v="14"/>
    <n v="2"/>
    <n v="64"/>
    <n v="0.2"/>
    <n v="0"/>
    <n v="0"/>
  </r>
  <r>
    <x v="7437"/>
    <n v="2"/>
    <n v="64"/>
    <n v="66"/>
    <n v="14"/>
    <n v="24"/>
    <x v="16"/>
    <n v="22"/>
    <n v="4"/>
    <n v="54"/>
    <n v="0.4"/>
    <n v="0"/>
    <n v="0"/>
  </r>
  <r>
    <x v="7438"/>
    <n v="4"/>
    <n v="54"/>
    <n v="58"/>
    <n v="22"/>
    <n v="19"/>
    <x v="24"/>
    <n v="20"/>
    <n v="3"/>
    <n v="57"/>
    <n v="0.30000000000000004"/>
    <n v="0"/>
    <n v="0"/>
  </r>
  <r>
    <x v="7439"/>
    <n v="3"/>
    <n v="57"/>
    <n v="60"/>
    <n v="20"/>
    <n v="21"/>
    <x v="32"/>
    <n v="19"/>
    <n v="5"/>
    <n v="56"/>
    <n v="0.5"/>
    <n v="0"/>
    <n v="0"/>
  </r>
  <r>
    <x v="7440"/>
    <n v="5"/>
    <n v="56"/>
    <n v="61"/>
    <n v="19"/>
    <n v="14"/>
    <x v="23"/>
    <n v="30"/>
    <n v="-11"/>
    <n v="61"/>
    <n v="0"/>
    <n v="1"/>
    <n v="11"/>
  </r>
  <r>
    <x v="7441"/>
    <n v="-11"/>
    <n v="61"/>
    <n v="50"/>
    <n v="30"/>
    <n v="22"/>
    <x v="30"/>
    <n v="20"/>
    <n v="-9"/>
    <n v="69"/>
    <n v="0"/>
    <n v="1"/>
    <n v="9"/>
  </r>
  <r>
    <x v="7442"/>
    <n v="-9"/>
    <n v="69"/>
    <n v="60"/>
    <n v="20"/>
    <n v="20"/>
    <x v="30"/>
    <n v="22"/>
    <n v="-11"/>
    <n v="69"/>
    <n v="0"/>
    <n v="1"/>
    <n v="11"/>
  </r>
  <r>
    <x v="7443"/>
    <n v="-11"/>
    <n v="69"/>
    <n v="58"/>
    <n v="22"/>
    <n v="19"/>
    <x v="29"/>
    <n v="21"/>
    <n v="-13"/>
    <n v="72"/>
    <n v="0"/>
    <n v="1"/>
    <n v="13"/>
  </r>
  <r>
    <x v="7444"/>
    <n v="-13"/>
    <n v="72"/>
    <n v="59"/>
    <n v="21"/>
    <n v="30"/>
    <x v="22"/>
    <n v="21"/>
    <n v="-4"/>
    <n v="63"/>
    <n v="0"/>
    <n v="1"/>
    <n v="4"/>
  </r>
  <r>
    <x v="7445"/>
    <n v="-4"/>
    <n v="63"/>
    <n v="59"/>
    <n v="21"/>
    <n v="20"/>
    <x v="8"/>
    <n v="19"/>
    <n v="-3"/>
    <n v="64"/>
    <n v="0"/>
    <n v="1"/>
    <n v="3"/>
  </r>
  <r>
    <x v="7446"/>
    <n v="-3"/>
    <n v="64"/>
    <n v="61"/>
    <n v="19"/>
    <n v="22"/>
    <x v="23"/>
    <n v="22"/>
    <n v="-3"/>
    <n v="61"/>
    <n v="0"/>
    <n v="1"/>
    <n v="3"/>
  </r>
  <r>
    <x v="7447"/>
    <n v="-3"/>
    <n v="61"/>
    <n v="58"/>
    <n v="22"/>
    <n v="21"/>
    <x v="33"/>
    <n v="21"/>
    <n v="-3"/>
    <n v="62"/>
    <n v="0"/>
    <n v="1"/>
    <n v="3"/>
  </r>
  <r>
    <x v="7448"/>
    <n v="-3"/>
    <n v="62"/>
    <n v="59"/>
    <n v="21"/>
    <n v="21"/>
    <x v="33"/>
    <n v="21"/>
    <n v="-3"/>
    <n v="62"/>
    <n v="0"/>
    <n v="1"/>
    <n v="3"/>
  </r>
  <r>
    <x v="7449"/>
    <n v="-3"/>
    <n v="62"/>
    <n v="59"/>
    <n v="21"/>
    <n v="19"/>
    <x v="8"/>
    <n v="22"/>
    <n v="-6"/>
    <n v="64"/>
    <n v="0"/>
    <n v="1"/>
    <n v="6"/>
  </r>
  <r>
    <x v="7450"/>
    <n v="-6"/>
    <n v="64"/>
    <n v="58"/>
    <n v="22"/>
    <n v="22"/>
    <x v="8"/>
    <n v="21"/>
    <n v="-5"/>
    <n v="64"/>
    <n v="0"/>
    <n v="1"/>
    <n v="5"/>
  </r>
  <r>
    <x v="7451"/>
    <n v="-5"/>
    <n v="64"/>
    <n v="59"/>
    <n v="21"/>
    <n v="21"/>
    <x v="8"/>
    <n v="31"/>
    <n v="-15"/>
    <n v="64"/>
    <n v="0"/>
    <n v="1"/>
    <n v="15"/>
  </r>
  <r>
    <x v="7452"/>
    <n v="-15"/>
    <n v="64"/>
    <n v="49"/>
    <n v="31"/>
    <n v="21"/>
    <x v="39"/>
    <n v="25"/>
    <n v="-19"/>
    <n v="74"/>
    <n v="0"/>
    <n v="1"/>
    <n v="19"/>
  </r>
  <r>
    <x v="7453"/>
    <n v="-19"/>
    <n v="74"/>
    <n v="55"/>
    <n v="25"/>
    <n v="22"/>
    <x v="18"/>
    <n v="16"/>
    <n v="-13"/>
    <n v="77"/>
    <n v="0"/>
    <n v="1"/>
    <n v="13"/>
  </r>
  <r>
    <x v="7454"/>
    <n v="-13"/>
    <n v="77"/>
    <n v="64"/>
    <n v="16"/>
    <n v="21"/>
    <x v="29"/>
    <n v="26"/>
    <n v="-18"/>
    <n v="72"/>
    <n v="0"/>
    <n v="1"/>
    <n v="18"/>
  </r>
  <r>
    <x v="7455"/>
    <n v="-18"/>
    <n v="72"/>
    <n v="54"/>
    <n v="26"/>
    <n v="31"/>
    <x v="21"/>
    <n v="15"/>
    <n v="-2"/>
    <n v="67"/>
    <n v="0"/>
    <n v="1"/>
    <n v="2"/>
  </r>
  <r>
    <x v="7456"/>
    <n v="-2"/>
    <n v="67"/>
    <n v="65"/>
    <n v="15"/>
    <n v="25"/>
    <x v="24"/>
    <n v="22"/>
    <n v="1"/>
    <n v="57"/>
    <n v="0.1"/>
    <n v="0"/>
    <n v="0"/>
  </r>
  <r>
    <x v="7457"/>
    <n v="1"/>
    <n v="57"/>
    <n v="58"/>
    <n v="22"/>
    <n v="16"/>
    <x v="22"/>
    <n v="17"/>
    <n v="0"/>
    <n v="63"/>
    <n v="0"/>
    <n v="0"/>
    <n v="0"/>
  </r>
  <r>
    <x v="7458"/>
    <n v="0"/>
    <n v="63"/>
    <n v="63"/>
    <n v="17"/>
    <n v="26"/>
    <x v="16"/>
    <n v="15"/>
    <n v="11"/>
    <n v="54"/>
    <n v="1.1000000000000001"/>
    <n v="0"/>
    <n v="0"/>
  </r>
  <r>
    <x v="7459"/>
    <n v="11"/>
    <n v="54"/>
    <n v="65"/>
    <n v="15"/>
    <n v="15"/>
    <x v="16"/>
    <n v="18"/>
    <n v="8"/>
    <n v="54"/>
    <n v="0.8"/>
    <n v="0"/>
    <n v="0"/>
  </r>
  <r>
    <x v="7460"/>
    <n v="8"/>
    <n v="54"/>
    <n v="62"/>
    <n v="18"/>
    <n v="22"/>
    <x v="13"/>
    <n v="14"/>
    <n v="16"/>
    <n v="50"/>
    <n v="1.6"/>
    <n v="0"/>
    <n v="0"/>
  </r>
  <r>
    <x v="7461"/>
    <n v="16"/>
    <n v="50"/>
    <n v="66"/>
    <n v="14"/>
    <n v="17"/>
    <x v="14"/>
    <n v="17"/>
    <n v="16"/>
    <n v="47"/>
    <n v="1.6"/>
    <n v="0"/>
    <n v="0"/>
  </r>
  <r>
    <x v="7462"/>
    <n v="16"/>
    <n v="47"/>
    <n v="63"/>
    <n v="17"/>
    <n v="15"/>
    <x v="10"/>
    <n v="14"/>
    <n v="17"/>
    <n v="49"/>
    <n v="1.7000000000000002"/>
    <n v="0"/>
    <n v="0"/>
  </r>
  <r>
    <x v="7463"/>
    <n v="17"/>
    <n v="49"/>
    <n v="66"/>
    <n v="14"/>
    <n v="18"/>
    <x v="11"/>
    <n v="15"/>
    <n v="20"/>
    <n v="45"/>
    <n v="2"/>
    <n v="0"/>
    <n v="0"/>
  </r>
  <r>
    <x v="7464"/>
    <n v="20"/>
    <n v="45"/>
    <n v="65"/>
    <n v="15"/>
    <n v="14"/>
    <x v="38"/>
    <n v="24"/>
    <n v="10"/>
    <n v="46"/>
    <n v="1"/>
    <n v="0"/>
    <n v="0"/>
  </r>
  <r>
    <x v="7465"/>
    <n v="10"/>
    <n v="46"/>
    <n v="56"/>
    <n v="24"/>
    <n v="17"/>
    <x v="12"/>
    <n v="16"/>
    <n v="11"/>
    <n v="53"/>
    <n v="1.1000000000000001"/>
    <n v="0"/>
    <n v="0"/>
  </r>
  <r>
    <x v="7466"/>
    <n v="11"/>
    <n v="53"/>
    <n v="64"/>
    <n v="16"/>
    <n v="14"/>
    <x v="27"/>
    <n v="23"/>
    <n v="2"/>
    <n v="55"/>
    <n v="0.2"/>
    <n v="0"/>
    <n v="0"/>
  </r>
  <r>
    <x v="7467"/>
    <n v="2"/>
    <n v="55"/>
    <n v="57"/>
    <n v="23"/>
    <n v="15"/>
    <x v="22"/>
    <n v="20"/>
    <n v="-3"/>
    <n v="63"/>
    <n v="0"/>
    <n v="1"/>
    <n v="3"/>
  </r>
  <r>
    <x v="7468"/>
    <n v="-3"/>
    <n v="63"/>
    <n v="60"/>
    <n v="20"/>
    <n v="24"/>
    <x v="5"/>
    <n v="22"/>
    <n v="-1"/>
    <n v="59"/>
    <n v="0"/>
    <n v="1"/>
    <n v="1"/>
  </r>
  <r>
    <x v="7469"/>
    <n v="-1"/>
    <n v="59"/>
    <n v="58"/>
    <n v="22"/>
    <n v="16"/>
    <x v="26"/>
    <n v="22"/>
    <n v="-7"/>
    <n v="65"/>
    <n v="0"/>
    <n v="1"/>
    <n v="7"/>
  </r>
  <r>
    <x v="7470"/>
    <n v="-7"/>
    <n v="65"/>
    <n v="58"/>
    <n v="22"/>
    <n v="23"/>
    <x v="8"/>
    <n v="19"/>
    <n v="-3"/>
    <n v="64"/>
    <n v="0"/>
    <n v="1"/>
    <n v="3"/>
  </r>
  <r>
    <x v="7471"/>
    <n v="-3"/>
    <n v="64"/>
    <n v="61"/>
    <n v="19"/>
    <n v="20"/>
    <x v="22"/>
    <n v="20"/>
    <n v="-3"/>
    <n v="63"/>
    <n v="0"/>
    <n v="1"/>
    <n v="3"/>
  </r>
  <r>
    <x v="7472"/>
    <n v="-3"/>
    <n v="63"/>
    <n v="60"/>
    <n v="20"/>
    <n v="22"/>
    <x v="23"/>
    <n v="15"/>
    <n v="4"/>
    <n v="61"/>
    <n v="0.4"/>
    <n v="0"/>
    <n v="0"/>
  </r>
  <r>
    <x v="7473"/>
    <n v="4"/>
    <n v="61"/>
    <n v="65"/>
    <n v="15"/>
    <n v="22"/>
    <x v="16"/>
    <n v="19"/>
    <n v="7"/>
    <n v="54"/>
    <n v="0.70000000000000007"/>
    <n v="0"/>
    <n v="0"/>
  </r>
  <r>
    <x v="7474"/>
    <n v="7"/>
    <n v="54"/>
    <n v="61"/>
    <n v="19"/>
    <n v="19"/>
    <x v="16"/>
    <n v="18"/>
    <n v="8"/>
    <n v="54"/>
    <n v="0.8"/>
    <n v="0"/>
    <n v="0"/>
  </r>
  <r>
    <x v="7475"/>
    <n v="8"/>
    <n v="54"/>
    <n v="62"/>
    <n v="18"/>
    <n v="20"/>
    <x v="25"/>
    <n v="24"/>
    <n v="4"/>
    <n v="52"/>
    <n v="0.4"/>
    <n v="0"/>
    <n v="0"/>
  </r>
  <r>
    <x v="7476"/>
    <n v="4"/>
    <n v="52"/>
    <n v="56"/>
    <n v="24"/>
    <n v="15"/>
    <x v="23"/>
    <n v="25"/>
    <n v="-6"/>
    <n v="61"/>
    <n v="0"/>
    <n v="1"/>
    <n v="6"/>
  </r>
  <r>
    <x v="7477"/>
    <n v="-6"/>
    <n v="61"/>
    <n v="55"/>
    <n v="25"/>
    <n v="19"/>
    <x v="21"/>
    <n v="15"/>
    <n v="-2"/>
    <n v="67"/>
    <n v="0"/>
    <n v="1"/>
    <n v="2"/>
  </r>
  <r>
    <x v="7478"/>
    <n v="-2"/>
    <n v="67"/>
    <n v="65"/>
    <n v="15"/>
    <n v="18"/>
    <x v="8"/>
    <n v="18"/>
    <n v="-2"/>
    <n v="64"/>
    <n v="0"/>
    <n v="1"/>
    <n v="2"/>
  </r>
  <r>
    <x v="7479"/>
    <n v="-2"/>
    <n v="64"/>
    <n v="62"/>
    <n v="18"/>
    <n v="24"/>
    <x v="28"/>
    <n v="22"/>
    <n v="0"/>
    <n v="58"/>
    <n v="0"/>
    <n v="0"/>
    <n v="0"/>
  </r>
  <r>
    <x v="7480"/>
    <n v="0"/>
    <n v="58"/>
    <n v="58"/>
    <n v="22"/>
    <n v="25"/>
    <x v="27"/>
    <n v="22"/>
    <n v="3"/>
    <n v="55"/>
    <n v="0.30000000000000004"/>
    <n v="0"/>
    <n v="0"/>
  </r>
  <r>
    <x v="7481"/>
    <n v="3"/>
    <n v="55"/>
    <n v="58"/>
    <n v="22"/>
    <n v="15"/>
    <x v="33"/>
    <n v="20"/>
    <n v="-2"/>
    <n v="62"/>
    <n v="0"/>
    <n v="1"/>
    <n v="2"/>
  </r>
  <r>
    <x v="7482"/>
    <n v="-2"/>
    <n v="62"/>
    <n v="60"/>
    <n v="20"/>
    <n v="18"/>
    <x v="8"/>
    <n v="18"/>
    <n v="-2"/>
    <n v="64"/>
    <n v="0"/>
    <n v="1"/>
    <n v="2"/>
  </r>
  <r>
    <x v="7483"/>
    <n v="-2"/>
    <n v="64"/>
    <n v="62"/>
    <n v="18"/>
    <n v="22"/>
    <x v="4"/>
    <n v="19"/>
    <n v="1"/>
    <n v="60"/>
    <n v="0.1"/>
    <n v="0"/>
    <n v="0"/>
  </r>
  <r>
    <x v="7484"/>
    <n v="1"/>
    <n v="60"/>
    <n v="61"/>
    <n v="19"/>
    <n v="22"/>
    <x v="24"/>
    <n v="22"/>
    <n v="1"/>
    <n v="57"/>
    <n v="0.1"/>
    <n v="0"/>
    <n v="0"/>
  </r>
  <r>
    <x v="7485"/>
    <n v="1"/>
    <n v="57"/>
    <n v="58"/>
    <n v="22"/>
    <n v="20"/>
    <x v="5"/>
    <n v="26"/>
    <n v="-5"/>
    <n v="59"/>
    <n v="0"/>
    <n v="1"/>
    <n v="5"/>
  </r>
  <r>
    <x v="7486"/>
    <n v="-5"/>
    <n v="59"/>
    <n v="54"/>
    <n v="26"/>
    <n v="18"/>
    <x v="21"/>
    <n v="20"/>
    <n v="-7"/>
    <n v="67"/>
    <n v="0"/>
    <n v="1"/>
    <n v="7"/>
  </r>
  <r>
    <x v="7487"/>
    <n v="-7"/>
    <n v="67"/>
    <n v="60"/>
    <n v="20"/>
    <n v="19"/>
    <x v="17"/>
    <n v="25"/>
    <n v="-13"/>
    <n v="68"/>
    <n v="0"/>
    <n v="1"/>
    <n v="13"/>
  </r>
  <r>
    <x v="7488"/>
    <n v="-13"/>
    <n v="68"/>
    <n v="55"/>
    <n v="25"/>
    <n v="22"/>
    <x v="20"/>
    <n v="15"/>
    <n v="-6"/>
    <n v="71"/>
    <n v="0"/>
    <n v="1"/>
    <n v="6"/>
  </r>
  <r>
    <x v="7489"/>
    <n v="-6"/>
    <n v="71"/>
    <n v="65"/>
    <n v="15"/>
    <n v="26"/>
    <x v="4"/>
    <n v="20"/>
    <n v="0"/>
    <n v="60"/>
    <n v="0"/>
    <n v="0"/>
    <n v="0"/>
  </r>
  <r>
    <x v="7490"/>
    <n v="0"/>
    <n v="60"/>
    <n v="60"/>
    <n v="20"/>
    <n v="20"/>
    <x v="4"/>
    <n v="19"/>
    <n v="1"/>
    <n v="60"/>
    <n v="0.1"/>
    <n v="0"/>
    <n v="0"/>
  </r>
  <r>
    <x v="7491"/>
    <n v="1"/>
    <n v="60"/>
    <n v="61"/>
    <n v="19"/>
    <n v="25"/>
    <x v="16"/>
    <n v="25"/>
    <n v="1"/>
    <n v="54"/>
    <n v="0.1"/>
    <n v="0"/>
    <n v="0"/>
  </r>
  <r>
    <x v="7492"/>
    <n v="1"/>
    <n v="54"/>
    <n v="55"/>
    <n v="25"/>
    <n v="15"/>
    <x v="8"/>
    <n v="17"/>
    <n v="-1"/>
    <n v="64"/>
    <n v="0"/>
    <n v="1"/>
    <n v="1"/>
  </r>
  <r>
    <x v="7493"/>
    <n v="-1"/>
    <n v="64"/>
    <n v="63"/>
    <n v="17"/>
    <n v="20"/>
    <x v="23"/>
    <n v="24"/>
    <n v="-5"/>
    <n v="61"/>
    <n v="0"/>
    <n v="1"/>
    <n v="5"/>
  </r>
  <r>
    <x v="7494"/>
    <n v="-5"/>
    <n v="61"/>
    <n v="56"/>
    <n v="24"/>
    <n v="19"/>
    <x v="7"/>
    <n v="17"/>
    <n v="-3"/>
    <n v="66"/>
    <n v="0"/>
    <n v="1"/>
    <n v="3"/>
  </r>
  <r>
    <x v="7495"/>
    <n v="-3"/>
    <n v="66"/>
    <n v="63"/>
    <n v="17"/>
    <n v="25"/>
    <x v="28"/>
    <n v="18"/>
    <n v="4"/>
    <n v="58"/>
    <n v="0.4"/>
    <n v="0"/>
    <n v="0"/>
  </r>
  <r>
    <x v="7496"/>
    <n v="4"/>
    <n v="58"/>
    <n v="62"/>
    <n v="18"/>
    <n v="17"/>
    <x v="5"/>
    <n v="20"/>
    <n v="1"/>
    <n v="59"/>
    <n v="0.1"/>
    <n v="0"/>
    <n v="0"/>
  </r>
  <r>
    <x v="7497"/>
    <n v="1"/>
    <n v="59"/>
    <n v="60"/>
    <n v="20"/>
    <n v="24"/>
    <x v="27"/>
    <n v="25"/>
    <n v="0"/>
    <n v="55"/>
    <n v="0"/>
    <n v="0"/>
    <n v="0"/>
  </r>
  <r>
    <x v="7498"/>
    <n v="0"/>
    <n v="55"/>
    <n v="55"/>
    <n v="25"/>
    <n v="17"/>
    <x v="22"/>
    <n v="23"/>
    <n v="-6"/>
    <n v="63"/>
    <n v="0"/>
    <n v="1"/>
    <n v="6"/>
  </r>
  <r>
    <x v="7499"/>
    <n v="-6"/>
    <n v="63"/>
    <n v="57"/>
    <n v="23"/>
    <n v="18"/>
    <x v="17"/>
    <n v="24"/>
    <n v="-12"/>
    <n v="68"/>
    <n v="0"/>
    <n v="1"/>
    <n v="12"/>
  </r>
  <r>
    <x v="7500"/>
    <n v="-12"/>
    <n v="68"/>
    <n v="56"/>
    <n v="24"/>
    <n v="20"/>
    <x v="29"/>
    <n v="25"/>
    <n v="-17"/>
    <n v="72"/>
    <n v="0"/>
    <n v="1"/>
    <n v="17"/>
  </r>
  <r>
    <x v="7501"/>
    <n v="-17"/>
    <n v="72"/>
    <n v="55"/>
    <n v="25"/>
    <n v="25"/>
    <x v="29"/>
    <n v="25"/>
    <n v="-17"/>
    <n v="72"/>
    <n v="0"/>
    <n v="1"/>
    <n v="17"/>
  </r>
  <r>
    <x v="7502"/>
    <n v="-17"/>
    <n v="72"/>
    <n v="55"/>
    <n v="25"/>
    <n v="23"/>
    <x v="39"/>
    <n v="12"/>
    <n v="-6"/>
    <n v="74"/>
    <n v="0"/>
    <n v="1"/>
    <n v="6"/>
  </r>
  <r>
    <x v="7503"/>
    <n v="-6"/>
    <n v="74"/>
    <n v="68"/>
    <n v="12"/>
    <n v="24"/>
    <x v="33"/>
    <n v="23"/>
    <n v="-5"/>
    <n v="62"/>
    <n v="0"/>
    <n v="1"/>
    <n v="5"/>
  </r>
  <r>
    <x v="7504"/>
    <n v="-5"/>
    <n v="62"/>
    <n v="57"/>
    <n v="23"/>
    <n v="25"/>
    <x v="4"/>
    <n v="17"/>
    <n v="3"/>
    <n v="60"/>
    <n v="0.30000000000000004"/>
    <n v="0"/>
    <n v="0"/>
  </r>
  <r>
    <x v="7505"/>
    <n v="3"/>
    <n v="60"/>
    <n v="63"/>
    <n v="17"/>
    <n v="25"/>
    <x v="25"/>
    <n v="21"/>
    <n v="7"/>
    <n v="52"/>
    <n v="0.70000000000000007"/>
    <n v="0"/>
    <n v="0"/>
  </r>
  <r>
    <x v="7506"/>
    <n v="7"/>
    <n v="52"/>
    <n v="59"/>
    <n v="21"/>
    <n v="12"/>
    <x v="23"/>
    <n v="21"/>
    <n v="-2"/>
    <n v="61"/>
    <n v="0"/>
    <n v="1"/>
    <n v="2"/>
  </r>
  <r>
    <x v="7507"/>
    <n v="-2"/>
    <n v="61"/>
    <n v="59"/>
    <n v="21"/>
    <n v="23"/>
    <x v="5"/>
    <n v="16"/>
    <n v="5"/>
    <n v="59"/>
    <n v="0.5"/>
    <n v="0"/>
    <n v="0"/>
  </r>
  <r>
    <x v="7508"/>
    <n v="5"/>
    <n v="59"/>
    <n v="64"/>
    <n v="16"/>
    <n v="17"/>
    <x v="28"/>
    <n v="22"/>
    <n v="0"/>
    <n v="58"/>
    <n v="0"/>
    <n v="0"/>
    <n v="0"/>
  </r>
  <r>
    <x v="7509"/>
    <n v="0"/>
    <n v="58"/>
    <n v="58"/>
    <n v="22"/>
    <n v="21"/>
    <x v="5"/>
    <n v="22"/>
    <n v="-1"/>
    <n v="59"/>
    <n v="0"/>
    <n v="1"/>
    <n v="1"/>
  </r>
  <r>
    <x v="7510"/>
    <n v="-1"/>
    <n v="59"/>
    <n v="58"/>
    <n v="22"/>
    <n v="21"/>
    <x v="4"/>
    <n v="23"/>
    <n v="-3"/>
    <n v="60"/>
    <n v="0"/>
    <n v="1"/>
    <n v="3"/>
  </r>
  <r>
    <x v="7511"/>
    <n v="-3"/>
    <n v="60"/>
    <n v="57"/>
    <n v="23"/>
    <n v="16"/>
    <x v="21"/>
    <n v="22"/>
    <n v="-9"/>
    <n v="67"/>
    <n v="0"/>
    <n v="1"/>
    <n v="9"/>
  </r>
  <r>
    <x v="7512"/>
    <n v="-9"/>
    <n v="67"/>
    <n v="58"/>
    <n v="22"/>
    <n v="22"/>
    <x v="21"/>
    <n v="21"/>
    <n v="-8"/>
    <n v="67"/>
    <n v="0"/>
    <n v="1"/>
    <n v="8"/>
  </r>
  <r>
    <x v="7513"/>
    <n v="-8"/>
    <n v="67"/>
    <n v="59"/>
    <n v="21"/>
    <n v="22"/>
    <x v="7"/>
    <n v="25"/>
    <n v="-11"/>
    <n v="66"/>
    <n v="0"/>
    <n v="1"/>
    <n v="11"/>
  </r>
  <r>
    <x v="7514"/>
    <n v="-11"/>
    <n v="66"/>
    <n v="55"/>
    <n v="25"/>
    <n v="23"/>
    <x v="17"/>
    <n v="20"/>
    <n v="-8"/>
    <n v="68"/>
    <n v="0"/>
    <n v="1"/>
    <n v="8"/>
  </r>
  <r>
    <x v="7515"/>
    <n v="-8"/>
    <n v="68"/>
    <n v="60"/>
    <n v="20"/>
    <n v="22"/>
    <x v="7"/>
    <n v="22"/>
    <n v="-8"/>
    <n v="66"/>
    <n v="0"/>
    <n v="1"/>
    <n v="8"/>
  </r>
  <r>
    <x v="7516"/>
    <n v="-8"/>
    <n v="66"/>
    <n v="58"/>
    <n v="22"/>
    <n v="21"/>
    <x v="21"/>
    <n v="17"/>
    <n v="-4"/>
    <n v="67"/>
    <n v="0"/>
    <n v="1"/>
    <n v="4"/>
  </r>
  <r>
    <x v="7517"/>
    <n v="-4"/>
    <n v="67"/>
    <n v="63"/>
    <n v="17"/>
    <n v="25"/>
    <x v="5"/>
    <n v="23"/>
    <n v="-2"/>
    <n v="59"/>
    <n v="0"/>
    <n v="1"/>
    <n v="2"/>
  </r>
  <r>
    <x v="7518"/>
    <n v="-2"/>
    <n v="59"/>
    <n v="57"/>
    <n v="23"/>
    <n v="20"/>
    <x v="33"/>
    <n v="24"/>
    <n v="-6"/>
    <n v="62"/>
    <n v="0"/>
    <n v="1"/>
    <n v="6"/>
  </r>
  <r>
    <x v="7519"/>
    <n v="-6"/>
    <n v="62"/>
    <n v="56"/>
    <n v="24"/>
    <n v="22"/>
    <x v="8"/>
    <n v="16"/>
    <n v="0"/>
    <n v="64"/>
    <n v="0"/>
    <n v="0"/>
    <n v="0"/>
  </r>
  <r>
    <x v="7520"/>
    <n v="0"/>
    <n v="64"/>
    <n v="64"/>
    <n v="16"/>
    <n v="17"/>
    <x v="22"/>
    <n v="18"/>
    <n v="-1"/>
    <n v="63"/>
    <n v="0"/>
    <n v="1"/>
    <n v="1"/>
  </r>
  <r>
    <x v="7521"/>
    <n v="-1"/>
    <n v="63"/>
    <n v="62"/>
    <n v="18"/>
    <n v="23"/>
    <x v="28"/>
    <n v="12"/>
    <n v="10"/>
    <n v="58"/>
    <n v="1"/>
    <n v="0"/>
    <n v="0"/>
  </r>
  <r>
    <x v="7522"/>
    <n v="10"/>
    <n v="58"/>
    <n v="68"/>
    <n v="12"/>
    <n v="24"/>
    <x v="38"/>
    <n v="17"/>
    <n v="17"/>
    <n v="46"/>
    <n v="1.7000000000000002"/>
    <n v="0"/>
    <n v="0"/>
  </r>
  <r>
    <x v="7523"/>
    <n v="17"/>
    <n v="46"/>
    <n v="63"/>
    <n v="17"/>
    <n v="16"/>
    <x v="14"/>
    <n v="24"/>
    <n v="9"/>
    <n v="47"/>
    <n v="0.9"/>
    <n v="0"/>
    <n v="0"/>
  </r>
  <r>
    <x v="7524"/>
    <n v="9"/>
    <n v="47"/>
    <n v="56"/>
    <n v="24"/>
    <n v="18"/>
    <x v="12"/>
    <n v="12"/>
    <n v="15"/>
    <n v="53"/>
    <n v="1.5"/>
    <n v="0"/>
    <n v="0"/>
  </r>
  <r>
    <x v="7525"/>
    <n v="15"/>
    <n v="53"/>
    <n v="68"/>
    <n v="12"/>
    <n v="12"/>
    <x v="12"/>
    <n v="23"/>
    <n v="4"/>
    <n v="53"/>
    <n v="0.4"/>
    <n v="0"/>
    <n v="0"/>
  </r>
  <r>
    <x v="7526"/>
    <n v="4"/>
    <n v="53"/>
    <n v="57"/>
    <n v="23"/>
    <n v="17"/>
    <x v="5"/>
    <n v="19"/>
    <n v="2"/>
    <n v="59"/>
    <n v="0.2"/>
    <n v="0"/>
    <n v="0"/>
  </r>
  <r>
    <x v="7527"/>
    <n v="2"/>
    <n v="59"/>
    <n v="61"/>
    <n v="19"/>
    <n v="24"/>
    <x v="16"/>
    <n v="27"/>
    <n v="-1"/>
    <n v="54"/>
    <n v="0"/>
    <n v="1"/>
    <n v="1"/>
  </r>
  <r>
    <x v="7528"/>
    <n v="-1"/>
    <n v="54"/>
    <n v="53"/>
    <n v="27"/>
    <n v="12"/>
    <x v="30"/>
    <n v="24"/>
    <n v="-13"/>
    <n v="69"/>
    <n v="0"/>
    <n v="1"/>
    <n v="13"/>
  </r>
  <r>
    <x v="7529"/>
    <n v="-13"/>
    <n v="69"/>
    <n v="56"/>
    <n v="24"/>
    <n v="23"/>
    <x v="6"/>
    <n v="14"/>
    <n v="-4"/>
    <n v="70"/>
    <n v="0"/>
    <n v="1"/>
    <n v="4"/>
  </r>
  <r>
    <x v="7530"/>
    <n v="-4"/>
    <n v="70"/>
    <n v="66"/>
    <n v="14"/>
    <n v="19"/>
    <x v="26"/>
    <n v="11"/>
    <n v="4"/>
    <n v="65"/>
    <n v="0.4"/>
    <n v="0"/>
    <n v="0"/>
  </r>
  <r>
    <x v="7531"/>
    <n v="4"/>
    <n v="65"/>
    <n v="69"/>
    <n v="11"/>
    <n v="27"/>
    <x v="10"/>
    <n v="20"/>
    <n v="11"/>
    <n v="49"/>
    <n v="1.1000000000000001"/>
    <n v="0"/>
    <n v="0"/>
  </r>
  <r>
    <x v="7532"/>
    <n v="11"/>
    <n v="49"/>
    <n v="60"/>
    <n v="20"/>
    <n v="24"/>
    <x v="11"/>
    <n v="19"/>
    <n v="16"/>
    <n v="45"/>
    <n v="1.6"/>
    <n v="0"/>
    <n v="0"/>
  </r>
  <r>
    <x v="7533"/>
    <n v="16"/>
    <n v="45"/>
    <n v="61"/>
    <n v="19"/>
    <n v="14"/>
    <x v="13"/>
    <n v="23"/>
    <n v="7"/>
    <n v="50"/>
    <n v="0.70000000000000007"/>
    <n v="0"/>
    <n v="0"/>
  </r>
  <r>
    <x v="7534"/>
    <n v="7"/>
    <n v="50"/>
    <n v="57"/>
    <n v="23"/>
    <n v="11"/>
    <x v="33"/>
    <n v="22"/>
    <n v="-4"/>
    <n v="62"/>
    <n v="0"/>
    <n v="1"/>
    <n v="4"/>
  </r>
  <r>
    <x v="7535"/>
    <n v="-4"/>
    <n v="62"/>
    <n v="58"/>
    <n v="22"/>
    <n v="20"/>
    <x v="8"/>
    <n v="21"/>
    <n v="-5"/>
    <n v="64"/>
    <n v="0"/>
    <n v="1"/>
    <n v="5"/>
  </r>
  <r>
    <x v="7536"/>
    <n v="-5"/>
    <n v="64"/>
    <n v="59"/>
    <n v="21"/>
    <n v="19"/>
    <x v="7"/>
    <n v="17"/>
    <n v="-3"/>
    <n v="66"/>
    <n v="0"/>
    <n v="1"/>
    <n v="3"/>
  </r>
  <r>
    <x v="7537"/>
    <n v="-3"/>
    <n v="66"/>
    <n v="63"/>
    <n v="17"/>
    <n v="23"/>
    <x v="4"/>
    <n v="21"/>
    <n v="-1"/>
    <n v="60"/>
    <n v="0"/>
    <n v="1"/>
    <n v="1"/>
  </r>
  <r>
    <x v="7538"/>
    <n v="-1"/>
    <n v="60"/>
    <n v="59"/>
    <n v="21"/>
    <n v="22"/>
    <x v="5"/>
    <n v="21"/>
    <n v="0"/>
    <n v="59"/>
    <n v="0"/>
    <n v="0"/>
    <n v="0"/>
  </r>
  <r>
    <x v="7539"/>
    <n v="0"/>
    <n v="59"/>
    <n v="59"/>
    <n v="21"/>
    <n v="21"/>
    <x v="5"/>
    <n v="17"/>
    <n v="4"/>
    <n v="59"/>
    <n v="0.4"/>
    <n v="0"/>
    <n v="0"/>
  </r>
  <r>
    <x v="7540"/>
    <n v="4"/>
    <n v="59"/>
    <n v="63"/>
    <n v="17"/>
    <n v="17"/>
    <x v="5"/>
    <n v="24"/>
    <n v="-3"/>
    <n v="59"/>
    <n v="0"/>
    <n v="1"/>
    <n v="3"/>
  </r>
  <r>
    <x v="7541"/>
    <n v="-3"/>
    <n v="59"/>
    <n v="56"/>
    <n v="24"/>
    <n v="21"/>
    <x v="33"/>
    <n v="20"/>
    <n v="-2"/>
    <n v="62"/>
    <n v="0"/>
    <n v="1"/>
    <n v="2"/>
  </r>
  <r>
    <x v="7542"/>
    <n v="-2"/>
    <n v="62"/>
    <n v="60"/>
    <n v="20"/>
    <n v="21"/>
    <x v="23"/>
    <n v="20"/>
    <n v="-1"/>
    <n v="61"/>
    <n v="0"/>
    <n v="1"/>
    <n v="1"/>
  </r>
  <r>
    <x v="7543"/>
    <n v="-1"/>
    <n v="61"/>
    <n v="60"/>
    <n v="20"/>
    <n v="17"/>
    <x v="8"/>
    <n v="19"/>
    <n v="-3"/>
    <n v="64"/>
    <n v="0"/>
    <n v="1"/>
    <n v="3"/>
  </r>
  <r>
    <x v="7544"/>
    <n v="-3"/>
    <n v="64"/>
    <n v="61"/>
    <n v="19"/>
    <n v="24"/>
    <x v="5"/>
    <n v="29"/>
    <n v="-8"/>
    <n v="59"/>
    <n v="0"/>
    <n v="1"/>
    <n v="8"/>
  </r>
  <r>
    <x v="7545"/>
    <n v="-8"/>
    <n v="59"/>
    <n v="51"/>
    <n v="29"/>
    <n v="20"/>
    <x v="17"/>
    <n v="21"/>
    <n v="-9"/>
    <n v="68"/>
    <n v="0"/>
    <n v="1"/>
    <n v="9"/>
  </r>
  <r>
    <x v="7546"/>
    <n v="-9"/>
    <n v="68"/>
    <n v="59"/>
    <n v="21"/>
    <n v="20"/>
    <x v="30"/>
    <n v="27"/>
    <n v="-16"/>
    <n v="69"/>
    <n v="0"/>
    <n v="1"/>
    <n v="16"/>
  </r>
  <r>
    <x v="7547"/>
    <n v="-16"/>
    <n v="69"/>
    <n v="53"/>
    <n v="27"/>
    <n v="19"/>
    <x v="18"/>
    <n v="23"/>
    <n v="-20"/>
    <n v="77"/>
    <n v="0"/>
    <n v="1"/>
    <n v="20"/>
  </r>
  <r>
    <x v="7548"/>
    <n v="-20"/>
    <n v="77"/>
    <n v="57"/>
    <n v="23"/>
    <n v="29"/>
    <x v="20"/>
    <n v="24"/>
    <n v="-15"/>
    <n v="71"/>
    <n v="0"/>
    <n v="1"/>
    <n v="15"/>
  </r>
  <r>
    <x v="7549"/>
    <n v="-15"/>
    <n v="71"/>
    <n v="56"/>
    <n v="24"/>
    <n v="21"/>
    <x v="39"/>
    <n v="13"/>
    <n v="-7"/>
    <n v="74"/>
    <n v="0"/>
    <n v="1"/>
    <n v="7"/>
  </r>
  <r>
    <x v="7550"/>
    <n v="-7"/>
    <n v="74"/>
    <n v="67"/>
    <n v="13"/>
    <n v="27"/>
    <x v="4"/>
    <n v="24"/>
    <n v="-4"/>
    <n v="60"/>
    <n v="0"/>
    <n v="1"/>
    <n v="4"/>
  </r>
  <r>
    <x v="7551"/>
    <n v="-4"/>
    <n v="60"/>
    <n v="56"/>
    <n v="24"/>
    <n v="23"/>
    <x v="23"/>
    <n v="23"/>
    <n v="-4"/>
    <n v="61"/>
    <n v="0"/>
    <n v="1"/>
    <n v="4"/>
  </r>
  <r>
    <x v="7552"/>
    <n v="-4"/>
    <n v="61"/>
    <n v="57"/>
    <n v="23"/>
    <n v="24"/>
    <x v="4"/>
    <n v="19"/>
    <n v="1"/>
    <n v="60"/>
    <n v="0.1"/>
    <n v="0"/>
    <n v="0"/>
  </r>
  <r>
    <x v="7553"/>
    <n v="1"/>
    <n v="60"/>
    <n v="61"/>
    <n v="19"/>
    <n v="13"/>
    <x v="7"/>
    <n v="25"/>
    <n v="-11"/>
    <n v="66"/>
    <n v="0"/>
    <n v="1"/>
    <n v="11"/>
  </r>
  <r>
    <x v="7554"/>
    <n v="-11"/>
    <n v="66"/>
    <n v="55"/>
    <n v="25"/>
    <n v="24"/>
    <x v="21"/>
    <n v="26"/>
    <n v="-13"/>
    <n v="67"/>
    <n v="0"/>
    <n v="1"/>
    <n v="13"/>
  </r>
  <r>
    <x v="7555"/>
    <n v="-13"/>
    <n v="67"/>
    <n v="54"/>
    <n v="26"/>
    <n v="23"/>
    <x v="6"/>
    <n v="14"/>
    <n v="-4"/>
    <n v="70"/>
    <n v="0"/>
    <n v="1"/>
    <n v="4"/>
  </r>
  <r>
    <x v="7556"/>
    <n v="-4"/>
    <n v="70"/>
    <n v="66"/>
    <n v="14"/>
    <n v="19"/>
    <x v="26"/>
    <n v="14"/>
    <n v="1"/>
    <n v="65"/>
    <n v="0.1"/>
    <n v="0"/>
    <n v="0"/>
  </r>
  <r>
    <x v="7557"/>
    <n v="1"/>
    <n v="65"/>
    <n v="66"/>
    <n v="14"/>
    <n v="25"/>
    <x v="16"/>
    <n v="18"/>
    <n v="8"/>
    <n v="54"/>
    <n v="0.8"/>
    <n v="0"/>
    <n v="0"/>
  </r>
  <r>
    <x v="7558"/>
    <n v="8"/>
    <n v="54"/>
    <n v="62"/>
    <n v="18"/>
    <n v="26"/>
    <x v="38"/>
    <n v="17"/>
    <n v="17"/>
    <n v="46"/>
    <n v="1.7000000000000002"/>
    <n v="0"/>
    <n v="0"/>
  </r>
  <r>
    <x v="7559"/>
    <n v="17"/>
    <n v="46"/>
    <n v="63"/>
    <n v="17"/>
    <n v="14"/>
    <x v="10"/>
    <n v="14"/>
    <n v="17"/>
    <n v="49"/>
    <n v="1.7000000000000002"/>
    <n v="0"/>
    <n v="0"/>
  </r>
  <r>
    <x v="7560"/>
    <n v="17"/>
    <n v="49"/>
    <n v="66"/>
    <n v="14"/>
    <n v="14"/>
    <x v="10"/>
    <n v="28"/>
    <n v="3"/>
    <n v="49"/>
    <n v="0.30000000000000004"/>
    <n v="0"/>
    <n v="0"/>
  </r>
  <r>
    <x v="7561"/>
    <n v="3"/>
    <n v="49"/>
    <n v="52"/>
    <n v="28"/>
    <n v="18"/>
    <x v="5"/>
    <n v="28"/>
    <n v="-7"/>
    <n v="59"/>
    <n v="0"/>
    <n v="1"/>
    <n v="7"/>
  </r>
  <r>
    <x v="7562"/>
    <n v="-7"/>
    <n v="59"/>
    <n v="52"/>
    <n v="28"/>
    <n v="17"/>
    <x v="6"/>
    <n v="20"/>
    <n v="-10"/>
    <n v="70"/>
    <n v="0"/>
    <n v="1"/>
    <n v="10"/>
  </r>
  <r>
    <x v="7563"/>
    <n v="-10"/>
    <n v="70"/>
    <n v="60"/>
    <n v="20"/>
    <n v="14"/>
    <x v="37"/>
    <n v="22"/>
    <n v="-18"/>
    <n v="76"/>
    <n v="0"/>
    <n v="1"/>
    <n v="18"/>
  </r>
  <r>
    <x v="7564"/>
    <n v="-18"/>
    <n v="76"/>
    <n v="58"/>
    <n v="22"/>
    <n v="28"/>
    <x v="6"/>
    <n v="21"/>
    <n v="-11"/>
    <n v="70"/>
    <n v="0"/>
    <n v="1"/>
    <n v="11"/>
  </r>
  <r>
    <x v="7565"/>
    <n v="-11"/>
    <n v="70"/>
    <n v="59"/>
    <n v="21"/>
    <n v="28"/>
    <x v="22"/>
    <n v="12"/>
    <n v="5"/>
    <n v="63"/>
    <n v="0.5"/>
    <n v="0"/>
    <n v="0"/>
  </r>
  <r>
    <x v="7566"/>
    <n v="5"/>
    <n v="63"/>
    <n v="68"/>
    <n v="12"/>
    <n v="20"/>
    <x v="27"/>
    <n v="17"/>
    <n v="8"/>
    <n v="55"/>
    <n v="0.8"/>
    <n v="0"/>
    <n v="0"/>
  </r>
  <r>
    <x v="7567"/>
    <n v="8"/>
    <n v="55"/>
    <n v="63"/>
    <n v="17"/>
    <n v="22"/>
    <x v="13"/>
    <n v="14"/>
    <n v="16"/>
    <n v="50"/>
    <n v="1.6"/>
    <n v="0"/>
    <n v="0"/>
  </r>
  <r>
    <x v="7568"/>
    <n v="16"/>
    <n v="50"/>
    <n v="66"/>
    <n v="14"/>
    <n v="21"/>
    <x v="51"/>
    <n v="17"/>
    <n v="20"/>
    <n v="43"/>
    <n v="2"/>
    <n v="0"/>
    <n v="0"/>
  </r>
  <r>
    <x v="7569"/>
    <n v="20"/>
    <n v="43"/>
    <n v="63"/>
    <n v="17"/>
    <n v="12"/>
    <x v="15"/>
    <n v="23"/>
    <n v="9"/>
    <n v="48"/>
    <n v="0.9"/>
    <n v="0"/>
    <n v="0"/>
  </r>
  <r>
    <x v="7570"/>
    <n v="9"/>
    <n v="48"/>
    <n v="57"/>
    <n v="23"/>
    <n v="17"/>
    <x v="16"/>
    <n v="17"/>
    <n v="9"/>
    <n v="54"/>
    <n v="0.9"/>
    <n v="0"/>
    <n v="0"/>
  </r>
  <r>
    <x v="7571"/>
    <n v="9"/>
    <n v="54"/>
    <n v="63"/>
    <n v="17"/>
    <n v="14"/>
    <x v="24"/>
    <n v="21"/>
    <n v="2"/>
    <n v="57"/>
    <n v="0.2"/>
    <n v="0"/>
    <n v="0"/>
  </r>
  <r>
    <x v="7572"/>
    <n v="2"/>
    <n v="57"/>
    <n v="59"/>
    <n v="21"/>
    <n v="17"/>
    <x v="23"/>
    <n v="19"/>
    <n v="0"/>
    <n v="61"/>
    <n v="0"/>
    <n v="0"/>
    <n v="0"/>
  </r>
  <r>
    <x v="7573"/>
    <n v="0"/>
    <n v="61"/>
    <n v="61"/>
    <n v="19"/>
    <n v="23"/>
    <x v="24"/>
    <n v="30"/>
    <n v="-7"/>
    <n v="57"/>
    <n v="0"/>
    <n v="1"/>
    <n v="7"/>
  </r>
  <r>
    <x v="7574"/>
    <n v="-7"/>
    <n v="57"/>
    <n v="50"/>
    <n v="30"/>
    <n v="17"/>
    <x v="6"/>
    <n v="22"/>
    <n v="-12"/>
    <n v="70"/>
    <n v="0"/>
    <n v="1"/>
    <n v="12"/>
  </r>
  <r>
    <x v="7575"/>
    <n v="-12"/>
    <n v="70"/>
    <n v="58"/>
    <n v="22"/>
    <n v="21"/>
    <x v="20"/>
    <n v="27"/>
    <n v="-18"/>
    <n v="71"/>
    <n v="0"/>
    <n v="1"/>
    <n v="18"/>
  </r>
  <r>
    <x v="7576"/>
    <n v="-18"/>
    <n v="71"/>
    <n v="53"/>
    <n v="27"/>
    <n v="19"/>
    <x v="43"/>
    <n v="17"/>
    <n v="-16"/>
    <n v="79"/>
    <n v="0"/>
    <n v="1"/>
    <n v="16"/>
  </r>
  <r>
    <x v="7577"/>
    <n v="-16"/>
    <n v="79"/>
    <n v="63"/>
    <n v="17"/>
    <n v="30"/>
    <x v="7"/>
    <n v="21"/>
    <n v="-7"/>
    <n v="66"/>
    <n v="0"/>
    <n v="1"/>
    <n v="7"/>
  </r>
  <r>
    <x v="7578"/>
    <n v="-7"/>
    <n v="66"/>
    <n v="59"/>
    <n v="21"/>
    <n v="22"/>
    <x v="26"/>
    <n v="16"/>
    <n v="-1"/>
    <n v="65"/>
    <n v="0"/>
    <n v="1"/>
    <n v="1"/>
  </r>
  <r>
    <x v="7579"/>
    <n v="-1"/>
    <n v="65"/>
    <n v="64"/>
    <n v="16"/>
    <n v="27"/>
    <x v="16"/>
    <n v="26"/>
    <n v="0"/>
    <n v="54"/>
    <n v="0"/>
    <n v="0"/>
    <n v="0"/>
  </r>
  <r>
    <x v="7580"/>
    <n v="0"/>
    <n v="54"/>
    <n v="54"/>
    <n v="26"/>
    <n v="17"/>
    <x v="22"/>
    <n v="13"/>
    <n v="4"/>
    <n v="63"/>
    <n v="0.4"/>
    <n v="0"/>
    <n v="0"/>
  </r>
  <r>
    <x v="7581"/>
    <n v="4"/>
    <n v="63"/>
    <n v="67"/>
    <n v="13"/>
    <n v="21"/>
    <x v="27"/>
    <n v="21"/>
    <n v="4"/>
    <n v="55"/>
    <n v="0.4"/>
    <n v="0"/>
    <n v="0"/>
  </r>
  <r>
    <x v="7582"/>
    <n v="4"/>
    <n v="55"/>
    <n v="59"/>
    <n v="21"/>
    <n v="16"/>
    <x v="4"/>
    <n v="20"/>
    <n v="0"/>
    <n v="60"/>
    <n v="0"/>
    <n v="0"/>
    <n v="0"/>
  </r>
  <r>
    <x v="7583"/>
    <n v="0"/>
    <n v="60"/>
    <n v="60"/>
    <n v="20"/>
    <n v="26"/>
    <x v="16"/>
    <n v="27"/>
    <n v="-1"/>
    <n v="54"/>
    <n v="0"/>
    <n v="1"/>
    <n v="1"/>
  </r>
  <r>
    <x v="7584"/>
    <n v="-1"/>
    <n v="54"/>
    <n v="53"/>
    <n v="27"/>
    <n v="13"/>
    <x v="17"/>
    <n v="29"/>
    <n v="-17"/>
    <n v="68"/>
    <n v="0"/>
    <n v="1"/>
    <n v="17"/>
  </r>
  <r>
    <x v="7585"/>
    <n v="-17"/>
    <n v="68"/>
    <n v="51"/>
    <n v="29"/>
    <n v="21"/>
    <x v="37"/>
    <n v="16"/>
    <n v="-12"/>
    <n v="76"/>
    <n v="0"/>
    <n v="1"/>
    <n v="12"/>
  </r>
  <r>
    <x v="7586"/>
    <n v="-12"/>
    <n v="76"/>
    <n v="64"/>
    <n v="16"/>
    <n v="20"/>
    <x v="29"/>
    <n v="20"/>
    <n v="-12"/>
    <n v="72"/>
    <n v="0"/>
    <n v="1"/>
    <n v="12"/>
  </r>
  <r>
    <x v="7587"/>
    <n v="-12"/>
    <n v="72"/>
    <n v="60"/>
    <n v="20"/>
    <n v="27"/>
    <x v="26"/>
    <n v="22"/>
    <n v="-7"/>
    <n v="65"/>
    <n v="0"/>
    <n v="1"/>
    <n v="7"/>
  </r>
  <r>
    <x v="7588"/>
    <n v="-7"/>
    <n v="65"/>
    <n v="58"/>
    <n v="22"/>
    <n v="29"/>
    <x v="28"/>
    <n v="12"/>
    <n v="10"/>
    <n v="58"/>
    <n v="1"/>
    <n v="0"/>
    <n v="0"/>
  </r>
  <r>
    <x v="7589"/>
    <n v="10"/>
    <n v="58"/>
    <n v="68"/>
    <n v="12"/>
    <n v="16"/>
    <x v="16"/>
    <n v="22"/>
    <n v="4"/>
    <n v="54"/>
    <n v="0.4"/>
    <n v="0"/>
    <n v="0"/>
  </r>
  <r>
    <x v="7590"/>
    <n v="4"/>
    <n v="54"/>
    <n v="58"/>
    <n v="22"/>
    <n v="20"/>
    <x v="32"/>
    <n v="20"/>
    <n v="4"/>
    <n v="56"/>
    <n v="0.4"/>
    <n v="0"/>
    <n v="0"/>
  </r>
  <r>
    <x v="7591"/>
    <n v="4"/>
    <n v="56"/>
    <n v="60"/>
    <n v="20"/>
    <n v="22"/>
    <x v="16"/>
    <n v="17"/>
    <n v="9"/>
    <n v="54"/>
    <n v="0.9"/>
    <n v="0"/>
    <n v="0"/>
  </r>
  <r>
    <x v="7592"/>
    <n v="9"/>
    <n v="54"/>
    <n v="63"/>
    <n v="17"/>
    <n v="12"/>
    <x v="5"/>
    <n v="20"/>
    <n v="1"/>
    <n v="59"/>
    <n v="0.1"/>
    <n v="0"/>
    <n v="0"/>
  </r>
  <r>
    <x v="7593"/>
    <n v="1"/>
    <n v="59"/>
    <n v="60"/>
    <n v="20"/>
    <n v="22"/>
    <x v="24"/>
    <n v="23"/>
    <n v="0"/>
    <n v="57"/>
    <n v="0"/>
    <n v="0"/>
    <n v="0"/>
  </r>
  <r>
    <x v="7594"/>
    <n v="0"/>
    <n v="57"/>
    <n v="57"/>
    <n v="23"/>
    <n v="20"/>
    <x v="4"/>
    <n v="19"/>
    <n v="1"/>
    <n v="60"/>
    <n v="0.1"/>
    <n v="0"/>
    <n v="0"/>
  </r>
  <r>
    <x v="7595"/>
    <n v="1"/>
    <n v="60"/>
    <n v="61"/>
    <n v="19"/>
    <n v="17"/>
    <x v="33"/>
    <n v="27"/>
    <n v="-9"/>
    <n v="62"/>
    <n v="0"/>
    <n v="1"/>
    <n v="9"/>
  </r>
  <r>
    <x v="7596"/>
    <n v="-9"/>
    <n v="62"/>
    <n v="53"/>
    <n v="27"/>
    <n v="20"/>
    <x v="30"/>
    <n v="18"/>
    <n v="-7"/>
    <n v="69"/>
    <n v="0"/>
    <n v="1"/>
    <n v="7"/>
  </r>
  <r>
    <x v="7597"/>
    <n v="-7"/>
    <n v="69"/>
    <n v="62"/>
    <n v="18"/>
    <n v="23"/>
    <x v="8"/>
    <n v="25"/>
    <n v="-9"/>
    <n v="64"/>
    <n v="0"/>
    <n v="1"/>
    <n v="9"/>
  </r>
  <r>
    <x v="7598"/>
    <n v="-9"/>
    <n v="64"/>
    <n v="55"/>
    <n v="25"/>
    <n v="19"/>
    <x v="6"/>
    <n v="13"/>
    <n v="-3"/>
    <n v="70"/>
    <n v="0"/>
    <n v="1"/>
    <n v="3"/>
  </r>
  <r>
    <x v="7599"/>
    <n v="-3"/>
    <n v="70"/>
    <n v="67"/>
    <n v="13"/>
    <n v="27"/>
    <x v="32"/>
    <n v="20"/>
    <n v="4"/>
    <n v="56"/>
    <n v="0.4"/>
    <n v="0"/>
    <n v="0"/>
  </r>
  <r>
    <x v="7600"/>
    <n v="4"/>
    <n v="56"/>
    <n v="60"/>
    <n v="20"/>
    <n v="18"/>
    <x v="28"/>
    <n v="21"/>
    <n v="1"/>
    <n v="58"/>
    <n v="0.1"/>
    <n v="0"/>
    <n v="0"/>
  </r>
  <r>
    <x v="7601"/>
    <n v="1"/>
    <n v="58"/>
    <n v="59"/>
    <n v="21"/>
    <n v="25"/>
    <x v="16"/>
    <n v="8"/>
    <n v="18"/>
    <n v="54"/>
    <n v="1.8"/>
    <n v="0"/>
    <n v="0"/>
  </r>
  <r>
    <x v="7602"/>
    <n v="18"/>
    <n v="54"/>
    <n v="72"/>
    <n v="8"/>
    <n v="13"/>
    <x v="10"/>
    <n v="12"/>
    <n v="19"/>
    <n v="49"/>
    <n v="1.9000000000000001"/>
    <n v="0"/>
    <n v="0"/>
  </r>
  <r>
    <x v="7603"/>
    <n v="19"/>
    <n v="49"/>
    <n v="68"/>
    <n v="12"/>
    <n v="20"/>
    <x v="52"/>
    <n v="24"/>
    <n v="15"/>
    <n v="41"/>
    <n v="1.5"/>
    <n v="0"/>
    <n v="0"/>
  </r>
  <r>
    <x v="7604"/>
    <n v="15"/>
    <n v="41"/>
    <n v="56"/>
    <n v="24"/>
    <n v="21"/>
    <x v="45"/>
    <n v="24"/>
    <n v="12"/>
    <n v="44"/>
    <n v="1.2000000000000002"/>
    <n v="0"/>
    <n v="0"/>
  </r>
  <r>
    <x v="7605"/>
    <n v="12"/>
    <n v="44"/>
    <n v="56"/>
    <n v="24"/>
    <n v="8"/>
    <x v="4"/>
    <n v="25"/>
    <n v="-5"/>
    <n v="60"/>
    <n v="0"/>
    <n v="1"/>
    <n v="5"/>
  </r>
  <r>
    <x v="7606"/>
    <n v="-5"/>
    <n v="60"/>
    <n v="55"/>
    <n v="25"/>
    <n v="12"/>
    <x v="31"/>
    <n v="16"/>
    <n v="-9"/>
    <n v="73"/>
    <n v="0"/>
    <n v="1"/>
    <n v="9"/>
  </r>
  <r>
    <x v="7607"/>
    <n v="-9"/>
    <n v="73"/>
    <n v="64"/>
    <n v="16"/>
    <n v="24"/>
    <x v="26"/>
    <n v="16"/>
    <n v="-1"/>
    <n v="65"/>
    <n v="0"/>
    <n v="1"/>
    <n v="1"/>
  </r>
  <r>
    <x v="7608"/>
    <n v="-1"/>
    <n v="65"/>
    <n v="64"/>
    <n v="16"/>
    <n v="24"/>
    <x v="24"/>
    <n v="13"/>
    <n v="10"/>
    <n v="57"/>
    <n v="1"/>
    <n v="0"/>
    <n v="0"/>
  </r>
  <r>
    <x v="7609"/>
    <n v="10"/>
    <n v="57"/>
    <n v="67"/>
    <n v="13"/>
    <n v="25"/>
    <x v="11"/>
    <n v="16"/>
    <n v="19"/>
    <n v="45"/>
    <n v="1.9000000000000001"/>
    <n v="0"/>
    <n v="0"/>
  </r>
  <r>
    <x v="7610"/>
    <n v="19"/>
    <n v="45"/>
    <n v="64"/>
    <n v="16"/>
    <n v="16"/>
    <x v="11"/>
    <n v="12"/>
    <n v="23"/>
    <n v="45"/>
    <n v="2.3000000000000003"/>
    <n v="0"/>
    <n v="0"/>
  </r>
  <r>
    <x v="7611"/>
    <n v="23"/>
    <n v="45"/>
    <n v="68"/>
    <n v="12"/>
    <n v="16"/>
    <x v="52"/>
    <n v="16"/>
    <n v="23"/>
    <n v="41"/>
    <n v="2.3000000000000003"/>
    <n v="0"/>
    <n v="0"/>
  </r>
  <r>
    <x v="7612"/>
    <n v="23"/>
    <n v="41"/>
    <n v="64"/>
    <n v="16"/>
    <n v="13"/>
    <x v="45"/>
    <n v="19"/>
    <n v="17"/>
    <n v="44"/>
    <n v="1.7000000000000002"/>
    <n v="0"/>
    <n v="0"/>
  </r>
  <r>
    <x v="7613"/>
    <n v="17"/>
    <n v="44"/>
    <n v="61"/>
    <n v="19"/>
    <n v="16"/>
    <x v="14"/>
    <n v="20"/>
    <n v="13"/>
    <n v="47"/>
    <n v="1.3"/>
    <n v="0"/>
    <n v="0"/>
  </r>
  <r>
    <x v="7614"/>
    <n v="13"/>
    <n v="47"/>
    <n v="60"/>
    <n v="20"/>
    <n v="12"/>
    <x v="27"/>
    <n v="25"/>
    <n v="0"/>
    <n v="55"/>
    <n v="0"/>
    <n v="0"/>
    <n v="0"/>
  </r>
  <r>
    <x v="7615"/>
    <n v="0"/>
    <n v="55"/>
    <n v="55"/>
    <n v="25"/>
    <n v="16"/>
    <x v="8"/>
    <n v="24"/>
    <n v="-8"/>
    <n v="64"/>
    <n v="0"/>
    <n v="1"/>
    <n v="8"/>
  </r>
  <r>
    <x v="7616"/>
    <n v="-8"/>
    <n v="64"/>
    <n v="56"/>
    <n v="24"/>
    <n v="19"/>
    <x v="30"/>
    <n v="13"/>
    <n v="-2"/>
    <n v="69"/>
    <n v="0"/>
    <n v="1"/>
    <n v="2"/>
  </r>
  <r>
    <x v="7617"/>
    <n v="-2"/>
    <n v="69"/>
    <n v="67"/>
    <n v="13"/>
    <n v="20"/>
    <x v="33"/>
    <n v="18"/>
    <n v="0"/>
    <n v="62"/>
    <n v="0"/>
    <n v="0"/>
    <n v="0"/>
  </r>
  <r>
    <x v="7618"/>
    <n v="0"/>
    <n v="62"/>
    <n v="62"/>
    <n v="18"/>
    <n v="25"/>
    <x v="27"/>
    <n v="17"/>
    <n v="8"/>
    <n v="55"/>
    <n v="0.8"/>
    <n v="0"/>
    <n v="0"/>
  </r>
  <r>
    <x v="7619"/>
    <n v="8"/>
    <n v="55"/>
    <n v="63"/>
    <n v="17"/>
    <n v="24"/>
    <x v="15"/>
    <n v="14"/>
    <n v="18"/>
    <n v="48"/>
    <n v="1.8"/>
    <n v="0"/>
    <n v="0"/>
  </r>
  <r>
    <x v="7620"/>
    <n v="18"/>
    <n v="48"/>
    <n v="66"/>
    <n v="14"/>
    <n v="13"/>
    <x v="10"/>
    <n v="17"/>
    <n v="14"/>
    <n v="49"/>
    <n v="1.4000000000000001"/>
    <n v="0"/>
    <n v="0"/>
  </r>
  <r>
    <x v="7621"/>
    <n v="14"/>
    <n v="49"/>
    <n v="63"/>
    <n v="17"/>
    <n v="18"/>
    <x v="15"/>
    <n v="16"/>
    <n v="16"/>
    <n v="48"/>
    <n v="1.6"/>
    <n v="0"/>
    <n v="0"/>
  </r>
  <r>
    <x v="7622"/>
    <n v="16"/>
    <n v="48"/>
    <n v="64"/>
    <n v="16"/>
    <n v="17"/>
    <x v="14"/>
    <n v="14"/>
    <n v="19"/>
    <n v="47"/>
    <n v="1.9000000000000001"/>
    <n v="0"/>
    <n v="0"/>
  </r>
  <r>
    <x v="7623"/>
    <n v="19"/>
    <n v="47"/>
    <n v="66"/>
    <n v="14"/>
    <n v="14"/>
    <x v="14"/>
    <n v="20"/>
    <n v="13"/>
    <n v="47"/>
    <n v="1.3"/>
    <n v="0"/>
    <n v="0"/>
  </r>
  <r>
    <x v="7624"/>
    <n v="13"/>
    <n v="47"/>
    <n v="60"/>
    <n v="20"/>
    <n v="17"/>
    <x v="13"/>
    <n v="21"/>
    <n v="9"/>
    <n v="50"/>
    <n v="0.9"/>
    <n v="0"/>
    <n v="0"/>
  </r>
  <r>
    <x v="7625"/>
    <n v="9"/>
    <n v="50"/>
    <n v="59"/>
    <n v="21"/>
    <n v="16"/>
    <x v="27"/>
    <n v="23"/>
    <n v="2"/>
    <n v="55"/>
    <n v="0.2"/>
    <n v="0"/>
    <n v="0"/>
  </r>
  <r>
    <x v="7626"/>
    <n v="2"/>
    <n v="55"/>
    <n v="57"/>
    <n v="23"/>
    <n v="14"/>
    <x v="8"/>
    <n v="13"/>
    <n v="3"/>
    <n v="64"/>
    <n v="0.30000000000000004"/>
    <n v="0"/>
    <n v="0"/>
  </r>
  <r>
    <x v="7627"/>
    <n v="3"/>
    <n v="64"/>
    <n v="67"/>
    <n v="13"/>
    <n v="20"/>
    <x v="24"/>
    <n v="18"/>
    <n v="5"/>
    <n v="57"/>
    <n v="0.5"/>
    <n v="0"/>
    <n v="0"/>
  </r>
  <r>
    <x v="7628"/>
    <n v="5"/>
    <n v="57"/>
    <n v="62"/>
    <n v="18"/>
    <n v="21"/>
    <x v="16"/>
    <n v="18"/>
    <n v="8"/>
    <n v="54"/>
    <n v="0.8"/>
    <n v="0"/>
    <n v="0"/>
  </r>
  <r>
    <x v="7629"/>
    <n v="8"/>
    <n v="54"/>
    <n v="62"/>
    <n v="18"/>
    <n v="23"/>
    <x v="10"/>
    <n v="27"/>
    <n v="4"/>
    <n v="49"/>
    <n v="0.4"/>
    <n v="0"/>
    <n v="0"/>
  </r>
  <r>
    <x v="7630"/>
    <n v="4"/>
    <n v="49"/>
    <n v="53"/>
    <n v="27"/>
    <n v="13"/>
    <x v="22"/>
    <n v="20"/>
    <n v="-3"/>
    <n v="63"/>
    <n v="0"/>
    <n v="1"/>
    <n v="3"/>
  </r>
  <r>
    <x v="7631"/>
    <n v="-3"/>
    <n v="63"/>
    <n v="60"/>
    <n v="20"/>
    <n v="18"/>
    <x v="26"/>
    <n v="20"/>
    <n v="-5"/>
    <n v="65"/>
    <n v="0"/>
    <n v="1"/>
    <n v="5"/>
  </r>
  <r>
    <x v="7632"/>
    <n v="-5"/>
    <n v="65"/>
    <n v="60"/>
    <n v="20"/>
    <n v="18"/>
    <x v="21"/>
    <n v="20"/>
    <n v="-7"/>
    <n v="67"/>
    <n v="0"/>
    <n v="1"/>
    <n v="7"/>
  </r>
  <r>
    <x v="7633"/>
    <n v="-7"/>
    <n v="67"/>
    <n v="60"/>
    <n v="20"/>
    <n v="27"/>
    <x v="4"/>
    <n v="22"/>
    <n v="-2"/>
    <n v="60"/>
    <n v="0"/>
    <n v="1"/>
    <n v="2"/>
  </r>
  <r>
    <x v="7634"/>
    <n v="-2"/>
    <n v="60"/>
    <n v="58"/>
    <n v="22"/>
    <n v="20"/>
    <x v="33"/>
    <n v="23"/>
    <n v="-5"/>
    <n v="62"/>
    <n v="0"/>
    <n v="1"/>
    <n v="5"/>
  </r>
  <r>
    <x v="7635"/>
    <n v="-5"/>
    <n v="62"/>
    <n v="57"/>
    <n v="23"/>
    <n v="20"/>
    <x v="26"/>
    <n v="23"/>
    <n v="-8"/>
    <n v="65"/>
    <n v="0"/>
    <n v="1"/>
    <n v="8"/>
  </r>
  <r>
    <x v="7636"/>
    <n v="-8"/>
    <n v="65"/>
    <n v="57"/>
    <n v="23"/>
    <n v="20"/>
    <x v="17"/>
    <n v="17"/>
    <n v="-5"/>
    <n v="68"/>
    <n v="0"/>
    <n v="1"/>
    <n v="5"/>
  </r>
  <r>
    <x v="7637"/>
    <n v="-5"/>
    <n v="68"/>
    <n v="63"/>
    <n v="17"/>
    <n v="22"/>
    <x v="22"/>
    <n v="17"/>
    <n v="0"/>
    <n v="63"/>
    <n v="0"/>
    <n v="0"/>
    <n v="0"/>
  </r>
  <r>
    <x v="7638"/>
    <n v="0"/>
    <n v="63"/>
    <n v="63"/>
    <n v="17"/>
    <n v="23"/>
    <x v="24"/>
    <n v="23"/>
    <n v="0"/>
    <n v="57"/>
    <n v="0"/>
    <n v="0"/>
    <n v="0"/>
  </r>
  <r>
    <x v="7639"/>
    <n v="0"/>
    <n v="57"/>
    <n v="57"/>
    <n v="23"/>
    <n v="23"/>
    <x v="24"/>
    <n v="22"/>
    <n v="1"/>
    <n v="57"/>
    <n v="0.1"/>
    <n v="0"/>
    <n v="0"/>
  </r>
  <r>
    <x v="7640"/>
    <n v="1"/>
    <n v="57"/>
    <n v="58"/>
    <n v="22"/>
    <n v="17"/>
    <x v="33"/>
    <n v="22"/>
    <n v="-4"/>
    <n v="62"/>
    <n v="0"/>
    <n v="1"/>
    <n v="4"/>
  </r>
  <r>
    <x v="7641"/>
    <n v="-4"/>
    <n v="62"/>
    <n v="58"/>
    <n v="22"/>
    <n v="17"/>
    <x v="21"/>
    <n v="13"/>
    <n v="0"/>
    <n v="67"/>
    <n v="0"/>
    <n v="0"/>
    <n v="0"/>
  </r>
  <r>
    <x v="7642"/>
    <n v="0"/>
    <n v="67"/>
    <n v="67"/>
    <n v="13"/>
    <n v="23"/>
    <x v="24"/>
    <n v="25"/>
    <n v="-2"/>
    <n v="57"/>
    <n v="0"/>
    <n v="1"/>
    <n v="2"/>
  </r>
  <r>
    <x v="7643"/>
    <n v="-2"/>
    <n v="57"/>
    <n v="55"/>
    <n v="25"/>
    <n v="22"/>
    <x v="4"/>
    <n v="23"/>
    <n v="-3"/>
    <n v="60"/>
    <n v="0"/>
    <n v="1"/>
    <n v="3"/>
  </r>
  <r>
    <x v="7644"/>
    <n v="-3"/>
    <n v="60"/>
    <n v="57"/>
    <n v="23"/>
    <n v="22"/>
    <x v="23"/>
    <n v="21"/>
    <n v="-2"/>
    <n v="61"/>
    <n v="0"/>
    <n v="1"/>
    <n v="2"/>
  </r>
  <r>
    <x v="7645"/>
    <n v="-2"/>
    <n v="61"/>
    <n v="59"/>
    <n v="21"/>
    <n v="13"/>
    <x v="30"/>
    <n v="21"/>
    <n v="-10"/>
    <n v="69"/>
    <n v="0"/>
    <n v="1"/>
    <n v="10"/>
  </r>
  <r>
    <x v="7646"/>
    <n v="-10"/>
    <n v="69"/>
    <n v="59"/>
    <n v="21"/>
    <n v="25"/>
    <x v="26"/>
    <n v="26"/>
    <n v="-11"/>
    <n v="65"/>
    <n v="0"/>
    <n v="1"/>
    <n v="11"/>
  </r>
  <r>
    <x v="7647"/>
    <n v="-11"/>
    <n v="65"/>
    <n v="54"/>
    <n v="26"/>
    <n v="23"/>
    <x v="17"/>
    <n v="22"/>
    <n v="-10"/>
    <n v="68"/>
    <n v="0"/>
    <n v="1"/>
    <n v="10"/>
  </r>
  <r>
    <x v="7648"/>
    <n v="-10"/>
    <n v="68"/>
    <n v="58"/>
    <n v="22"/>
    <n v="21"/>
    <x v="30"/>
    <n v="20"/>
    <n v="-9"/>
    <n v="69"/>
    <n v="0"/>
    <n v="1"/>
    <n v="9"/>
  </r>
  <r>
    <x v="7649"/>
    <n v="-9"/>
    <n v="69"/>
    <n v="60"/>
    <n v="20"/>
    <n v="21"/>
    <x v="17"/>
    <n v="16"/>
    <n v="-4"/>
    <n v="68"/>
    <n v="0"/>
    <n v="1"/>
    <n v="4"/>
  </r>
  <r>
    <x v="7650"/>
    <n v="-4"/>
    <n v="68"/>
    <n v="64"/>
    <n v="16"/>
    <n v="26"/>
    <x v="28"/>
    <n v="20"/>
    <n v="2"/>
    <n v="58"/>
    <n v="0.2"/>
    <n v="0"/>
    <n v="0"/>
  </r>
  <r>
    <x v="7651"/>
    <n v="2"/>
    <n v="58"/>
    <n v="60"/>
    <n v="20"/>
    <n v="22"/>
    <x v="32"/>
    <n v="15"/>
    <n v="9"/>
    <n v="56"/>
    <n v="0.9"/>
    <n v="0"/>
    <n v="0"/>
  </r>
  <r>
    <x v="7652"/>
    <n v="9"/>
    <n v="56"/>
    <n v="65"/>
    <n v="15"/>
    <n v="20"/>
    <x v="9"/>
    <n v="17"/>
    <n v="12"/>
    <n v="51"/>
    <n v="1.2000000000000002"/>
    <n v="0"/>
    <n v="0"/>
  </r>
  <r>
    <x v="7653"/>
    <n v="12"/>
    <n v="51"/>
    <n v="63"/>
    <n v="17"/>
    <n v="16"/>
    <x v="25"/>
    <n v="21"/>
    <n v="7"/>
    <n v="52"/>
    <n v="0.70000000000000007"/>
    <n v="0"/>
    <n v="0"/>
  </r>
  <r>
    <x v="7654"/>
    <n v="7"/>
    <n v="52"/>
    <n v="59"/>
    <n v="21"/>
    <n v="20"/>
    <x v="12"/>
    <n v="21"/>
    <n v="6"/>
    <n v="53"/>
    <n v="0.60000000000000009"/>
    <n v="0"/>
    <n v="0"/>
  </r>
  <r>
    <x v="7655"/>
    <n v="6"/>
    <n v="53"/>
    <n v="59"/>
    <n v="21"/>
    <n v="15"/>
    <x v="5"/>
    <n v="16"/>
    <n v="5"/>
    <n v="59"/>
    <n v="0.5"/>
    <n v="0"/>
    <n v="0"/>
  </r>
  <r>
    <x v="7656"/>
    <n v="5"/>
    <n v="59"/>
    <n v="64"/>
    <n v="16"/>
    <n v="17"/>
    <x v="28"/>
    <n v="23"/>
    <n v="-1"/>
    <n v="58"/>
    <n v="0"/>
    <n v="1"/>
    <n v="1"/>
  </r>
  <r>
    <x v="7657"/>
    <n v="-1"/>
    <n v="58"/>
    <n v="57"/>
    <n v="23"/>
    <n v="21"/>
    <x v="4"/>
    <n v="23"/>
    <n v="-3"/>
    <n v="60"/>
    <n v="0"/>
    <n v="1"/>
    <n v="3"/>
  </r>
  <r>
    <x v="7658"/>
    <n v="-3"/>
    <n v="60"/>
    <n v="57"/>
    <n v="23"/>
    <n v="21"/>
    <x v="33"/>
    <n v="14"/>
    <n v="4"/>
    <n v="62"/>
    <n v="0.4"/>
    <n v="0"/>
    <n v="0"/>
  </r>
  <r>
    <x v="7659"/>
    <n v="4"/>
    <n v="62"/>
    <n v="66"/>
    <n v="14"/>
    <n v="16"/>
    <x v="4"/>
    <n v="18"/>
    <n v="2"/>
    <n v="60"/>
    <n v="0.2"/>
    <n v="0"/>
    <n v="0"/>
  </r>
  <r>
    <x v="7660"/>
    <n v="2"/>
    <n v="60"/>
    <n v="62"/>
    <n v="18"/>
    <n v="23"/>
    <x v="27"/>
    <n v="23"/>
    <n v="2"/>
    <n v="55"/>
    <n v="0.2"/>
    <n v="0"/>
    <n v="0"/>
  </r>
  <r>
    <x v="7661"/>
    <n v="2"/>
    <n v="55"/>
    <n v="57"/>
    <n v="23"/>
    <n v="23"/>
    <x v="27"/>
    <n v="14"/>
    <n v="11"/>
    <n v="55"/>
    <n v="1.1000000000000001"/>
    <n v="0"/>
    <n v="0"/>
  </r>
  <r>
    <x v="7662"/>
    <n v="11"/>
    <n v="55"/>
    <n v="66"/>
    <n v="14"/>
    <n v="14"/>
    <x v="27"/>
    <n v="12"/>
    <n v="13"/>
    <n v="55"/>
    <n v="1.3"/>
    <n v="0"/>
    <n v="0"/>
  </r>
  <r>
    <x v="7663"/>
    <n v="13"/>
    <n v="55"/>
    <n v="68"/>
    <n v="12"/>
    <n v="18"/>
    <x v="10"/>
    <n v="31"/>
    <n v="0"/>
    <n v="49"/>
    <n v="0"/>
    <n v="0"/>
    <n v="0"/>
  </r>
  <r>
    <x v="7664"/>
    <n v="0"/>
    <n v="49"/>
    <n v="49"/>
    <n v="31"/>
    <n v="23"/>
    <x v="24"/>
    <n v="27"/>
    <n v="-4"/>
    <n v="57"/>
    <n v="0"/>
    <n v="1"/>
    <n v="4"/>
  </r>
  <r>
    <x v="7665"/>
    <n v="-4"/>
    <n v="57"/>
    <n v="53"/>
    <n v="27"/>
    <n v="14"/>
    <x v="6"/>
    <n v="15"/>
    <n v="-5"/>
    <n v="70"/>
    <n v="0"/>
    <n v="1"/>
    <n v="5"/>
  </r>
  <r>
    <x v="7666"/>
    <n v="-5"/>
    <n v="70"/>
    <n v="65"/>
    <n v="15"/>
    <n v="12"/>
    <x v="31"/>
    <n v="17"/>
    <n v="-10"/>
    <n v="73"/>
    <n v="0"/>
    <n v="1"/>
    <n v="10"/>
  </r>
  <r>
    <x v="7667"/>
    <n v="-10"/>
    <n v="73"/>
    <n v="63"/>
    <n v="17"/>
    <n v="31"/>
    <x v="5"/>
    <n v="35"/>
    <n v="-14"/>
    <n v="59"/>
    <n v="0"/>
    <n v="1"/>
    <n v="14"/>
  </r>
  <r>
    <x v="7668"/>
    <n v="-14"/>
    <n v="59"/>
    <n v="45"/>
    <n v="35"/>
    <n v="27"/>
    <x v="21"/>
    <n v="16"/>
    <n v="-3"/>
    <n v="67"/>
    <n v="0"/>
    <n v="1"/>
    <n v="3"/>
  </r>
  <r>
    <x v="7669"/>
    <n v="-3"/>
    <n v="67"/>
    <n v="64"/>
    <n v="16"/>
    <n v="15"/>
    <x v="17"/>
    <n v="13"/>
    <n v="-1"/>
    <n v="68"/>
    <n v="0"/>
    <n v="1"/>
    <n v="1"/>
  </r>
  <r>
    <x v="7670"/>
    <n v="-1"/>
    <n v="68"/>
    <n v="67"/>
    <n v="13"/>
    <n v="17"/>
    <x v="8"/>
    <n v="14"/>
    <n v="2"/>
    <n v="64"/>
    <n v="0.2"/>
    <n v="0"/>
    <n v="0"/>
  </r>
  <r>
    <x v="7671"/>
    <n v="2"/>
    <n v="64"/>
    <n v="66"/>
    <n v="14"/>
    <n v="35"/>
    <x v="51"/>
    <n v="21"/>
    <n v="16"/>
    <n v="43"/>
    <n v="1.6"/>
    <n v="0"/>
    <n v="0"/>
  </r>
  <r>
    <x v="7672"/>
    <n v="16"/>
    <n v="43"/>
    <n v="59"/>
    <n v="21"/>
    <n v="16"/>
    <x v="15"/>
    <n v="29"/>
    <n v="3"/>
    <n v="48"/>
    <n v="0.30000000000000004"/>
    <n v="0"/>
    <n v="0"/>
  </r>
  <r>
    <x v="7673"/>
    <n v="3"/>
    <n v="48"/>
    <n v="51"/>
    <n v="29"/>
    <n v="13"/>
    <x v="8"/>
    <n v="21"/>
    <n v="-5"/>
    <n v="64"/>
    <n v="0"/>
    <n v="1"/>
    <n v="5"/>
  </r>
  <r>
    <x v="7674"/>
    <n v="-5"/>
    <n v="64"/>
    <n v="59"/>
    <n v="21"/>
    <n v="14"/>
    <x v="20"/>
    <n v="27"/>
    <n v="-18"/>
    <n v="71"/>
    <n v="0"/>
    <n v="1"/>
    <n v="18"/>
  </r>
  <r>
    <x v="7675"/>
    <n v="-18"/>
    <n v="71"/>
    <n v="53"/>
    <n v="27"/>
    <n v="21"/>
    <x v="18"/>
    <n v="19"/>
    <n v="-16"/>
    <n v="77"/>
    <n v="0"/>
    <n v="1"/>
    <n v="16"/>
  </r>
  <r>
    <x v="7676"/>
    <n v="-16"/>
    <n v="77"/>
    <n v="61"/>
    <n v="19"/>
    <n v="29"/>
    <x v="21"/>
    <n v="19"/>
    <n v="-6"/>
    <n v="67"/>
    <n v="0"/>
    <n v="1"/>
    <n v="6"/>
  </r>
  <r>
    <x v="7677"/>
    <n v="-6"/>
    <n v="67"/>
    <n v="61"/>
    <n v="19"/>
    <n v="21"/>
    <x v="26"/>
    <n v="25"/>
    <n v="-10"/>
    <n v="65"/>
    <n v="0"/>
    <n v="1"/>
    <n v="10"/>
  </r>
  <r>
    <x v="7678"/>
    <n v="-10"/>
    <n v="65"/>
    <n v="55"/>
    <n v="25"/>
    <n v="27"/>
    <x v="22"/>
    <n v="22"/>
    <n v="-5"/>
    <n v="63"/>
    <n v="0"/>
    <n v="1"/>
    <n v="5"/>
  </r>
  <r>
    <x v="7679"/>
    <n v="-5"/>
    <n v="63"/>
    <n v="58"/>
    <n v="22"/>
    <n v="19"/>
    <x v="7"/>
    <n v="22"/>
    <n v="-8"/>
    <n v="66"/>
    <n v="0"/>
    <n v="1"/>
    <n v="8"/>
  </r>
  <r>
    <x v="7680"/>
    <n v="-8"/>
    <n v="66"/>
    <n v="58"/>
    <n v="22"/>
    <n v="19"/>
    <x v="30"/>
    <n v="20"/>
    <n v="-9"/>
    <n v="69"/>
    <n v="0"/>
    <n v="1"/>
    <n v="9"/>
  </r>
  <r>
    <x v="7681"/>
    <n v="-9"/>
    <n v="69"/>
    <n v="60"/>
    <n v="20"/>
    <n v="25"/>
    <x v="8"/>
    <n v="15"/>
    <n v="1"/>
    <n v="64"/>
    <n v="0.1"/>
    <n v="0"/>
    <n v="0"/>
  </r>
  <r>
    <x v="7682"/>
    <n v="1"/>
    <n v="64"/>
    <n v="65"/>
    <n v="15"/>
    <n v="22"/>
    <x v="24"/>
    <n v="23"/>
    <n v="0"/>
    <n v="57"/>
    <n v="0"/>
    <n v="0"/>
    <n v="0"/>
  </r>
  <r>
    <x v="7683"/>
    <n v="0"/>
    <n v="57"/>
    <n v="57"/>
    <n v="23"/>
    <n v="22"/>
    <x v="28"/>
    <n v="25"/>
    <n v="-3"/>
    <n v="58"/>
    <n v="0"/>
    <n v="1"/>
    <n v="3"/>
  </r>
  <r>
    <x v="7684"/>
    <n v="-3"/>
    <n v="58"/>
    <n v="55"/>
    <n v="25"/>
    <n v="20"/>
    <x v="22"/>
    <n v="24"/>
    <n v="-7"/>
    <n v="63"/>
    <n v="0"/>
    <n v="1"/>
    <n v="7"/>
  </r>
  <r>
    <x v="7685"/>
    <n v="-7"/>
    <n v="63"/>
    <n v="56"/>
    <n v="24"/>
    <n v="15"/>
    <x v="29"/>
    <n v="16"/>
    <n v="-8"/>
    <n v="72"/>
    <n v="0"/>
    <n v="1"/>
    <n v="8"/>
  </r>
  <r>
    <x v="7686"/>
    <n v="-8"/>
    <n v="72"/>
    <n v="64"/>
    <n v="16"/>
    <n v="23"/>
    <x v="26"/>
    <n v="25"/>
    <n v="-10"/>
    <n v="65"/>
    <n v="0"/>
    <n v="1"/>
    <n v="10"/>
  </r>
  <r>
    <x v="7687"/>
    <n v="-10"/>
    <n v="65"/>
    <n v="55"/>
    <n v="25"/>
    <n v="25"/>
    <x v="26"/>
    <n v="20"/>
    <n v="-5"/>
    <n v="65"/>
    <n v="0"/>
    <n v="1"/>
    <n v="5"/>
  </r>
  <r>
    <x v="7688"/>
    <n v="-5"/>
    <n v="65"/>
    <n v="60"/>
    <n v="20"/>
    <n v="24"/>
    <x v="23"/>
    <n v="21"/>
    <n v="-2"/>
    <n v="61"/>
    <n v="0"/>
    <n v="1"/>
    <n v="2"/>
  </r>
  <r>
    <x v="7689"/>
    <n v="-2"/>
    <n v="61"/>
    <n v="59"/>
    <n v="21"/>
    <n v="16"/>
    <x v="7"/>
    <n v="16"/>
    <n v="-2"/>
    <n v="66"/>
    <n v="0"/>
    <n v="1"/>
    <n v="2"/>
  </r>
  <r>
    <x v="7690"/>
    <n v="-2"/>
    <n v="66"/>
    <n v="64"/>
    <n v="16"/>
    <n v="25"/>
    <x v="24"/>
    <n v="24"/>
    <n v="-1"/>
    <n v="57"/>
    <n v="0"/>
    <n v="1"/>
    <n v="1"/>
  </r>
  <r>
    <x v="7691"/>
    <n v="-1"/>
    <n v="57"/>
    <n v="56"/>
    <n v="24"/>
    <n v="20"/>
    <x v="23"/>
    <n v="22"/>
    <n v="-3"/>
    <n v="61"/>
    <n v="0"/>
    <n v="1"/>
    <n v="3"/>
  </r>
  <r>
    <x v="7692"/>
    <n v="-3"/>
    <n v="61"/>
    <n v="58"/>
    <n v="22"/>
    <n v="21"/>
    <x v="33"/>
    <n v="18"/>
    <n v="0"/>
    <n v="62"/>
    <n v="0"/>
    <n v="0"/>
    <n v="0"/>
  </r>
  <r>
    <x v="7693"/>
    <n v="0"/>
    <n v="62"/>
    <n v="62"/>
    <n v="18"/>
    <n v="16"/>
    <x v="8"/>
    <n v="17"/>
    <n v="-1"/>
    <n v="64"/>
    <n v="0"/>
    <n v="1"/>
    <n v="1"/>
  </r>
  <r>
    <x v="7694"/>
    <n v="-1"/>
    <n v="64"/>
    <n v="63"/>
    <n v="17"/>
    <n v="24"/>
    <x v="24"/>
    <n v="21"/>
    <n v="2"/>
    <n v="57"/>
    <n v="0.2"/>
    <n v="0"/>
    <n v="0"/>
  </r>
  <r>
    <x v="7695"/>
    <n v="2"/>
    <n v="57"/>
    <n v="59"/>
    <n v="21"/>
    <n v="22"/>
    <x v="32"/>
    <n v="18"/>
    <n v="6"/>
    <n v="56"/>
    <n v="0.60000000000000009"/>
    <n v="0"/>
    <n v="0"/>
  </r>
  <r>
    <x v="7696"/>
    <n v="6"/>
    <n v="56"/>
    <n v="62"/>
    <n v="18"/>
    <n v="18"/>
    <x v="32"/>
    <n v="18"/>
    <n v="6"/>
    <n v="56"/>
    <n v="0.60000000000000009"/>
    <n v="0"/>
    <n v="0"/>
  </r>
  <r>
    <x v="7697"/>
    <n v="6"/>
    <n v="56"/>
    <n v="62"/>
    <n v="18"/>
    <n v="17"/>
    <x v="24"/>
    <n v="22"/>
    <n v="1"/>
    <n v="57"/>
    <n v="0.1"/>
    <n v="0"/>
    <n v="0"/>
  </r>
  <r>
    <x v="7698"/>
    <n v="1"/>
    <n v="57"/>
    <n v="58"/>
    <n v="22"/>
    <n v="21"/>
    <x v="28"/>
    <n v="25"/>
    <n v="-3"/>
    <n v="58"/>
    <n v="0"/>
    <n v="1"/>
    <n v="3"/>
  </r>
  <r>
    <x v="7699"/>
    <n v="-3"/>
    <n v="58"/>
    <n v="55"/>
    <n v="25"/>
    <n v="18"/>
    <x v="26"/>
    <n v="19"/>
    <n v="-4"/>
    <n v="65"/>
    <n v="0"/>
    <n v="1"/>
    <n v="4"/>
  </r>
  <r>
    <x v="7700"/>
    <n v="-4"/>
    <n v="65"/>
    <n v="61"/>
    <n v="19"/>
    <n v="18"/>
    <x v="7"/>
    <n v="18"/>
    <n v="-4"/>
    <n v="66"/>
    <n v="0"/>
    <n v="1"/>
    <n v="4"/>
  </r>
  <r>
    <x v="7701"/>
    <n v="-4"/>
    <n v="66"/>
    <n v="62"/>
    <n v="18"/>
    <n v="22"/>
    <x v="33"/>
    <n v="18"/>
    <n v="0"/>
    <n v="62"/>
    <n v="0"/>
    <n v="0"/>
    <n v="0"/>
  </r>
  <r>
    <x v="7702"/>
    <n v="0"/>
    <n v="62"/>
    <n v="62"/>
    <n v="18"/>
    <n v="25"/>
    <x v="27"/>
    <n v="20"/>
    <n v="5"/>
    <n v="55"/>
    <n v="0.5"/>
    <n v="0"/>
    <n v="0"/>
  </r>
  <r>
    <x v="7703"/>
    <n v="5"/>
    <n v="55"/>
    <n v="60"/>
    <n v="20"/>
    <n v="19"/>
    <x v="32"/>
    <n v="16"/>
    <n v="8"/>
    <n v="56"/>
    <n v="0.8"/>
    <n v="0"/>
    <n v="0"/>
  </r>
  <r>
    <x v="7704"/>
    <n v="8"/>
    <n v="56"/>
    <n v="64"/>
    <n v="16"/>
    <n v="18"/>
    <x v="16"/>
    <n v="24"/>
    <n v="2"/>
    <n v="54"/>
    <n v="0.2"/>
    <n v="0"/>
    <n v="0"/>
  </r>
  <r>
    <x v="7705"/>
    <n v="2"/>
    <n v="54"/>
    <n v="56"/>
    <n v="24"/>
    <n v="18"/>
    <x v="4"/>
    <n v="20"/>
    <n v="0"/>
    <n v="60"/>
    <n v="0"/>
    <n v="0"/>
    <n v="0"/>
  </r>
  <r>
    <x v="7706"/>
    <n v="0"/>
    <n v="60"/>
    <n v="60"/>
    <n v="20"/>
    <n v="20"/>
    <x v="4"/>
    <n v="31"/>
    <n v="-11"/>
    <n v="60"/>
    <n v="0"/>
    <n v="1"/>
    <n v="11"/>
  </r>
  <r>
    <x v="7707"/>
    <n v="-11"/>
    <n v="60"/>
    <n v="49"/>
    <n v="31"/>
    <n v="16"/>
    <x v="44"/>
    <n v="24"/>
    <n v="-19"/>
    <n v="75"/>
    <n v="0"/>
    <n v="1"/>
    <n v="19"/>
  </r>
  <r>
    <x v="7708"/>
    <n v="-19"/>
    <n v="75"/>
    <n v="56"/>
    <n v="24"/>
    <n v="24"/>
    <x v="44"/>
    <n v="17"/>
    <n v="-12"/>
    <n v="75"/>
    <n v="0"/>
    <n v="1"/>
    <n v="12"/>
  </r>
  <r>
    <x v="7709"/>
    <n v="-12"/>
    <n v="75"/>
    <n v="63"/>
    <n v="17"/>
    <n v="20"/>
    <x v="29"/>
    <n v="10"/>
    <n v="-2"/>
    <n v="72"/>
    <n v="0"/>
    <n v="1"/>
    <n v="2"/>
  </r>
  <r>
    <x v="7710"/>
    <n v="-2"/>
    <n v="72"/>
    <n v="70"/>
    <n v="10"/>
    <n v="31"/>
    <x v="9"/>
    <n v="25"/>
    <n v="4"/>
    <n v="51"/>
    <n v="0.4"/>
    <n v="0"/>
    <n v="0"/>
  </r>
  <r>
    <x v="7711"/>
    <n v="4"/>
    <n v="51"/>
    <n v="55"/>
    <n v="25"/>
    <n v="24"/>
    <x v="25"/>
    <n v="23"/>
    <n v="5"/>
    <n v="52"/>
    <n v="0.5"/>
    <n v="0"/>
    <n v="0"/>
  </r>
  <r>
    <x v="7712"/>
    <n v="5"/>
    <n v="52"/>
    <n v="57"/>
    <n v="23"/>
    <n v="17"/>
    <x v="28"/>
    <n v="20"/>
    <n v="2"/>
    <n v="58"/>
    <n v="0.2"/>
    <n v="0"/>
    <n v="0"/>
  </r>
  <r>
    <x v="7713"/>
    <n v="2"/>
    <n v="58"/>
    <n v="60"/>
    <n v="20"/>
    <n v="10"/>
    <x v="17"/>
    <n v="18"/>
    <n v="-6"/>
    <n v="68"/>
    <n v="0"/>
    <n v="1"/>
    <n v="6"/>
  </r>
  <r>
    <x v="7714"/>
    <n v="-6"/>
    <n v="68"/>
    <n v="62"/>
    <n v="18"/>
    <n v="25"/>
    <x v="23"/>
    <n v="17"/>
    <n v="2"/>
    <n v="61"/>
    <n v="0.2"/>
    <n v="0"/>
    <n v="0"/>
  </r>
  <r>
    <x v="7715"/>
    <n v="2"/>
    <n v="61"/>
    <n v="63"/>
    <n v="17"/>
    <n v="23"/>
    <x v="27"/>
    <n v="23"/>
    <n v="2"/>
    <n v="55"/>
    <n v="0.2"/>
    <n v="0"/>
    <n v="0"/>
  </r>
  <r>
    <x v="7716"/>
    <n v="2"/>
    <n v="55"/>
    <n v="57"/>
    <n v="23"/>
    <n v="20"/>
    <x v="28"/>
    <n v="17"/>
    <n v="5"/>
    <n v="58"/>
    <n v="0.5"/>
    <n v="0"/>
    <n v="0"/>
  </r>
  <r>
    <x v="7717"/>
    <n v="5"/>
    <n v="58"/>
    <n v="63"/>
    <n v="17"/>
    <n v="18"/>
    <x v="24"/>
    <n v="19"/>
    <n v="4"/>
    <n v="57"/>
    <n v="0.4"/>
    <n v="0"/>
    <n v="0"/>
  </r>
  <r>
    <x v="7718"/>
    <n v="4"/>
    <n v="57"/>
    <n v="61"/>
    <n v="19"/>
    <n v="17"/>
    <x v="5"/>
    <n v="22"/>
    <n v="-1"/>
    <n v="59"/>
    <n v="0"/>
    <n v="1"/>
    <n v="1"/>
  </r>
  <r>
    <x v="7719"/>
    <n v="-1"/>
    <n v="59"/>
    <n v="58"/>
    <n v="22"/>
    <n v="23"/>
    <x v="28"/>
    <n v="21"/>
    <n v="1"/>
    <n v="58"/>
    <n v="0.1"/>
    <n v="0"/>
    <n v="0"/>
  </r>
  <r>
    <x v="7720"/>
    <n v="1"/>
    <n v="58"/>
    <n v="59"/>
    <n v="21"/>
    <n v="17"/>
    <x v="33"/>
    <n v="16"/>
    <n v="2"/>
    <n v="62"/>
    <n v="0.2"/>
    <n v="0"/>
    <n v="0"/>
  </r>
  <r>
    <x v="7721"/>
    <n v="2"/>
    <n v="62"/>
    <n v="64"/>
    <n v="16"/>
    <n v="19"/>
    <x v="5"/>
    <n v="29"/>
    <n v="-8"/>
    <n v="59"/>
    <n v="0"/>
    <n v="1"/>
    <n v="8"/>
  </r>
  <r>
    <x v="7722"/>
    <n v="-8"/>
    <n v="59"/>
    <n v="51"/>
    <n v="29"/>
    <n v="22"/>
    <x v="7"/>
    <n v="13"/>
    <n v="1"/>
    <n v="66"/>
    <n v="0.1"/>
    <n v="0"/>
    <n v="0"/>
  </r>
  <r>
    <x v="7723"/>
    <n v="1"/>
    <n v="66"/>
    <n v="67"/>
    <n v="13"/>
    <n v="21"/>
    <x v="28"/>
    <n v="21"/>
    <n v="1"/>
    <n v="58"/>
    <n v="0.1"/>
    <n v="0"/>
    <n v="0"/>
  </r>
  <r>
    <x v="7724"/>
    <n v="1"/>
    <n v="58"/>
    <n v="59"/>
    <n v="21"/>
    <n v="16"/>
    <x v="22"/>
    <n v="19"/>
    <n v="-2"/>
    <n v="63"/>
    <n v="0"/>
    <n v="1"/>
    <n v="2"/>
  </r>
  <r>
    <x v="7725"/>
    <n v="-2"/>
    <n v="63"/>
    <n v="61"/>
    <n v="19"/>
    <n v="29"/>
    <x v="12"/>
    <n v="28"/>
    <n v="-1"/>
    <n v="53"/>
    <n v="0"/>
    <n v="1"/>
    <n v="1"/>
  </r>
  <r>
    <x v="7726"/>
    <n v="-1"/>
    <n v="53"/>
    <n v="52"/>
    <n v="28"/>
    <n v="13"/>
    <x v="17"/>
    <n v="20"/>
    <n v="-8"/>
    <n v="68"/>
    <n v="0"/>
    <n v="1"/>
    <n v="8"/>
  </r>
  <r>
    <x v="7727"/>
    <n v="-8"/>
    <n v="68"/>
    <n v="60"/>
    <n v="20"/>
    <n v="21"/>
    <x v="21"/>
    <n v="21"/>
    <n v="-8"/>
    <n v="67"/>
    <n v="0"/>
    <n v="1"/>
    <n v="8"/>
  </r>
  <r>
    <x v="7728"/>
    <n v="-8"/>
    <n v="67"/>
    <n v="59"/>
    <n v="21"/>
    <n v="19"/>
    <x v="30"/>
    <n v="24"/>
    <n v="-13"/>
    <n v="69"/>
    <n v="0"/>
    <n v="1"/>
    <n v="13"/>
  </r>
  <r>
    <x v="7729"/>
    <n v="-13"/>
    <n v="69"/>
    <n v="56"/>
    <n v="24"/>
    <n v="28"/>
    <x v="26"/>
    <n v="26"/>
    <n v="-11"/>
    <n v="65"/>
    <n v="0"/>
    <n v="1"/>
    <n v="11"/>
  </r>
  <r>
    <x v="7730"/>
    <n v="-11"/>
    <n v="65"/>
    <n v="54"/>
    <n v="26"/>
    <n v="20"/>
    <x v="20"/>
    <n v="17"/>
    <n v="-8"/>
    <n v="71"/>
    <n v="0"/>
    <n v="1"/>
    <n v="8"/>
  </r>
  <r>
    <x v="7731"/>
    <n v="-8"/>
    <n v="71"/>
    <n v="63"/>
    <n v="17"/>
    <n v="21"/>
    <x v="21"/>
    <n v="23"/>
    <n v="-10"/>
    <n v="67"/>
    <n v="0"/>
    <n v="1"/>
    <n v="10"/>
  </r>
  <r>
    <x v="7732"/>
    <n v="-10"/>
    <n v="67"/>
    <n v="57"/>
    <n v="23"/>
    <n v="24"/>
    <x v="7"/>
    <n v="18"/>
    <n v="-4"/>
    <n v="66"/>
    <n v="0"/>
    <n v="1"/>
    <n v="4"/>
  </r>
  <r>
    <x v="7733"/>
    <n v="-4"/>
    <n v="66"/>
    <n v="62"/>
    <n v="18"/>
    <n v="26"/>
    <x v="28"/>
    <n v="16"/>
    <n v="6"/>
    <n v="58"/>
    <n v="0.60000000000000009"/>
    <n v="0"/>
    <n v="0"/>
  </r>
  <r>
    <x v="7734"/>
    <n v="6"/>
    <n v="58"/>
    <n v="64"/>
    <n v="16"/>
    <n v="17"/>
    <x v="24"/>
    <n v="18"/>
    <n v="5"/>
    <n v="57"/>
    <n v="0.5"/>
    <n v="0"/>
    <n v="0"/>
  </r>
  <r>
    <x v="7735"/>
    <n v="5"/>
    <n v="57"/>
    <n v="62"/>
    <n v="18"/>
    <n v="23"/>
    <x v="25"/>
    <n v="20"/>
    <n v="8"/>
    <n v="52"/>
    <n v="0.8"/>
    <n v="0"/>
    <n v="0"/>
  </r>
  <r>
    <x v="7736"/>
    <n v="8"/>
    <n v="52"/>
    <n v="60"/>
    <n v="20"/>
    <n v="18"/>
    <x v="16"/>
    <n v="21"/>
    <n v="5"/>
    <n v="54"/>
    <n v="0.5"/>
    <n v="0"/>
    <n v="0"/>
  </r>
  <r>
    <x v="7737"/>
    <n v="5"/>
    <n v="54"/>
    <n v="59"/>
    <n v="21"/>
    <n v="16"/>
    <x v="5"/>
    <n v="17"/>
    <n v="4"/>
    <n v="59"/>
    <n v="0.4"/>
    <n v="0"/>
    <n v="0"/>
  </r>
  <r>
    <x v="7738"/>
    <n v="4"/>
    <n v="59"/>
    <n v="63"/>
    <n v="17"/>
    <n v="18"/>
    <x v="28"/>
    <n v="23"/>
    <n v="-1"/>
    <n v="58"/>
    <n v="0"/>
    <n v="1"/>
    <n v="1"/>
  </r>
  <r>
    <x v="7739"/>
    <n v="-1"/>
    <n v="58"/>
    <n v="57"/>
    <n v="23"/>
    <n v="20"/>
    <x v="23"/>
    <n v="20"/>
    <n v="-1"/>
    <n v="61"/>
    <n v="0"/>
    <n v="1"/>
    <n v="1"/>
  </r>
  <r>
    <x v="7740"/>
    <n v="-1"/>
    <n v="61"/>
    <n v="60"/>
    <n v="20"/>
    <n v="21"/>
    <x v="4"/>
    <n v="14"/>
    <n v="6"/>
    <n v="60"/>
    <n v="0.60000000000000009"/>
    <n v="0"/>
    <n v="0"/>
  </r>
  <r>
    <x v="7741"/>
    <n v="6"/>
    <n v="60"/>
    <n v="66"/>
    <n v="14"/>
    <n v="17"/>
    <x v="24"/>
    <n v="24"/>
    <n v="-1"/>
    <n v="57"/>
    <n v="0"/>
    <n v="1"/>
    <n v="1"/>
  </r>
  <r>
    <x v="7742"/>
    <n v="-1"/>
    <n v="57"/>
    <n v="56"/>
    <n v="24"/>
    <n v="23"/>
    <x v="28"/>
    <n v="24"/>
    <n v="-2"/>
    <n v="58"/>
    <n v="0"/>
    <n v="1"/>
    <n v="2"/>
  </r>
  <r>
    <x v="7743"/>
    <n v="-2"/>
    <n v="58"/>
    <n v="56"/>
    <n v="24"/>
    <n v="20"/>
    <x v="33"/>
    <n v="20"/>
    <n v="-2"/>
    <n v="62"/>
    <n v="0"/>
    <n v="1"/>
    <n v="2"/>
  </r>
  <r>
    <x v="7744"/>
    <n v="-2"/>
    <n v="62"/>
    <n v="60"/>
    <n v="20"/>
    <n v="14"/>
    <x v="17"/>
    <n v="14"/>
    <n v="-2"/>
    <n v="68"/>
    <n v="0"/>
    <n v="1"/>
    <n v="2"/>
  </r>
  <r>
    <x v="7745"/>
    <n v="-2"/>
    <n v="68"/>
    <n v="66"/>
    <n v="14"/>
    <n v="24"/>
    <x v="28"/>
    <n v="14"/>
    <n v="8"/>
    <n v="58"/>
    <n v="0.8"/>
    <n v="0"/>
    <n v="0"/>
  </r>
  <r>
    <x v="7746"/>
    <n v="8"/>
    <n v="58"/>
    <n v="66"/>
    <n v="14"/>
    <n v="24"/>
    <x v="15"/>
    <n v="21"/>
    <n v="11"/>
    <n v="48"/>
    <n v="1.1000000000000001"/>
    <n v="0"/>
    <n v="0"/>
  </r>
  <r>
    <x v="7747"/>
    <n v="11"/>
    <n v="48"/>
    <n v="59"/>
    <n v="21"/>
    <n v="20"/>
    <x v="10"/>
    <n v="18"/>
    <n v="13"/>
    <n v="49"/>
    <n v="1.3"/>
    <n v="0"/>
    <n v="0"/>
  </r>
  <r>
    <x v="7748"/>
    <n v="13"/>
    <n v="49"/>
    <n v="62"/>
    <n v="18"/>
    <n v="14"/>
    <x v="12"/>
    <n v="23"/>
    <n v="4"/>
    <n v="53"/>
    <n v="0.4"/>
    <n v="0"/>
    <n v="0"/>
  </r>
  <r>
    <x v="7749"/>
    <n v="4"/>
    <n v="53"/>
    <n v="57"/>
    <n v="23"/>
    <n v="14"/>
    <x v="33"/>
    <n v="22"/>
    <n v="-4"/>
    <n v="62"/>
    <n v="0"/>
    <n v="1"/>
    <n v="4"/>
  </r>
  <r>
    <x v="7750"/>
    <n v="-4"/>
    <n v="62"/>
    <n v="58"/>
    <n v="22"/>
    <n v="21"/>
    <x v="22"/>
    <n v="23"/>
    <n v="-6"/>
    <n v="63"/>
    <n v="0"/>
    <n v="1"/>
    <n v="6"/>
  </r>
  <r>
    <x v="7751"/>
    <n v="-6"/>
    <n v="63"/>
    <n v="57"/>
    <n v="23"/>
    <n v="18"/>
    <x v="17"/>
    <n v="19"/>
    <n v="-7"/>
    <n v="68"/>
    <n v="0"/>
    <n v="1"/>
    <n v="7"/>
  </r>
  <r>
    <x v="7752"/>
    <n v="-7"/>
    <n v="68"/>
    <n v="61"/>
    <n v="19"/>
    <n v="23"/>
    <x v="8"/>
    <n v="14"/>
    <n v="2"/>
    <n v="64"/>
    <n v="0.2"/>
    <n v="0"/>
    <n v="0"/>
  </r>
  <r>
    <x v="7753"/>
    <n v="2"/>
    <n v="64"/>
    <n v="66"/>
    <n v="14"/>
    <n v="22"/>
    <x v="32"/>
    <n v="22"/>
    <n v="2"/>
    <n v="56"/>
    <n v="0.2"/>
    <n v="0"/>
    <n v="0"/>
  </r>
  <r>
    <x v="7754"/>
    <n v="2"/>
    <n v="56"/>
    <n v="58"/>
    <n v="22"/>
    <n v="23"/>
    <x v="27"/>
    <n v="19"/>
    <n v="6"/>
    <n v="55"/>
    <n v="0.60000000000000009"/>
    <n v="0"/>
    <n v="0"/>
  </r>
  <r>
    <x v="7755"/>
    <n v="6"/>
    <n v="55"/>
    <n v="61"/>
    <n v="19"/>
    <n v="19"/>
    <x v="27"/>
    <n v="22"/>
    <n v="3"/>
    <n v="55"/>
    <n v="0.30000000000000004"/>
    <n v="0"/>
    <n v="0"/>
  </r>
  <r>
    <x v="7756"/>
    <n v="3"/>
    <n v="55"/>
    <n v="58"/>
    <n v="22"/>
    <n v="14"/>
    <x v="22"/>
    <n v="20"/>
    <n v="-3"/>
    <n v="63"/>
    <n v="0"/>
    <n v="1"/>
    <n v="3"/>
  </r>
  <r>
    <x v="7757"/>
    <n v="-3"/>
    <n v="63"/>
    <n v="60"/>
    <n v="20"/>
    <n v="22"/>
    <x v="23"/>
    <n v="16"/>
    <n v="3"/>
    <n v="61"/>
    <n v="0.30000000000000004"/>
    <n v="0"/>
    <n v="0"/>
  </r>
  <r>
    <x v="7758"/>
    <n v="3"/>
    <n v="61"/>
    <n v="64"/>
    <n v="16"/>
    <n v="19"/>
    <x v="28"/>
    <n v="23"/>
    <n v="-1"/>
    <n v="58"/>
    <n v="0"/>
    <n v="1"/>
    <n v="1"/>
  </r>
  <r>
    <x v="7759"/>
    <n v="-1"/>
    <n v="58"/>
    <n v="57"/>
    <n v="23"/>
    <n v="22"/>
    <x v="5"/>
    <n v="19"/>
    <n v="2"/>
    <n v="59"/>
    <n v="0.2"/>
    <n v="0"/>
    <n v="0"/>
  </r>
  <r>
    <x v="7760"/>
    <n v="2"/>
    <n v="59"/>
    <n v="61"/>
    <n v="19"/>
    <n v="20"/>
    <x v="28"/>
    <n v="24"/>
    <n v="-2"/>
    <n v="58"/>
    <n v="0"/>
    <n v="1"/>
    <n v="2"/>
  </r>
  <r>
    <x v="7761"/>
    <n v="-2"/>
    <n v="58"/>
    <n v="56"/>
    <n v="24"/>
    <n v="16"/>
    <x v="7"/>
    <n v="23"/>
    <n v="-9"/>
    <n v="66"/>
    <n v="0"/>
    <n v="1"/>
    <n v="9"/>
  </r>
  <r>
    <x v="7762"/>
    <n v="-9"/>
    <n v="66"/>
    <n v="57"/>
    <n v="23"/>
    <n v="23"/>
    <x v="7"/>
    <n v="17"/>
    <n v="-3"/>
    <n v="66"/>
    <n v="0"/>
    <n v="1"/>
    <n v="3"/>
  </r>
  <r>
    <x v="7763"/>
    <n v="-3"/>
    <n v="66"/>
    <n v="63"/>
    <n v="17"/>
    <n v="19"/>
    <x v="8"/>
    <n v="25"/>
    <n v="-9"/>
    <n v="64"/>
    <n v="0"/>
    <n v="1"/>
    <n v="9"/>
  </r>
  <r>
    <x v="7764"/>
    <n v="-9"/>
    <n v="64"/>
    <n v="55"/>
    <n v="25"/>
    <n v="24"/>
    <x v="26"/>
    <n v="24"/>
    <n v="-9"/>
    <n v="65"/>
    <n v="0"/>
    <n v="1"/>
    <n v="9"/>
  </r>
  <r>
    <x v="7765"/>
    <n v="-9"/>
    <n v="65"/>
    <n v="56"/>
    <n v="24"/>
    <n v="23"/>
    <x v="7"/>
    <n v="23"/>
    <n v="-9"/>
    <n v="66"/>
    <n v="0"/>
    <n v="1"/>
    <n v="9"/>
  </r>
  <r>
    <x v="7766"/>
    <n v="-9"/>
    <n v="66"/>
    <n v="57"/>
    <n v="23"/>
    <n v="17"/>
    <x v="29"/>
    <n v="17"/>
    <n v="-9"/>
    <n v="72"/>
    <n v="0"/>
    <n v="1"/>
    <n v="9"/>
  </r>
  <r>
    <x v="7767"/>
    <n v="-9"/>
    <n v="72"/>
    <n v="63"/>
    <n v="17"/>
    <n v="25"/>
    <x v="8"/>
    <n v="24"/>
    <n v="-8"/>
    <n v="64"/>
    <n v="0"/>
    <n v="1"/>
    <n v="8"/>
  </r>
  <r>
    <x v="7768"/>
    <n v="-8"/>
    <n v="64"/>
    <n v="56"/>
    <n v="24"/>
    <n v="24"/>
    <x v="8"/>
    <n v="21"/>
    <n v="-5"/>
    <n v="64"/>
    <n v="0"/>
    <n v="1"/>
    <n v="5"/>
  </r>
  <r>
    <x v="7769"/>
    <n v="-5"/>
    <n v="64"/>
    <n v="59"/>
    <n v="21"/>
    <n v="23"/>
    <x v="33"/>
    <n v="23"/>
    <n v="-5"/>
    <n v="62"/>
    <n v="0"/>
    <n v="1"/>
    <n v="5"/>
  </r>
  <r>
    <x v="7770"/>
    <n v="-5"/>
    <n v="62"/>
    <n v="57"/>
    <n v="23"/>
    <n v="17"/>
    <x v="17"/>
    <n v="22"/>
    <n v="-10"/>
    <n v="68"/>
    <n v="0"/>
    <n v="1"/>
    <n v="10"/>
  </r>
  <r>
    <x v="7771"/>
    <n v="-10"/>
    <n v="68"/>
    <n v="58"/>
    <n v="22"/>
    <n v="24"/>
    <x v="7"/>
    <n v="21"/>
    <n v="-7"/>
    <n v="66"/>
    <n v="0"/>
    <n v="1"/>
    <n v="7"/>
  </r>
  <r>
    <x v="7772"/>
    <n v="-7"/>
    <n v="66"/>
    <n v="59"/>
    <n v="21"/>
    <n v="21"/>
    <x v="7"/>
    <n v="24"/>
    <n v="-10"/>
    <n v="66"/>
    <n v="0"/>
    <n v="1"/>
    <n v="10"/>
  </r>
  <r>
    <x v="7773"/>
    <n v="-10"/>
    <n v="66"/>
    <n v="56"/>
    <n v="24"/>
    <n v="23"/>
    <x v="21"/>
    <n v="18"/>
    <n v="-5"/>
    <n v="67"/>
    <n v="0"/>
    <n v="1"/>
    <n v="5"/>
  </r>
  <r>
    <x v="7774"/>
    <n v="-5"/>
    <n v="67"/>
    <n v="62"/>
    <n v="18"/>
    <n v="22"/>
    <x v="22"/>
    <n v="18"/>
    <n v="-1"/>
    <n v="63"/>
    <n v="0"/>
    <n v="1"/>
    <n v="1"/>
  </r>
  <r>
    <x v="7775"/>
    <n v="-1"/>
    <n v="63"/>
    <n v="62"/>
    <n v="18"/>
    <n v="21"/>
    <x v="4"/>
    <n v="19"/>
    <n v="1"/>
    <n v="60"/>
    <n v="0.1"/>
    <n v="0"/>
    <n v="0"/>
  </r>
  <r>
    <x v="7776"/>
    <n v="1"/>
    <n v="60"/>
    <n v="61"/>
    <n v="19"/>
    <n v="24"/>
    <x v="27"/>
    <n v="24"/>
    <n v="1"/>
    <n v="55"/>
    <n v="0.1"/>
    <n v="0"/>
    <n v="0"/>
  </r>
  <r>
    <x v="7777"/>
    <n v="1"/>
    <n v="55"/>
    <n v="56"/>
    <n v="24"/>
    <n v="18"/>
    <x v="23"/>
    <n v="19"/>
    <n v="0"/>
    <n v="61"/>
    <n v="0"/>
    <n v="0"/>
    <n v="0"/>
  </r>
  <r>
    <x v="7778"/>
    <n v="0"/>
    <n v="61"/>
    <n v="61"/>
    <n v="19"/>
    <n v="18"/>
    <x v="33"/>
    <n v="15"/>
    <n v="3"/>
    <n v="62"/>
    <n v="0.30000000000000004"/>
    <n v="0"/>
    <n v="0"/>
  </r>
  <r>
    <x v="7779"/>
    <n v="3"/>
    <n v="62"/>
    <n v="65"/>
    <n v="15"/>
    <n v="19"/>
    <x v="28"/>
    <n v="21"/>
    <n v="1"/>
    <n v="58"/>
    <n v="0.1"/>
    <n v="0"/>
    <n v="0"/>
  </r>
  <r>
    <x v="7780"/>
    <n v="1"/>
    <n v="58"/>
    <n v="59"/>
    <n v="21"/>
    <n v="24"/>
    <x v="27"/>
    <n v="21"/>
    <n v="4"/>
    <n v="55"/>
    <n v="0.4"/>
    <n v="0"/>
    <n v="0"/>
  </r>
  <r>
    <x v="7781"/>
    <n v="4"/>
    <n v="55"/>
    <n v="59"/>
    <n v="21"/>
    <n v="19"/>
    <x v="24"/>
    <n v="23"/>
    <n v="0"/>
    <n v="57"/>
    <n v="0"/>
    <n v="0"/>
    <n v="0"/>
  </r>
  <r>
    <x v="7782"/>
    <n v="0"/>
    <n v="57"/>
    <n v="57"/>
    <n v="23"/>
    <n v="15"/>
    <x v="26"/>
    <n v="15"/>
    <n v="0"/>
    <n v="65"/>
    <n v="0"/>
    <n v="0"/>
    <n v="0"/>
  </r>
  <r>
    <x v="7783"/>
    <n v="0"/>
    <n v="65"/>
    <n v="65"/>
    <n v="15"/>
    <n v="21"/>
    <x v="5"/>
    <n v="21"/>
    <n v="0"/>
    <n v="59"/>
    <n v="0"/>
    <n v="0"/>
    <n v="0"/>
  </r>
  <r>
    <x v="7784"/>
    <n v="0"/>
    <n v="59"/>
    <n v="59"/>
    <n v="21"/>
    <n v="21"/>
    <x v="5"/>
    <n v="24"/>
    <n v="-3"/>
    <n v="59"/>
    <n v="0"/>
    <n v="1"/>
    <n v="3"/>
  </r>
  <r>
    <x v="7785"/>
    <n v="-3"/>
    <n v="59"/>
    <n v="56"/>
    <n v="24"/>
    <n v="23"/>
    <x v="4"/>
    <n v="11"/>
    <n v="9"/>
    <n v="60"/>
    <n v="0.9"/>
    <n v="0"/>
    <n v="0"/>
  </r>
  <r>
    <x v="7786"/>
    <n v="9"/>
    <n v="60"/>
    <n v="69"/>
    <n v="11"/>
    <n v="15"/>
    <x v="32"/>
    <n v="19"/>
    <n v="5"/>
    <n v="56"/>
    <n v="0.5"/>
    <n v="0"/>
    <n v="0"/>
  </r>
  <r>
    <x v="7787"/>
    <n v="5"/>
    <n v="56"/>
    <n v="61"/>
    <n v="19"/>
    <n v="21"/>
    <x v="16"/>
    <n v="14"/>
    <n v="12"/>
    <n v="54"/>
    <n v="1.2000000000000002"/>
    <n v="0"/>
    <n v="0"/>
  </r>
  <r>
    <x v="7788"/>
    <n v="12"/>
    <n v="54"/>
    <n v="66"/>
    <n v="14"/>
    <n v="24"/>
    <x v="45"/>
    <n v="14"/>
    <n v="22"/>
    <n v="44"/>
    <n v="2.2000000000000002"/>
    <n v="0"/>
    <n v="0"/>
  </r>
  <r>
    <x v="7789"/>
    <n v="22"/>
    <n v="44"/>
    <n v="66"/>
    <n v="14"/>
    <n v="11"/>
    <x v="14"/>
    <n v="21"/>
    <n v="12"/>
    <n v="47"/>
    <n v="1.2000000000000002"/>
    <n v="0"/>
    <n v="0"/>
  </r>
  <r>
    <x v="7790"/>
    <n v="12"/>
    <n v="47"/>
    <n v="59"/>
    <n v="21"/>
    <n v="19"/>
    <x v="10"/>
    <n v="22"/>
    <n v="9"/>
    <n v="49"/>
    <n v="0.9"/>
    <n v="0"/>
    <n v="0"/>
  </r>
  <r>
    <x v="7791"/>
    <n v="9"/>
    <n v="49"/>
    <n v="58"/>
    <n v="22"/>
    <n v="14"/>
    <x v="24"/>
    <n v="11"/>
    <n v="12"/>
    <n v="57"/>
    <n v="1.2000000000000002"/>
    <n v="0"/>
    <n v="0"/>
  </r>
  <r>
    <x v="7792"/>
    <n v="12"/>
    <n v="57"/>
    <n v="69"/>
    <n v="11"/>
    <n v="14"/>
    <x v="16"/>
    <n v="20"/>
    <n v="6"/>
    <n v="54"/>
    <n v="0.60000000000000009"/>
    <n v="0"/>
    <n v="0"/>
  </r>
  <r>
    <x v="7793"/>
    <n v="6"/>
    <n v="54"/>
    <n v="60"/>
    <n v="20"/>
    <n v="21"/>
    <x v="12"/>
    <n v="12"/>
    <n v="15"/>
    <n v="53"/>
    <n v="1.5"/>
    <n v="0"/>
    <n v="0"/>
  </r>
  <r>
    <x v="7794"/>
    <n v="15"/>
    <n v="53"/>
    <n v="68"/>
    <n v="12"/>
    <n v="22"/>
    <x v="51"/>
    <n v="21"/>
    <n v="16"/>
    <n v="43"/>
    <n v="1.6"/>
    <n v="0"/>
    <n v="0"/>
  </r>
  <r>
    <x v="7795"/>
    <n v="16"/>
    <n v="43"/>
    <n v="59"/>
    <n v="21"/>
    <n v="11"/>
    <x v="12"/>
    <n v="23"/>
    <n v="4"/>
    <n v="53"/>
    <n v="0.4"/>
    <n v="0"/>
    <n v="0"/>
  </r>
  <r>
    <x v="7796"/>
    <n v="4"/>
    <n v="53"/>
    <n v="57"/>
    <n v="23"/>
    <n v="20"/>
    <x v="32"/>
    <n v="15"/>
    <n v="9"/>
    <n v="56"/>
    <n v="0.9"/>
    <n v="0"/>
    <n v="0"/>
  </r>
  <r>
    <x v="7797"/>
    <n v="9"/>
    <n v="56"/>
    <n v="65"/>
    <n v="15"/>
    <n v="12"/>
    <x v="5"/>
    <n v="23"/>
    <n v="-2"/>
    <n v="59"/>
    <n v="0"/>
    <n v="1"/>
    <n v="2"/>
  </r>
  <r>
    <x v="7798"/>
    <n v="-2"/>
    <n v="59"/>
    <n v="57"/>
    <n v="23"/>
    <n v="21"/>
    <x v="23"/>
    <n v="29"/>
    <n v="-10"/>
    <n v="61"/>
    <n v="0"/>
    <n v="1"/>
    <n v="10"/>
  </r>
  <r>
    <x v="7799"/>
    <n v="-10"/>
    <n v="61"/>
    <n v="51"/>
    <n v="29"/>
    <n v="23"/>
    <x v="21"/>
    <n v="25"/>
    <n v="-12"/>
    <n v="67"/>
    <n v="0"/>
    <n v="1"/>
    <n v="12"/>
  </r>
  <r>
    <x v="7800"/>
    <n v="-12"/>
    <n v="67"/>
    <n v="55"/>
    <n v="25"/>
    <n v="15"/>
    <x v="18"/>
    <n v="28"/>
    <n v="-25"/>
    <n v="77"/>
    <n v="0"/>
    <n v="1"/>
    <n v="25"/>
  </r>
  <r>
    <x v="7801"/>
    <n v="-25"/>
    <n v="77"/>
    <n v="52"/>
    <n v="28"/>
    <n v="23"/>
    <x v="19"/>
    <n v="19"/>
    <n v="-21"/>
    <n v="82"/>
    <n v="0"/>
    <n v="1"/>
    <n v="19"/>
  </r>
  <r>
    <x v="7802"/>
    <n v="-21"/>
    <n v="82"/>
    <n v="61"/>
    <n v="19"/>
    <n v="29"/>
    <x v="29"/>
    <n v="15"/>
    <n v="-7"/>
    <n v="72"/>
    <n v="0"/>
    <n v="1"/>
    <n v="7"/>
  </r>
  <r>
    <x v="7803"/>
    <n v="-7"/>
    <n v="72"/>
    <n v="65"/>
    <n v="15"/>
    <n v="25"/>
    <x v="33"/>
    <n v="34"/>
    <n v="-16"/>
    <n v="62"/>
    <n v="0"/>
    <n v="1"/>
    <n v="16"/>
  </r>
  <r>
    <x v="7804"/>
    <n v="-16"/>
    <n v="62"/>
    <n v="46"/>
    <n v="34"/>
    <n v="28"/>
    <x v="17"/>
    <n v="24"/>
    <n v="-12"/>
    <n v="68"/>
    <n v="0"/>
    <n v="1"/>
    <n v="12"/>
  </r>
  <r>
    <x v="7805"/>
    <n v="-12"/>
    <n v="68"/>
    <n v="56"/>
    <n v="24"/>
    <n v="19"/>
    <x v="31"/>
    <n v="25"/>
    <n v="-18"/>
    <n v="73"/>
    <n v="0"/>
    <n v="1"/>
    <n v="18"/>
  </r>
  <r>
    <x v="7806"/>
    <n v="-18"/>
    <n v="73"/>
    <n v="55"/>
    <n v="25"/>
    <n v="15"/>
    <x v="42"/>
    <n v="25"/>
    <n v="-28"/>
    <n v="83"/>
    <n v="0"/>
    <n v="1"/>
    <n v="25"/>
  </r>
  <r>
    <x v="7807"/>
    <n v="-28"/>
    <n v="83"/>
    <n v="55"/>
    <n v="25"/>
    <n v="34"/>
    <x v="39"/>
    <n v="18"/>
    <n v="-12"/>
    <n v="74"/>
    <n v="0"/>
    <n v="1"/>
    <n v="12"/>
  </r>
  <r>
    <x v="7808"/>
    <n v="-12"/>
    <n v="74"/>
    <n v="62"/>
    <n v="18"/>
    <n v="24"/>
    <x v="17"/>
    <n v="12"/>
    <n v="0"/>
    <n v="68"/>
    <n v="0"/>
    <n v="0"/>
    <n v="0"/>
  </r>
  <r>
    <x v="7809"/>
    <n v="0"/>
    <n v="68"/>
    <n v="68"/>
    <n v="12"/>
    <n v="25"/>
    <x v="27"/>
    <n v="20"/>
    <n v="5"/>
    <n v="55"/>
    <n v="0.5"/>
    <n v="0"/>
    <n v="0"/>
  </r>
  <r>
    <x v="7810"/>
    <n v="5"/>
    <n v="55"/>
    <n v="60"/>
    <n v="20"/>
    <n v="25"/>
    <x v="13"/>
    <n v="23"/>
    <n v="7"/>
    <n v="50"/>
    <n v="0.70000000000000007"/>
    <n v="0"/>
    <n v="0"/>
  </r>
  <r>
    <x v="7811"/>
    <n v="7"/>
    <n v="50"/>
    <n v="57"/>
    <n v="23"/>
    <n v="18"/>
    <x v="27"/>
    <n v="18"/>
    <n v="7"/>
    <n v="55"/>
    <n v="0.70000000000000007"/>
    <n v="0"/>
    <n v="0"/>
  </r>
  <r>
    <x v="7812"/>
    <n v="7"/>
    <n v="55"/>
    <n v="62"/>
    <n v="18"/>
    <n v="12"/>
    <x v="23"/>
    <n v="11"/>
    <n v="8"/>
    <n v="61"/>
    <n v="0.8"/>
    <n v="0"/>
    <n v="0"/>
  </r>
  <r>
    <x v="7813"/>
    <n v="8"/>
    <n v="61"/>
    <n v="69"/>
    <n v="11"/>
    <n v="20"/>
    <x v="25"/>
    <n v="19"/>
    <n v="9"/>
    <n v="52"/>
    <n v="0.9"/>
    <n v="0"/>
    <n v="0"/>
  </r>
  <r>
    <x v="7814"/>
    <n v="9"/>
    <n v="52"/>
    <n v="61"/>
    <n v="19"/>
    <n v="23"/>
    <x v="15"/>
    <n v="11"/>
    <n v="21"/>
    <n v="48"/>
    <n v="2.1"/>
    <n v="0"/>
    <n v="0"/>
  </r>
  <r>
    <x v="7815"/>
    <n v="21"/>
    <n v="48"/>
    <n v="69"/>
    <n v="11"/>
    <n v="18"/>
    <x v="52"/>
    <n v="16"/>
    <n v="23"/>
    <n v="41"/>
    <n v="2.3000000000000003"/>
    <n v="0"/>
    <n v="0"/>
  </r>
  <r>
    <x v="7816"/>
    <n v="23"/>
    <n v="41"/>
    <n v="64"/>
    <n v="16"/>
    <n v="11"/>
    <x v="38"/>
    <n v="18"/>
    <n v="16"/>
    <n v="46"/>
    <n v="1.6"/>
    <n v="0"/>
    <n v="0"/>
  </r>
  <r>
    <x v="7817"/>
    <n v="16"/>
    <n v="46"/>
    <n v="62"/>
    <n v="18"/>
    <n v="19"/>
    <x v="11"/>
    <n v="26"/>
    <n v="9"/>
    <n v="45"/>
    <n v="0.9"/>
    <n v="0"/>
    <n v="0"/>
  </r>
  <r>
    <x v="7818"/>
    <n v="9"/>
    <n v="45"/>
    <n v="54"/>
    <n v="26"/>
    <n v="11"/>
    <x v="4"/>
    <n v="21"/>
    <n v="-1"/>
    <n v="60"/>
    <n v="0"/>
    <n v="1"/>
    <n v="1"/>
  </r>
  <r>
    <x v="7819"/>
    <n v="-1"/>
    <n v="60"/>
    <n v="59"/>
    <n v="21"/>
    <n v="16"/>
    <x v="26"/>
    <n v="23"/>
    <n v="-8"/>
    <n v="65"/>
    <n v="0"/>
    <n v="1"/>
    <n v="8"/>
  </r>
  <r>
    <x v="7820"/>
    <n v="-8"/>
    <n v="65"/>
    <n v="57"/>
    <n v="23"/>
    <n v="18"/>
    <x v="6"/>
    <n v="7"/>
    <n v="3"/>
    <n v="70"/>
    <n v="0.30000000000000004"/>
    <n v="0"/>
    <n v="0"/>
  </r>
  <r>
    <x v="7821"/>
    <n v="3"/>
    <n v="70"/>
    <n v="73"/>
    <n v="7"/>
    <n v="26"/>
    <x v="9"/>
    <n v="22"/>
    <n v="7"/>
    <n v="51"/>
    <n v="0.70000000000000007"/>
    <n v="0"/>
    <n v="0"/>
  </r>
  <r>
    <x v="7822"/>
    <n v="7"/>
    <n v="51"/>
    <n v="58"/>
    <n v="22"/>
    <n v="21"/>
    <x v="25"/>
    <n v="25"/>
    <n v="3"/>
    <n v="52"/>
    <n v="0.30000000000000004"/>
    <n v="0"/>
    <n v="0"/>
  </r>
  <r>
    <x v="7823"/>
    <n v="3"/>
    <n v="52"/>
    <n v="55"/>
    <n v="25"/>
    <n v="23"/>
    <x v="16"/>
    <n v="18"/>
    <n v="8"/>
    <n v="54"/>
    <n v="0.8"/>
    <n v="0"/>
    <n v="0"/>
  </r>
  <r>
    <x v="7824"/>
    <n v="8"/>
    <n v="54"/>
    <n v="62"/>
    <n v="18"/>
    <n v="7"/>
    <x v="26"/>
    <n v="22"/>
    <n v="-7"/>
    <n v="65"/>
    <n v="0"/>
    <n v="1"/>
    <n v="7"/>
  </r>
  <r>
    <x v="7825"/>
    <n v="-7"/>
    <n v="65"/>
    <n v="58"/>
    <n v="22"/>
    <n v="22"/>
    <x v="26"/>
    <n v="15"/>
    <n v="0"/>
    <n v="65"/>
    <n v="0"/>
    <n v="0"/>
    <n v="0"/>
  </r>
  <r>
    <x v="7826"/>
    <n v="0"/>
    <n v="65"/>
    <n v="65"/>
    <n v="15"/>
    <n v="25"/>
    <x v="27"/>
    <n v="20"/>
    <n v="5"/>
    <n v="55"/>
    <n v="0.5"/>
    <n v="0"/>
    <n v="0"/>
  </r>
  <r>
    <x v="7827"/>
    <n v="5"/>
    <n v="55"/>
    <n v="60"/>
    <n v="20"/>
    <n v="18"/>
    <x v="24"/>
    <n v="16"/>
    <n v="7"/>
    <n v="57"/>
    <n v="0.70000000000000007"/>
    <n v="0"/>
    <n v="0"/>
  </r>
  <r>
    <x v="7828"/>
    <n v="7"/>
    <n v="57"/>
    <n v="64"/>
    <n v="16"/>
    <n v="22"/>
    <x v="9"/>
    <n v="22"/>
    <n v="7"/>
    <n v="51"/>
    <n v="0.70000000000000007"/>
    <n v="0"/>
    <n v="0"/>
  </r>
  <r>
    <x v="7829"/>
    <n v="7"/>
    <n v="51"/>
    <n v="58"/>
    <n v="22"/>
    <n v="15"/>
    <x v="28"/>
    <n v="20"/>
    <n v="2"/>
    <n v="58"/>
    <n v="0.2"/>
    <n v="0"/>
    <n v="0"/>
  </r>
  <r>
    <x v="7830"/>
    <n v="2"/>
    <n v="58"/>
    <n v="60"/>
    <n v="20"/>
    <n v="20"/>
    <x v="28"/>
    <n v="16"/>
    <n v="6"/>
    <n v="58"/>
    <n v="0.60000000000000009"/>
    <n v="0"/>
    <n v="0"/>
  </r>
  <r>
    <x v="7831"/>
    <n v="6"/>
    <n v="58"/>
    <n v="64"/>
    <n v="16"/>
    <n v="16"/>
    <x v="28"/>
    <n v="32"/>
    <n v="-10"/>
    <n v="58"/>
    <n v="0"/>
    <n v="1"/>
    <n v="10"/>
  </r>
  <r>
    <x v="7832"/>
    <n v="-10"/>
    <n v="58"/>
    <n v="48"/>
    <n v="32"/>
    <n v="22"/>
    <x v="17"/>
    <n v="21"/>
    <n v="-9"/>
    <n v="68"/>
    <n v="0"/>
    <n v="1"/>
    <n v="9"/>
  </r>
  <r>
    <x v="7833"/>
    <n v="-9"/>
    <n v="68"/>
    <n v="59"/>
    <n v="21"/>
    <n v="20"/>
    <x v="30"/>
    <n v="17"/>
    <n v="-6"/>
    <n v="69"/>
    <n v="0"/>
    <n v="1"/>
    <n v="6"/>
  </r>
  <r>
    <x v="7834"/>
    <n v="-6"/>
    <n v="69"/>
    <n v="63"/>
    <n v="17"/>
    <n v="16"/>
    <x v="6"/>
    <n v="23"/>
    <n v="-13"/>
    <n v="70"/>
    <n v="0"/>
    <n v="1"/>
    <n v="13"/>
  </r>
  <r>
    <x v="7835"/>
    <n v="-13"/>
    <n v="70"/>
    <n v="57"/>
    <n v="23"/>
    <n v="32"/>
    <x v="23"/>
    <n v="13"/>
    <n v="6"/>
    <n v="61"/>
    <n v="0.60000000000000009"/>
    <n v="0"/>
    <n v="0"/>
  </r>
  <r>
    <x v="7836"/>
    <n v="6"/>
    <n v="61"/>
    <n v="67"/>
    <n v="13"/>
    <n v="21"/>
    <x v="12"/>
    <n v="14"/>
    <n v="13"/>
    <n v="53"/>
    <n v="1.3"/>
    <n v="0"/>
    <n v="0"/>
  </r>
  <r>
    <x v="7837"/>
    <n v="13"/>
    <n v="53"/>
    <n v="66"/>
    <n v="14"/>
    <n v="17"/>
    <x v="13"/>
    <n v="13"/>
    <n v="17"/>
    <n v="50"/>
    <n v="1.7000000000000002"/>
    <n v="0"/>
    <n v="0"/>
  </r>
  <r>
    <x v="7838"/>
    <n v="17"/>
    <n v="50"/>
    <n v="67"/>
    <n v="13"/>
    <n v="23"/>
    <x v="46"/>
    <n v="15"/>
    <n v="25"/>
    <n v="40"/>
    <n v="2.5"/>
    <n v="0"/>
    <n v="0"/>
  </r>
  <r>
    <x v="7839"/>
    <n v="25"/>
    <n v="40"/>
    <n v="65"/>
    <n v="15"/>
    <n v="13"/>
    <x v="40"/>
    <n v="17"/>
    <n v="21"/>
    <n v="42"/>
    <n v="2.1"/>
    <n v="0"/>
    <n v="0"/>
  </r>
  <r>
    <x v="7840"/>
    <n v="21"/>
    <n v="42"/>
    <n v="63"/>
    <n v="17"/>
    <n v="14"/>
    <x v="11"/>
    <n v="13"/>
    <n v="22"/>
    <n v="45"/>
    <n v="2.2000000000000002"/>
    <n v="0"/>
    <n v="0"/>
  </r>
  <r>
    <x v="7841"/>
    <n v="22"/>
    <n v="45"/>
    <n v="67"/>
    <n v="13"/>
    <n v="13"/>
    <x v="11"/>
    <n v="22"/>
    <n v="13"/>
    <n v="45"/>
    <n v="1.3"/>
    <n v="0"/>
    <n v="0"/>
  </r>
  <r>
    <x v="7842"/>
    <n v="13"/>
    <n v="45"/>
    <n v="58"/>
    <n v="22"/>
    <n v="15"/>
    <x v="25"/>
    <n v="30"/>
    <n v="-2"/>
    <n v="52"/>
    <n v="0"/>
    <n v="1"/>
    <n v="2"/>
  </r>
  <r>
    <x v="7843"/>
    <n v="-2"/>
    <n v="52"/>
    <n v="50"/>
    <n v="30"/>
    <n v="17"/>
    <x v="26"/>
    <n v="28"/>
    <n v="-13"/>
    <n v="65"/>
    <n v="0"/>
    <n v="1"/>
    <n v="13"/>
  </r>
  <r>
    <x v="7844"/>
    <n v="-13"/>
    <n v="65"/>
    <n v="52"/>
    <n v="28"/>
    <n v="13"/>
    <x v="0"/>
    <n v="19"/>
    <n v="-19"/>
    <n v="80"/>
    <n v="0"/>
    <n v="1"/>
    <n v="19"/>
  </r>
  <r>
    <x v="7845"/>
    <n v="-19"/>
    <n v="80"/>
    <n v="61"/>
    <n v="19"/>
    <n v="22"/>
    <x v="18"/>
    <n v="14"/>
    <n v="-11"/>
    <n v="77"/>
    <n v="0"/>
    <n v="1"/>
    <n v="11"/>
  </r>
  <r>
    <x v="7846"/>
    <n v="-11"/>
    <n v="77"/>
    <n v="66"/>
    <n v="14"/>
    <n v="30"/>
    <x v="23"/>
    <n v="27"/>
    <n v="-8"/>
    <n v="61"/>
    <n v="0"/>
    <n v="1"/>
    <n v="8"/>
  </r>
  <r>
    <x v="7847"/>
    <n v="-8"/>
    <n v="61"/>
    <n v="53"/>
    <n v="27"/>
    <n v="28"/>
    <x v="4"/>
    <n v="24"/>
    <n v="-4"/>
    <n v="60"/>
    <n v="0"/>
    <n v="1"/>
    <n v="4"/>
  </r>
  <r>
    <x v="7848"/>
    <n v="-4"/>
    <n v="60"/>
    <n v="56"/>
    <n v="24"/>
    <n v="19"/>
    <x v="26"/>
    <n v="21"/>
    <n v="-6"/>
    <n v="65"/>
    <n v="0"/>
    <n v="1"/>
    <n v="6"/>
  </r>
  <r>
    <x v="7849"/>
    <n v="-6"/>
    <n v="65"/>
    <n v="59"/>
    <n v="21"/>
    <n v="14"/>
    <x v="29"/>
    <n v="19"/>
    <n v="-11"/>
    <n v="72"/>
    <n v="0"/>
    <n v="1"/>
    <n v="11"/>
  </r>
  <r>
    <x v="7850"/>
    <n v="-11"/>
    <n v="72"/>
    <n v="61"/>
    <n v="19"/>
    <n v="27"/>
    <x v="8"/>
    <n v="19"/>
    <n v="-3"/>
    <n v="64"/>
    <n v="0"/>
    <n v="1"/>
    <n v="3"/>
  </r>
  <r>
    <x v="7851"/>
    <n v="-3"/>
    <n v="64"/>
    <n v="61"/>
    <n v="19"/>
    <n v="24"/>
    <x v="5"/>
    <n v="16"/>
    <n v="5"/>
    <n v="59"/>
    <n v="0.5"/>
    <n v="0"/>
    <n v="0"/>
  </r>
  <r>
    <x v="7852"/>
    <n v="5"/>
    <n v="59"/>
    <n v="64"/>
    <n v="16"/>
    <n v="21"/>
    <x v="16"/>
    <n v="13"/>
    <n v="13"/>
    <n v="54"/>
    <n v="1.3"/>
    <n v="0"/>
    <n v="0"/>
  </r>
  <r>
    <x v="7853"/>
    <n v="13"/>
    <n v="54"/>
    <n v="67"/>
    <n v="13"/>
    <n v="19"/>
    <x v="15"/>
    <n v="18"/>
    <n v="14"/>
    <n v="48"/>
    <n v="1.4000000000000001"/>
    <n v="0"/>
    <n v="0"/>
  </r>
  <r>
    <x v="7854"/>
    <n v="14"/>
    <n v="48"/>
    <n v="62"/>
    <n v="18"/>
    <n v="19"/>
    <x v="14"/>
    <n v="16"/>
    <n v="17"/>
    <n v="47"/>
    <n v="1.7000000000000002"/>
    <n v="0"/>
    <n v="0"/>
  </r>
  <r>
    <x v="7855"/>
    <n v="17"/>
    <n v="47"/>
    <n v="64"/>
    <n v="16"/>
    <n v="16"/>
    <x v="14"/>
    <n v="21"/>
    <n v="12"/>
    <n v="47"/>
    <n v="1.2000000000000002"/>
    <n v="0"/>
    <n v="0"/>
  </r>
  <r>
    <x v="7856"/>
    <n v="12"/>
    <n v="47"/>
    <n v="59"/>
    <n v="21"/>
    <n v="13"/>
    <x v="27"/>
    <n v="28"/>
    <n v="-3"/>
    <n v="55"/>
    <n v="0"/>
    <n v="1"/>
    <n v="3"/>
  </r>
  <r>
    <x v="7857"/>
    <n v="-3"/>
    <n v="55"/>
    <n v="52"/>
    <n v="28"/>
    <n v="18"/>
    <x v="26"/>
    <n v="21"/>
    <n v="-6"/>
    <n v="65"/>
    <n v="0"/>
    <n v="1"/>
    <n v="6"/>
  </r>
  <r>
    <x v="7858"/>
    <n v="-6"/>
    <n v="65"/>
    <n v="59"/>
    <n v="21"/>
    <n v="16"/>
    <x v="6"/>
    <n v="17"/>
    <n v="-7"/>
    <n v="70"/>
    <n v="0"/>
    <n v="1"/>
    <n v="7"/>
  </r>
  <r>
    <x v="7859"/>
    <n v="-7"/>
    <n v="70"/>
    <n v="63"/>
    <n v="17"/>
    <n v="21"/>
    <x v="7"/>
    <n v="21"/>
    <n v="-7"/>
    <n v="66"/>
    <n v="0"/>
    <n v="1"/>
    <n v="7"/>
  </r>
  <r>
    <x v="7860"/>
    <n v="-7"/>
    <n v="66"/>
    <n v="59"/>
    <n v="21"/>
    <n v="28"/>
    <x v="5"/>
    <n v="22"/>
    <n v="-1"/>
    <n v="59"/>
    <n v="0"/>
    <n v="1"/>
    <n v="1"/>
  </r>
  <r>
    <x v="7861"/>
    <n v="-1"/>
    <n v="59"/>
    <n v="58"/>
    <n v="22"/>
    <n v="21"/>
    <x v="4"/>
    <n v="24"/>
    <n v="-4"/>
    <n v="60"/>
    <n v="0"/>
    <n v="1"/>
    <n v="4"/>
  </r>
  <r>
    <x v="7862"/>
    <n v="-4"/>
    <n v="60"/>
    <n v="56"/>
    <n v="24"/>
    <n v="17"/>
    <x v="21"/>
    <n v="29"/>
    <n v="-16"/>
    <n v="67"/>
    <n v="0"/>
    <n v="1"/>
    <n v="16"/>
  </r>
  <r>
    <x v="7863"/>
    <n v="-16"/>
    <n v="67"/>
    <n v="51"/>
    <n v="29"/>
    <n v="21"/>
    <x v="44"/>
    <n v="23"/>
    <n v="-18"/>
    <n v="75"/>
    <n v="0"/>
    <n v="1"/>
    <n v="18"/>
  </r>
  <r>
    <x v="7864"/>
    <n v="-18"/>
    <n v="75"/>
    <n v="57"/>
    <n v="23"/>
    <n v="22"/>
    <x v="37"/>
    <n v="16"/>
    <n v="-12"/>
    <n v="76"/>
    <n v="0"/>
    <n v="1"/>
    <n v="12"/>
  </r>
  <r>
    <x v="7865"/>
    <n v="-12"/>
    <n v="76"/>
    <n v="64"/>
    <n v="16"/>
    <n v="24"/>
    <x v="17"/>
    <n v="23"/>
    <n v="-11"/>
    <n v="68"/>
    <n v="0"/>
    <n v="1"/>
    <n v="11"/>
  </r>
  <r>
    <x v="7866"/>
    <n v="-11"/>
    <n v="68"/>
    <n v="57"/>
    <n v="23"/>
    <n v="29"/>
    <x v="33"/>
    <n v="19"/>
    <n v="-1"/>
    <n v="62"/>
    <n v="0"/>
    <n v="1"/>
    <n v="1"/>
  </r>
  <r>
    <x v="7867"/>
    <n v="-1"/>
    <n v="62"/>
    <n v="61"/>
    <n v="19"/>
    <n v="23"/>
    <x v="28"/>
    <n v="18"/>
    <n v="4"/>
    <n v="58"/>
    <n v="0.4"/>
    <n v="0"/>
    <n v="0"/>
  </r>
  <r>
    <x v="7868"/>
    <n v="4"/>
    <n v="58"/>
    <n v="62"/>
    <n v="18"/>
    <n v="16"/>
    <x v="4"/>
    <n v="28"/>
    <n v="-8"/>
    <n v="60"/>
    <n v="0"/>
    <n v="1"/>
    <n v="8"/>
  </r>
  <r>
    <x v="7869"/>
    <n v="-8"/>
    <n v="60"/>
    <n v="52"/>
    <n v="28"/>
    <n v="23"/>
    <x v="26"/>
    <n v="24"/>
    <n v="-9"/>
    <n v="65"/>
    <n v="0"/>
    <n v="1"/>
    <n v="9"/>
  </r>
  <r>
    <x v="7870"/>
    <n v="-9"/>
    <n v="65"/>
    <n v="56"/>
    <n v="24"/>
    <n v="19"/>
    <x v="6"/>
    <n v="22"/>
    <n v="-12"/>
    <n v="70"/>
    <n v="0"/>
    <n v="1"/>
    <n v="12"/>
  </r>
  <r>
    <x v="7871"/>
    <n v="-12"/>
    <n v="70"/>
    <n v="58"/>
    <n v="22"/>
    <n v="18"/>
    <x v="39"/>
    <n v="14"/>
    <n v="-8"/>
    <n v="74"/>
    <n v="0"/>
    <n v="1"/>
    <n v="8"/>
  </r>
  <r>
    <x v="7872"/>
    <n v="-8"/>
    <n v="74"/>
    <n v="66"/>
    <n v="14"/>
    <n v="28"/>
    <x v="4"/>
    <n v="16"/>
    <n v="4"/>
    <n v="60"/>
    <n v="0.4"/>
    <n v="0"/>
    <n v="0"/>
  </r>
  <r>
    <x v="7873"/>
    <n v="4"/>
    <n v="60"/>
    <n v="64"/>
    <n v="16"/>
    <n v="24"/>
    <x v="25"/>
    <n v="14"/>
    <n v="14"/>
    <n v="52"/>
    <n v="1.4000000000000001"/>
    <n v="0"/>
    <n v="0"/>
  </r>
  <r>
    <x v="7874"/>
    <n v="14"/>
    <n v="52"/>
    <n v="66"/>
    <n v="14"/>
    <n v="22"/>
    <x v="45"/>
    <n v="20"/>
    <n v="16"/>
    <n v="44"/>
    <n v="1.6"/>
    <n v="0"/>
    <n v="0"/>
  </r>
  <r>
    <x v="7875"/>
    <n v="16"/>
    <n v="44"/>
    <n v="60"/>
    <n v="20"/>
    <n v="14"/>
    <x v="13"/>
    <n v="20"/>
    <n v="10"/>
    <n v="50"/>
    <n v="1"/>
    <n v="0"/>
    <n v="0"/>
  </r>
  <r>
    <x v="7876"/>
    <n v="10"/>
    <n v="50"/>
    <n v="60"/>
    <n v="20"/>
    <n v="16"/>
    <x v="16"/>
    <n v="23"/>
    <n v="3"/>
    <n v="54"/>
    <n v="0.30000000000000004"/>
    <n v="0"/>
    <n v="0"/>
  </r>
  <r>
    <x v="7877"/>
    <n v="3"/>
    <n v="54"/>
    <n v="57"/>
    <n v="23"/>
    <n v="14"/>
    <x v="22"/>
    <n v="26"/>
    <n v="-9"/>
    <n v="63"/>
    <n v="0"/>
    <n v="1"/>
    <n v="9"/>
  </r>
  <r>
    <x v="7878"/>
    <n v="-9"/>
    <n v="63"/>
    <n v="54"/>
    <n v="26"/>
    <n v="20"/>
    <x v="30"/>
    <n v="23"/>
    <n v="-12"/>
    <n v="69"/>
    <n v="0"/>
    <n v="1"/>
    <n v="12"/>
  </r>
  <r>
    <x v="7879"/>
    <n v="-12"/>
    <n v="69"/>
    <n v="57"/>
    <n v="23"/>
    <n v="20"/>
    <x v="29"/>
    <n v="16"/>
    <n v="-8"/>
    <n v="72"/>
    <n v="0"/>
    <n v="1"/>
    <n v="8"/>
  </r>
  <r>
    <x v="7880"/>
    <n v="-8"/>
    <n v="72"/>
    <n v="64"/>
    <n v="16"/>
    <n v="23"/>
    <x v="26"/>
    <n v="21"/>
    <n v="-6"/>
    <n v="65"/>
    <n v="0"/>
    <n v="1"/>
    <n v="6"/>
  </r>
  <r>
    <x v="7881"/>
    <n v="-6"/>
    <n v="65"/>
    <n v="59"/>
    <n v="21"/>
    <n v="26"/>
    <x v="4"/>
    <n v="16"/>
    <n v="4"/>
    <n v="60"/>
    <n v="0.4"/>
    <n v="0"/>
    <n v="0"/>
  </r>
  <r>
    <x v="7882"/>
    <n v="4"/>
    <n v="60"/>
    <n v="64"/>
    <n v="16"/>
    <n v="23"/>
    <x v="12"/>
    <n v="25"/>
    <n v="2"/>
    <n v="53"/>
    <n v="0.2"/>
    <n v="0"/>
    <n v="0"/>
  </r>
  <r>
    <x v="7883"/>
    <n v="2"/>
    <n v="53"/>
    <n v="55"/>
    <n v="25"/>
    <n v="16"/>
    <x v="33"/>
    <n v="14"/>
    <n v="4"/>
    <n v="62"/>
    <n v="0.4"/>
    <n v="0"/>
    <n v="0"/>
  </r>
  <r>
    <x v="7884"/>
    <n v="4"/>
    <n v="62"/>
    <n v="66"/>
    <n v="14"/>
    <n v="21"/>
    <x v="27"/>
    <n v="17"/>
    <n v="8"/>
    <n v="55"/>
    <n v="0.8"/>
    <n v="0"/>
    <n v="0"/>
  </r>
  <r>
    <x v="7885"/>
    <n v="8"/>
    <n v="55"/>
    <n v="63"/>
    <n v="17"/>
    <n v="16"/>
    <x v="32"/>
    <n v="25"/>
    <n v="-1"/>
    <n v="56"/>
    <n v="0"/>
    <n v="1"/>
    <n v="1"/>
  </r>
  <r>
    <x v="7886"/>
    <n v="-1"/>
    <n v="56"/>
    <n v="55"/>
    <n v="25"/>
    <n v="25"/>
    <x v="32"/>
    <n v="24"/>
    <n v="0"/>
    <n v="56"/>
    <n v="0"/>
    <n v="0"/>
    <n v="0"/>
  </r>
  <r>
    <x v="7887"/>
    <n v="0"/>
    <n v="56"/>
    <n v="56"/>
    <n v="24"/>
    <n v="14"/>
    <x v="7"/>
    <n v="23"/>
    <n v="-9"/>
    <n v="66"/>
    <n v="0"/>
    <n v="1"/>
    <n v="9"/>
  </r>
  <r>
    <x v="7888"/>
    <n v="-9"/>
    <n v="66"/>
    <n v="57"/>
    <n v="23"/>
    <n v="17"/>
    <x v="29"/>
    <n v="26"/>
    <n v="-18"/>
    <n v="72"/>
    <n v="0"/>
    <n v="1"/>
    <n v="18"/>
  </r>
  <r>
    <x v="7889"/>
    <n v="-18"/>
    <n v="72"/>
    <n v="54"/>
    <n v="26"/>
    <n v="25"/>
    <x v="31"/>
    <n v="20"/>
    <n v="-13"/>
    <n v="73"/>
    <n v="0"/>
    <n v="1"/>
    <n v="13"/>
  </r>
  <r>
    <x v="7890"/>
    <n v="-13"/>
    <n v="73"/>
    <n v="60"/>
    <n v="20"/>
    <n v="24"/>
    <x v="30"/>
    <n v="22"/>
    <n v="-11"/>
    <n v="69"/>
    <n v="0"/>
    <n v="1"/>
    <n v="11"/>
  </r>
  <r>
    <x v="7891"/>
    <n v="-11"/>
    <n v="69"/>
    <n v="58"/>
    <n v="22"/>
    <n v="23"/>
    <x v="17"/>
    <n v="23"/>
    <n v="-11"/>
    <n v="68"/>
    <n v="0"/>
    <n v="1"/>
    <n v="11"/>
  </r>
  <r>
    <x v="7892"/>
    <n v="-11"/>
    <n v="68"/>
    <n v="57"/>
    <n v="23"/>
    <n v="26"/>
    <x v="26"/>
    <n v="19"/>
    <n v="-4"/>
    <n v="65"/>
    <n v="0"/>
    <n v="1"/>
    <n v="4"/>
  </r>
  <r>
    <x v="7893"/>
    <n v="-4"/>
    <n v="65"/>
    <n v="61"/>
    <n v="19"/>
    <n v="20"/>
    <x v="8"/>
    <n v="18"/>
    <n v="-2"/>
    <n v="64"/>
    <n v="0"/>
    <n v="1"/>
    <n v="2"/>
  </r>
  <r>
    <x v="7894"/>
    <n v="-2"/>
    <n v="64"/>
    <n v="62"/>
    <n v="18"/>
    <n v="22"/>
    <x v="4"/>
    <n v="18"/>
    <n v="2"/>
    <n v="60"/>
    <n v="0.2"/>
    <n v="0"/>
    <n v="0"/>
  </r>
  <r>
    <x v="7895"/>
    <n v="2"/>
    <n v="60"/>
    <n v="62"/>
    <n v="18"/>
    <n v="23"/>
    <x v="27"/>
    <n v="15"/>
    <n v="10"/>
    <n v="55"/>
    <n v="1"/>
    <n v="0"/>
    <n v="0"/>
  </r>
  <r>
    <x v="7896"/>
    <n v="10"/>
    <n v="55"/>
    <n v="65"/>
    <n v="15"/>
    <n v="19"/>
    <x v="9"/>
    <n v="14"/>
    <n v="15"/>
    <n v="51"/>
    <n v="1.5"/>
    <n v="0"/>
    <n v="0"/>
  </r>
  <r>
    <x v="7897"/>
    <n v="15"/>
    <n v="51"/>
    <n v="66"/>
    <n v="14"/>
    <n v="18"/>
    <x v="14"/>
    <n v="16"/>
    <n v="17"/>
    <n v="47"/>
    <n v="1.7000000000000002"/>
    <n v="0"/>
    <n v="0"/>
  </r>
  <r>
    <x v="7898"/>
    <n v="17"/>
    <n v="47"/>
    <n v="64"/>
    <n v="16"/>
    <n v="18"/>
    <x v="11"/>
    <n v="23"/>
    <n v="12"/>
    <n v="45"/>
    <n v="1.2000000000000002"/>
    <n v="0"/>
    <n v="0"/>
  </r>
  <r>
    <x v="7899"/>
    <n v="12"/>
    <n v="45"/>
    <n v="57"/>
    <n v="23"/>
    <n v="15"/>
    <x v="12"/>
    <n v="16"/>
    <n v="11"/>
    <n v="53"/>
    <n v="1.1000000000000001"/>
    <n v="0"/>
    <n v="0"/>
  </r>
  <r>
    <x v="7900"/>
    <n v="11"/>
    <n v="53"/>
    <n v="64"/>
    <n v="16"/>
    <n v="14"/>
    <x v="27"/>
    <n v="18"/>
    <n v="7"/>
    <n v="55"/>
    <n v="0.70000000000000007"/>
    <n v="0"/>
    <n v="0"/>
  </r>
  <r>
    <x v="7901"/>
    <n v="7"/>
    <n v="55"/>
    <n v="62"/>
    <n v="18"/>
    <n v="16"/>
    <x v="24"/>
    <n v="18"/>
    <n v="5"/>
    <n v="57"/>
    <n v="0.5"/>
    <n v="0"/>
    <n v="0"/>
  </r>
  <r>
    <x v="7902"/>
    <n v="5"/>
    <n v="57"/>
    <n v="62"/>
    <n v="18"/>
    <n v="23"/>
    <x v="25"/>
    <n v="18"/>
    <n v="10"/>
    <n v="52"/>
    <n v="1"/>
    <n v="0"/>
    <n v="0"/>
  </r>
  <r>
    <x v="7903"/>
    <n v="10"/>
    <n v="52"/>
    <n v="62"/>
    <n v="18"/>
    <n v="16"/>
    <x v="16"/>
    <n v="13"/>
    <n v="13"/>
    <n v="54"/>
    <n v="1.3"/>
    <n v="0"/>
    <n v="0"/>
  </r>
  <r>
    <x v="7904"/>
    <n v="13"/>
    <n v="54"/>
    <n v="67"/>
    <n v="13"/>
    <n v="18"/>
    <x v="10"/>
    <n v="12"/>
    <n v="19"/>
    <n v="49"/>
    <n v="1.9000000000000001"/>
    <n v="0"/>
    <n v="0"/>
  </r>
  <r>
    <x v="7905"/>
    <n v="19"/>
    <n v="49"/>
    <n v="68"/>
    <n v="12"/>
    <n v="18"/>
    <x v="51"/>
    <n v="17"/>
    <n v="20"/>
    <n v="43"/>
    <n v="2"/>
    <n v="0"/>
    <n v="0"/>
  </r>
  <r>
    <x v="7906"/>
    <n v="20"/>
    <n v="43"/>
    <n v="63"/>
    <n v="17"/>
    <n v="18"/>
    <x v="40"/>
    <n v="25"/>
    <n v="13"/>
    <n v="42"/>
    <n v="1.3"/>
    <n v="0"/>
    <n v="0"/>
  </r>
  <r>
    <x v="7907"/>
    <n v="13"/>
    <n v="42"/>
    <n v="55"/>
    <n v="25"/>
    <n v="13"/>
    <x v="16"/>
    <n v="21"/>
    <n v="5"/>
    <n v="54"/>
    <n v="0.5"/>
    <n v="0"/>
    <n v="0"/>
  </r>
  <r>
    <x v="7908"/>
    <n v="5"/>
    <n v="54"/>
    <n v="59"/>
    <n v="21"/>
    <n v="12"/>
    <x v="22"/>
    <n v="27"/>
    <n v="-10"/>
    <n v="63"/>
    <n v="0"/>
    <n v="1"/>
    <n v="10"/>
  </r>
  <r>
    <x v="7909"/>
    <n v="-10"/>
    <n v="63"/>
    <n v="53"/>
    <n v="27"/>
    <n v="17"/>
    <x v="31"/>
    <n v="24"/>
    <n v="-17"/>
    <n v="73"/>
    <n v="0"/>
    <n v="1"/>
    <n v="17"/>
  </r>
  <r>
    <x v="7910"/>
    <n v="-17"/>
    <n v="73"/>
    <n v="56"/>
    <n v="24"/>
    <n v="25"/>
    <x v="29"/>
    <n v="22"/>
    <n v="-14"/>
    <n v="72"/>
    <n v="0"/>
    <n v="1"/>
    <n v="14"/>
  </r>
  <r>
    <x v="7911"/>
    <n v="-14"/>
    <n v="72"/>
    <n v="58"/>
    <n v="22"/>
    <n v="21"/>
    <x v="31"/>
    <n v="22"/>
    <n v="-15"/>
    <n v="73"/>
    <n v="0"/>
    <n v="1"/>
    <n v="15"/>
  </r>
  <r>
    <x v="7912"/>
    <n v="-15"/>
    <n v="73"/>
    <n v="58"/>
    <n v="22"/>
    <n v="27"/>
    <x v="17"/>
    <n v="21"/>
    <n v="-9"/>
    <n v="68"/>
    <n v="0"/>
    <n v="1"/>
    <n v="9"/>
  </r>
  <r>
    <x v="7913"/>
    <n v="-9"/>
    <n v="68"/>
    <n v="59"/>
    <n v="21"/>
    <n v="24"/>
    <x v="26"/>
    <n v="20"/>
    <n v="-5"/>
    <n v="65"/>
    <n v="0"/>
    <n v="1"/>
    <n v="5"/>
  </r>
  <r>
    <x v="7914"/>
    <n v="-5"/>
    <n v="65"/>
    <n v="60"/>
    <n v="20"/>
    <n v="22"/>
    <x v="22"/>
    <n v="28"/>
    <n v="-11"/>
    <n v="63"/>
    <n v="0"/>
    <n v="1"/>
    <n v="11"/>
  </r>
  <r>
    <x v="7915"/>
    <n v="-11"/>
    <n v="63"/>
    <n v="52"/>
    <n v="28"/>
    <n v="22"/>
    <x v="30"/>
    <n v="17"/>
    <n v="-6"/>
    <n v="69"/>
    <n v="0"/>
    <n v="1"/>
    <n v="6"/>
  </r>
  <r>
    <x v="7916"/>
    <n v="-6"/>
    <n v="69"/>
    <n v="63"/>
    <n v="17"/>
    <n v="21"/>
    <x v="26"/>
    <n v="25"/>
    <n v="-10"/>
    <n v="65"/>
    <n v="0"/>
    <n v="1"/>
    <n v="10"/>
  </r>
  <r>
    <x v="7917"/>
    <n v="-10"/>
    <n v="65"/>
    <n v="55"/>
    <n v="25"/>
    <n v="20"/>
    <x v="6"/>
    <n v="21"/>
    <n v="-11"/>
    <n v="70"/>
    <n v="0"/>
    <n v="1"/>
    <n v="11"/>
  </r>
  <r>
    <x v="7918"/>
    <n v="-11"/>
    <n v="70"/>
    <n v="59"/>
    <n v="21"/>
    <n v="28"/>
    <x v="22"/>
    <n v="16"/>
    <n v="1"/>
    <n v="63"/>
    <n v="0.1"/>
    <n v="0"/>
    <n v="0"/>
  </r>
  <r>
    <x v="7919"/>
    <n v="1"/>
    <n v="63"/>
    <n v="64"/>
    <n v="16"/>
    <n v="17"/>
    <x v="33"/>
    <n v="23"/>
    <n v="-5"/>
    <n v="62"/>
    <n v="0"/>
    <n v="1"/>
    <n v="5"/>
  </r>
  <r>
    <x v="7920"/>
    <n v="-5"/>
    <n v="62"/>
    <n v="57"/>
    <n v="23"/>
    <n v="25"/>
    <x v="4"/>
    <n v="21"/>
    <n v="-1"/>
    <n v="60"/>
    <n v="0"/>
    <n v="1"/>
    <n v="1"/>
  </r>
  <r>
    <x v="7921"/>
    <n v="-1"/>
    <n v="60"/>
    <n v="59"/>
    <n v="21"/>
    <n v="21"/>
    <x v="4"/>
    <n v="18"/>
    <n v="2"/>
    <n v="60"/>
    <n v="0.2"/>
    <n v="0"/>
    <n v="0"/>
  </r>
  <r>
    <x v="7922"/>
    <n v="2"/>
    <n v="60"/>
    <n v="62"/>
    <n v="18"/>
    <n v="16"/>
    <x v="33"/>
    <n v="21"/>
    <n v="-3"/>
    <n v="62"/>
    <n v="0"/>
    <n v="1"/>
    <n v="3"/>
  </r>
  <r>
    <x v="7923"/>
    <n v="-3"/>
    <n v="62"/>
    <n v="59"/>
    <n v="21"/>
    <n v="23"/>
    <x v="4"/>
    <n v="15"/>
    <n v="5"/>
    <n v="60"/>
    <n v="0.5"/>
    <n v="0"/>
    <n v="0"/>
  </r>
  <r>
    <x v="7924"/>
    <n v="5"/>
    <n v="60"/>
    <n v="65"/>
    <n v="15"/>
    <n v="21"/>
    <x v="16"/>
    <n v="23"/>
    <n v="3"/>
    <n v="54"/>
    <n v="0.30000000000000004"/>
    <n v="0"/>
    <n v="0"/>
  </r>
  <r>
    <x v="7925"/>
    <n v="3"/>
    <n v="54"/>
    <n v="57"/>
    <n v="23"/>
    <n v="18"/>
    <x v="5"/>
    <n v="21"/>
    <n v="0"/>
    <n v="59"/>
    <n v="0"/>
    <n v="0"/>
    <n v="0"/>
  </r>
  <r>
    <x v="7926"/>
    <n v="0"/>
    <n v="59"/>
    <n v="59"/>
    <n v="21"/>
    <n v="21"/>
    <x v="5"/>
    <n v="15"/>
    <n v="6"/>
    <n v="59"/>
    <n v="0.60000000000000009"/>
    <n v="0"/>
    <n v="0"/>
  </r>
  <r>
    <x v="7927"/>
    <n v="6"/>
    <n v="59"/>
    <n v="65"/>
    <n v="15"/>
    <n v="15"/>
    <x v="5"/>
    <n v="22"/>
    <n v="-1"/>
    <n v="59"/>
    <n v="0"/>
    <n v="1"/>
    <n v="1"/>
  </r>
  <r>
    <x v="7928"/>
    <n v="-1"/>
    <n v="59"/>
    <n v="58"/>
    <n v="22"/>
    <n v="23"/>
    <x v="28"/>
    <n v="20"/>
    <n v="2"/>
    <n v="58"/>
    <n v="0.2"/>
    <n v="0"/>
    <n v="0"/>
  </r>
  <r>
    <x v="7929"/>
    <n v="2"/>
    <n v="58"/>
    <n v="60"/>
    <n v="20"/>
    <n v="21"/>
    <x v="24"/>
    <n v="22"/>
    <n v="1"/>
    <n v="57"/>
    <n v="0.1"/>
    <n v="0"/>
    <n v="0"/>
  </r>
  <r>
    <x v="7930"/>
    <n v="1"/>
    <n v="57"/>
    <n v="58"/>
    <n v="22"/>
    <n v="15"/>
    <x v="8"/>
    <n v="25"/>
    <n v="-9"/>
    <n v="64"/>
    <n v="0"/>
    <n v="1"/>
    <n v="9"/>
  </r>
  <r>
    <x v="7931"/>
    <n v="-9"/>
    <n v="64"/>
    <n v="55"/>
    <n v="25"/>
    <n v="22"/>
    <x v="21"/>
    <n v="25"/>
    <n v="-12"/>
    <n v="67"/>
    <n v="0"/>
    <n v="1"/>
    <n v="12"/>
  </r>
  <r>
    <x v="7932"/>
    <n v="-12"/>
    <n v="67"/>
    <n v="55"/>
    <n v="25"/>
    <n v="20"/>
    <x v="29"/>
    <n v="26"/>
    <n v="-18"/>
    <n v="72"/>
    <n v="0"/>
    <n v="1"/>
    <n v="18"/>
  </r>
  <r>
    <x v="7933"/>
    <n v="-18"/>
    <n v="72"/>
    <n v="54"/>
    <n v="26"/>
    <n v="22"/>
    <x v="37"/>
    <n v="19"/>
    <n v="-15"/>
    <n v="76"/>
    <n v="0"/>
    <n v="1"/>
    <n v="15"/>
  </r>
  <r>
    <x v="7934"/>
    <n v="-15"/>
    <n v="76"/>
    <n v="61"/>
    <n v="19"/>
    <n v="25"/>
    <x v="6"/>
    <n v="26"/>
    <n v="-16"/>
    <n v="70"/>
    <n v="0"/>
    <n v="1"/>
    <n v="16"/>
  </r>
  <r>
    <x v="7935"/>
    <n v="-16"/>
    <n v="70"/>
    <n v="54"/>
    <n v="26"/>
    <n v="25"/>
    <x v="20"/>
    <n v="18"/>
    <n v="-9"/>
    <n v="71"/>
    <n v="0"/>
    <n v="1"/>
    <n v="9"/>
  </r>
  <r>
    <x v="7936"/>
    <n v="-9"/>
    <n v="71"/>
    <n v="62"/>
    <n v="18"/>
    <n v="26"/>
    <x v="22"/>
    <n v="23"/>
    <n v="-6"/>
    <n v="63"/>
    <n v="0"/>
    <n v="1"/>
    <n v="6"/>
  </r>
  <r>
    <x v="7937"/>
    <n v="-6"/>
    <n v="63"/>
    <n v="57"/>
    <n v="23"/>
    <n v="19"/>
    <x v="21"/>
    <n v="21"/>
    <n v="-8"/>
    <n v="67"/>
    <n v="0"/>
    <n v="1"/>
    <n v="8"/>
  </r>
  <r>
    <x v="7938"/>
    <n v="-8"/>
    <n v="67"/>
    <n v="59"/>
    <n v="21"/>
    <n v="26"/>
    <x v="33"/>
    <n v="24"/>
    <n v="-6"/>
    <n v="62"/>
    <n v="0"/>
    <n v="1"/>
    <n v="6"/>
  </r>
  <r>
    <x v="7939"/>
    <n v="-6"/>
    <n v="62"/>
    <n v="56"/>
    <n v="24"/>
    <n v="18"/>
    <x v="17"/>
    <n v="19"/>
    <n v="-7"/>
    <n v="68"/>
    <n v="0"/>
    <n v="1"/>
    <n v="7"/>
  </r>
  <r>
    <x v="7940"/>
    <n v="-7"/>
    <n v="68"/>
    <n v="61"/>
    <n v="19"/>
    <n v="23"/>
    <x v="8"/>
    <n v="24"/>
    <n v="-8"/>
    <n v="64"/>
    <n v="0"/>
    <n v="1"/>
    <n v="8"/>
  </r>
  <r>
    <x v="7941"/>
    <n v="-8"/>
    <n v="64"/>
    <n v="56"/>
    <n v="24"/>
    <n v="21"/>
    <x v="21"/>
    <n v="21"/>
    <n v="-8"/>
    <n v="67"/>
    <n v="0"/>
    <n v="1"/>
    <n v="8"/>
  </r>
  <r>
    <x v="7942"/>
    <n v="-8"/>
    <n v="67"/>
    <n v="59"/>
    <n v="21"/>
    <n v="24"/>
    <x v="8"/>
    <n v="21"/>
    <n v="-5"/>
    <n v="64"/>
    <n v="0"/>
    <n v="1"/>
    <n v="5"/>
  </r>
  <r>
    <x v="7943"/>
    <n v="-5"/>
    <n v="64"/>
    <n v="59"/>
    <n v="21"/>
    <n v="19"/>
    <x v="7"/>
    <n v="21"/>
    <n v="-7"/>
    <n v="66"/>
    <n v="0"/>
    <n v="1"/>
    <n v="7"/>
  </r>
  <r>
    <x v="7944"/>
    <n v="-7"/>
    <n v="66"/>
    <n v="59"/>
    <n v="21"/>
    <n v="24"/>
    <x v="22"/>
    <n v="17"/>
    <n v="0"/>
    <n v="63"/>
    <n v="0"/>
    <n v="0"/>
    <n v="0"/>
  </r>
  <r>
    <x v="7945"/>
    <n v="0"/>
    <n v="63"/>
    <n v="63"/>
    <n v="17"/>
    <n v="21"/>
    <x v="5"/>
    <n v="12"/>
    <n v="9"/>
    <n v="59"/>
    <n v="0.9"/>
    <n v="0"/>
    <n v="0"/>
  </r>
  <r>
    <x v="7946"/>
    <n v="9"/>
    <n v="59"/>
    <n v="68"/>
    <n v="12"/>
    <n v="21"/>
    <x v="13"/>
    <n v="17"/>
    <n v="13"/>
    <n v="50"/>
    <n v="1.3"/>
    <n v="0"/>
    <n v="0"/>
  </r>
  <r>
    <x v="7947"/>
    <n v="13"/>
    <n v="50"/>
    <n v="63"/>
    <n v="17"/>
    <n v="21"/>
    <x v="38"/>
    <n v="20"/>
    <n v="14"/>
    <n v="46"/>
    <n v="1.4000000000000001"/>
    <n v="0"/>
    <n v="0"/>
  </r>
  <r>
    <x v="7948"/>
    <n v="14"/>
    <n v="46"/>
    <n v="60"/>
    <n v="20"/>
    <n v="17"/>
    <x v="10"/>
    <n v="17"/>
    <n v="14"/>
    <n v="49"/>
    <n v="1.4000000000000001"/>
    <n v="0"/>
    <n v="0"/>
  </r>
  <r>
    <x v="7949"/>
    <n v="14"/>
    <n v="49"/>
    <n v="63"/>
    <n v="17"/>
    <n v="12"/>
    <x v="16"/>
    <n v="17"/>
    <n v="9"/>
    <n v="54"/>
    <n v="0.9"/>
    <n v="0"/>
    <n v="0"/>
  </r>
  <r>
    <x v="7950"/>
    <n v="9"/>
    <n v="54"/>
    <n v="63"/>
    <n v="17"/>
    <n v="17"/>
    <x v="16"/>
    <n v="22"/>
    <n v="4"/>
    <n v="54"/>
    <n v="0.4"/>
    <n v="0"/>
    <n v="0"/>
  </r>
  <r>
    <x v="7951"/>
    <n v="4"/>
    <n v="54"/>
    <n v="58"/>
    <n v="22"/>
    <n v="20"/>
    <x v="32"/>
    <n v="30"/>
    <n v="-6"/>
    <n v="56"/>
    <n v="0"/>
    <n v="1"/>
    <n v="6"/>
  </r>
  <r>
    <x v="7952"/>
    <n v="-6"/>
    <n v="56"/>
    <n v="50"/>
    <n v="30"/>
    <n v="17"/>
    <x v="30"/>
    <n v="15"/>
    <n v="-4"/>
    <n v="69"/>
    <n v="0"/>
    <n v="1"/>
    <n v="4"/>
  </r>
  <r>
    <x v="7953"/>
    <n v="-4"/>
    <n v="69"/>
    <n v="65"/>
    <n v="15"/>
    <n v="17"/>
    <x v="21"/>
    <n v="22"/>
    <n v="-9"/>
    <n v="67"/>
    <n v="0"/>
    <n v="1"/>
    <n v="9"/>
  </r>
  <r>
    <x v="7954"/>
    <n v="-9"/>
    <n v="67"/>
    <n v="58"/>
    <n v="22"/>
    <n v="22"/>
    <x v="21"/>
    <n v="22"/>
    <n v="-9"/>
    <n v="67"/>
    <n v="0"/>
    <n v="1"/>
    <n v="9"/>
  </r>
  <r>
    <x v="7955"/>
    <n v="-9"/>
    <n v="67"/>
    <n v="58"/>
    <n v="22"/>
    <n v="30"/>
    <x v="5"/>
    <n v="30"/>
    <n v="-9"/>
    <n v="59"/>
    <n v="0"/>
    <n v="1"/>
    <n v="9"/>
  </r>
  <r>
    <x v="7956"/>
    <n v="-9"/>
    <n v="59"/>
    <n v="50"/>
    <n v="30"/>
    <n v="15"/>
    <x v="39"/>
    <n v="22"/>
    <n v="-16"/>
    <n v="74"/>
    <n v="0"/>
    <n v="1"/>
    <n v="16"/>
  </r>
  <r>
    <x v="7957"/>
    <n v="-16"/>
    <n v="74"/>
    <n v="58"/>
    <n v="22"/>
    <n v="22"/>
    <x v="39"/>
    <n v="22"/>
    <n v="-16"/>
    <n v="74"/>
    <n v="0"/>
    <n v="1"/>
    <n v="16"/>
  </r>
  <r>
    <x v="7958"/>
    <n v="-16"/>
    <n v="74"/>
    <n v="58"/>
    <n v="22"/>
    <n v="22"/>
    <x v="39"/>
    <n v="17"/>
    <n v="-11"/>
    <n v="74"/>
    <n v="0"/>
    <n v="1"/>
    <n v="11"/>
  </r>
  <r>
    <x v="7959"/>
    <n v="-11"/>
    <n v="74"/>
    <n v="63"/>
    <n v="17"/>
    <n v="30"/>
    <x v="23"/>
    <n v="15"/>
    <n v="4"/>
    <n v="61"/>
    <n v="0.4"/>
    <n v="0"/>
    <n v="0"/>
  </r>
  <r>
    <x v="7960"/>
    <n v="4"/>
    <n v="61"/>
    <n v="65"/>
    <n v="15"/>
    <n v="22"/>
    <x v="16"/>
    <n v="26"/>
    <n v="0"/>
    <n v="54"/>
    <n v="0"/>
    <n v="0"/>
    <n v="0"/>
  </r>
  <r>
    <x v="7961"/>
    <n v="0"/>
    <n v="54"/>
    <n v="54"/>
    <n v="26"/>
    <n v="22"/>
    <x v="28"/>
    <n v="22"/>
    <n v="0"/>
    <n v="58"/>
    <n v="0"/>
    <n v="0"/>
    <n v="0"/>
  </r>
  <r>
    <x v="7962"/>
    <n v="0"/>
    <n v="58"/>
    <n v="58"/>
    <n v="22"/>
    <n v="17"/>
    <x v="22"/>
    <n v="17"/>
    <n v="0"/>
    <n v="63"/>
    <n v="0"/>
    <n v="0"/>
    <n v="0"/>
  </r>
  <r>
    <x v="7963"/>
    <n v="0"/>
    <n v="63"/>
    <n v="63"/>
    <n v="17"/>
    <n v="15"/>
    <x v="26"/>
    <n v="28"/>
    <n v="-13"/>
    <n v="65"/>
    <n v="0"/>
    <n v="1"/>
    <n v="13"/>
  </r>
  <r>
    <x v="7964"/>
    <n v="-13"/>
    <n v="65"/>
    <n v="52"/>
    <n v="28"/>
    <n v="26"/>
    <x v="21"/>
    <n v="17"/>
    <n v="-4"/>
    <n v="67"/>
    <n v="0"/>
    <n v="1"/>
    <n v="4"/>
  </r>
  <r>
    <x v="7965"/>
    <n v="-4"/>
    <n v="67"/>
    <n v="63"/>
    <n v="17"/>
    <n v="22"/>
    <x v="33"/>
    <n v="21"/>
    <n v="-3"/>
    <n v="62"/>
    <n v="0"/>
    <n v="1"/>
    <n v="3"/>
  </r>
  <r>
    <x v="7966"/>
    <n v="-3"/>
    <n v="62"/>
    <n v="59"/>
    <n v="21"/>
    <n v="17"/>
    <x v="7"/>
    <n v="18"/>
    <n v="-4"/>
    <n v="66"/>
    <n v="0"/>
    <n v="1"/>
    <n v="4"/>
  </r>
  <r>
    <x v="7967"/>
    <n v="-4"/>
    <n v="66"/>
    <n v="62"/>
    <n v="18"/>
    <n v="28"/>
    <x v="32"/>
    <n v="16"/>
    <n v="8"/>
    <n v="56"/>
    <n v="0.8"/>
    <n v="0"/>
    <n v="0"/>
  </r>
  <r>
    <x v="7968"/>
    <n v="8"/>
    <n v="56"/>
    <n v="64"/>
    <n v="16"/>
    <n v="17"/>
    <x v="27"/>
    <n v="25"/>
    <n v="0"/>
    <n v="55"/>
    <n v="0"/>
    <n v="0"/>
    <n v="0"/>
  </r>
  <r>
    <x v="7969"/>
    <n v="0"/>
    <n v="55"/>
    <n v="55"/>
    <n v="25"/>
    <n v="21"/>
    <x v="5"/>
    <n v="21"/>
    <n v="0"/>
    <n v="59"/>
    <n v="0"/>
    <n v="0"/>
    <n v="0"/>
  </r>
  <r>
    <x v="7970"/>
    <n v="0"/>
    <n v="59"/>
    <n v="59"/>
    <n v="21"/>
    <n v="18"/>
    <x v="33"/>
    <n v="21"/>
    <n v="-3"/>
    <n v="62"/>
    <n v="0"/>
    <n v="1"/>
    <n v="3"/>
  </r>
  <r>
    <x v="7971"/>
    <n v="-3"/>
    <n v="62"/>
    <n v="59"/>
    <n v="21"/>
    <n v="16"/>
    <x v="21"/>
    <n v="25"/>
    <n v="-12"/>
    <n v="67"/>
    <n v="0"/>
    <n v="1"/>
    <n v="12"/>
  </r>
  <r>
    <x v="7972"/>
    <n v="-12"/>
    <n v="67"/>
    <n v="55"/>
    <n v="25"/>
    <n v="25"/>
    <x v="21"/>
    <n v="20"/>
    <n v="-7"/>
    <n v="67"/>
    <n v="0"/>
    <n v="1"/>
    <n v="7"/>
  </r>
  <r>
    <x v="7973"/>
    <n v="-7"/>
    <n v="67"/>
    <n v="60"/>
    <n v="20"/>
    <n v="21"/>
    <x v="7"/>
    <n v="14"/>
    <n v="0"/>
    <n v="66"/>
    <n v="0"/>
    <n v="0"/>
    <n v="0"/>
  </r>
  <r>
    <x v="7974"/>
    <n v="0"/>
    <n v="66"/>
    <n v="66"/>
    <n v="14"/>
    <n v="21"/>
    <x v="5"/>
    <n v="20"/>
    <n v="1"/>
    <n v="59"/>
    <n v="0.1"/>
    <n v="0"/>
    <n v="0"/>
  </r>
  <r>
    <x v="7975"/>
    <n v="1"/>
    <n v="59"/>
    <n v="60"/>
    <n v="20"/>
    <n v="25"/>
    <x v="16"/>
    <n v="26"/>
    <n v="0"/>
    <n v="54"/>
    <n v="0"/>
    <n v="0"/>
    <n v="0"/>
  </r>
  <r>
    <x v="7976"/>
    <n v="0"/>
    <n v="54"/>
    <n v="54"/>
    <n v="26"/>
    <n v="20"/>
    <x v="4"/>
    <n v="19"/>
    <n v="1"/>
    <n v="60"/>
    <n v="0.1"/>
    <n v="0"/>
    <n v="0"/>
  </r>
  <r>
    <x v="7977"/>
    <n v="1"/>
    <n v="60"/>
    <n v="61"/>
    <n v="19"/>
    <n v="14"/>
    <x v="26"/>
    <n v="13"/>
    <n v="2"/>
    <n v="65"/>
    <n v="0.2"/>
    <n v="0"/>
    <n v="0"/>
  </r>
  <r>
    <x v="7978"/>
    <n v="2"/>
    <n v="65"/>
    <n v="67"/>
    <n v="13"/>
    <n v="20"/>
    <x v="28"/>
    <n v="23"/>
    <n v="-1"/>
    <n v="58"/>
    <n v="0"/>
    <n v="1"/>
    <n v="1"/>
  </r>
  <r>
    <x v="7979"/>
    <n v="-1"/>
    <n v="58"/>
    <n v="57"/>
    <n v="23"/>
    <n v="26"/>
    <x v="27"/>
    <n v="14"/>
    <n v="11"/>
    <n v="55"/>
    <n v="1.1000000000000001"/>
    <n v="0"/>
    <n v="0"/>
  </r>
  <r>
    <x v="7980"/>
    <n v="11"/>
    <n v="55"/>
    <n v="66"/>
    <n v="14"/>
    <n v="19"/>
    <x v="13"/>
    <n v="20"/>
    <n v="10"/>
    <n v="50"/>
    <n v="1"/>
    <n v="0"/>
    <n v="0"/>
  </r>
  <r>
    <x v="7981"/>
    <n v="10"/>
    <n v="50"/>
    <n v="60"/>
    <n v="20"/>
    <n v="13"/>
    <x v="24"/>
    <n v="19"/>
    <n v="4"/>
    <n v="57"/>
    <n v="0.4"/>
    <n v="0"/>
    <n v="0"/>
  </r>
  <r>
    <x v="7982"/>
    <n v="4"/>
    <n v="57"/>
    <n v="61"/>
    <n v="19"/>
    <n v="23"/>
    <x v="12"/>
    <n v="19"/>
    <n v="8"/>
    <n v="53"/>
    <n v="0.8"/>
    <n v="0"/>
    <n v="0"/>
  </r>
  <r>
    <x v="7983"/>
    <n v="8"/>
    <n v="53"/>
    <n v="61"/>
    <n v="19"/>
    <n v="14"/>
    <x v="28"/>
    <n v="30"/>
    <n v="-8"/>
    <n v="58"/>
    <n v="0"/>
    <n v="1"/>
    <n v="8"/>
  </r>
  <r>
    <x v="7984"/>
    <n v="-8"/>
    <n v="58"/>
    <n v="50"/>
    <n v="30"/>
    <n v="20"/>
    <x v="17"/>
    <n v="20"/>
    <n v="-8"/>
    <n v="68"/>
    <n v="0"/>
    <n v="1"/>
    <n v="8"/>
  </r>
  <r>
    <x v="7985"/>
    <n v="-8"/>
    <n v="68"/>
    <n v="60"/>
    <n v="20"/>
    <n v="19"/>
    <x v="30"/>
    <n v="22"/>
    <n v="-11"/>
    <n v="69"/>
    <n v="0"/>
    <n v="1"/>
    <n v="11"/>
  </r>
  <r>
    <x v="7986"/>
    <n v="-11"/>
    <n v="69"/>
    <n v="58"/>
    <n v="22"/>
    <n v="19"/>
    <x v="29"/>
    <n v="12"/>
    <n v="-4"/>
    <n v="72"/>
    <n v="0"/>
    <n v="1"/>
    <n v="4"/>
  </r>
  <r>
    <x v="7987"/>
    <n v="-4"/>
    <n v="72"/>
    <n v="68"/>
    <n v="12"/>
    <n v="30"/>
    <x v="16"/>
    <n v="19"/>
    <n v="7"/>
    <n v="54"/>
    <n v="0.70000000000000007"/>
    <n v="0"/>
    <n v="0"/>
  </r>
  <r>
    <x v="7988"/>
    <n v="7"/>
    <n v="54"/>
    <n v="61"/>
    <n v="19"/>
    <n v="20"/>
    <x v="12"/>
    <n v="20"/>
    <n v="7"/>
    <n v="53"/>
    <n v="0.70000000000000007"/>
    <n v="0"/>
    <n v="0"/>
  </r>
  <r>
    <x v="7989"/>
    <n v="7"/>
    <n v="53"/>
    <n v="60"/>
    <n v="20"/>
    <n v="22"/>
    <x v="9"/>
    <n v="16"/>
    <n v="13"/>
    <n v="51"/>
    <n v="1.3"/>
    <n v="0"/>
    <n v="0"/>
  </r>
  <r>
    <x v="7990"/>
    <n v="13"/>
    <n v="51"/>
    <n v="64"/>
    <n v="16"/>
    <n v="12"/>
    <x v="27"/>
    <n v="20"/>
    <n v="5"/>
    <n v="55"/>
    <n v="0.5"/>
    <n v="0"/>
    <n v="0"/>
  </r>
  <r>
    <x v="7991"/>
    <n v="5"/>
    <n v="55"/>
    <n v="60"/>
    <n v="20"/>
    <n v="19"/>
    <x v="32"/>
    <n v="17"/>
    <n v="7"/>
    <n v="56"/>
    <n v="0.70000000000000007"/>
    <n v="0"/>
    <n v="0"/>
  </r>
  <r>
    <x v="7992"/>
    <n v="7"/>
    <n v="56"/>
    <n v="63"/>
    <n v="17"/>
    <n v="20"/>
    <x v="12"/>
    <n v="19"/>
    <n v="8"/>
    <n v="53"/>
    <n v="0.8"/>
    <n v="0"/>
    <n v="0"/>
  </r>
  <r>
    <x v="7993"/>
    <n v="8"/>
    <n v="53"/>
    <n v="61"/>
    <n v="19"/>
    <n v="16"/>
    <x v="32"/>
    <n v="21"/>
    <n v="3"/>
    <n v="56"/>
    <n v="0.30000000000000004"/>
    <n v="0"/>
    <n v="0"/>
  </r>
  <r>
    <x v="7994"/>
    <n v="3"/>
    <n v="56"/>
    <n v="59"/>
    <n v="21"/>
    <n v="20"/>
    <x v="24"/>
    <n v="20"/>
    <n v="3"/>
    <n v="57"/>
    <n v="0.30000000000000004"/>
    <n v="0"/>
    <n v="0"/>
  </r>
  <r>
    <x v="7995"/>
    <n v="3"/>
    <n v="57"/>
    <n v="60"/>
    <n v="20"/>
    <n v="17"/>
    <x v="4"/>
    <n v="40"/>
    <n v="-20"/>
    <n v="60"/>
    <n v="0"/>
    <n v="1"/>
    <n v="20"/>
  </r>
  <r>
    <x v="7996"/>
    <n v="-20"/>
    <n v="60"/>
    <n v="40"/>
    <n v="40"/>
    <n v="19"/>
    <x v="41"/>
    <n v="22"/>
    <n v="-23"/>
    <n v="81"/>
    <n v="0"/>
    <n v="1"/>
    <n v="22"/>
  </r>
  <r>
    <x v="7997"/>
    <n v="-23"/>
    <n v="81"/>
    <n v="58"/>
    <n v="22"/>
    <n v="21"/>
    <x v="19"/>
    <n v="28"/>
    <n v="-30"/>
    <n v="82"/>
    <n v="0"/>
    <n v="1"/>
    <n v="28"/>
  </r>
  <r>
    <x v="7998"/>
    <n v="-30"/>
    <n v="82"/>
    <n v="52"/>
    <n v="28"/>
    <n v="20"/>
    <x v="49"/>
    <n v="24"/>
    <n v="-34"/>
    <n v="90"/>
    <n v="0"/>
    <n v="1"/>
    <n v="24"/>
  </r>
  <r>
    <x v="7999"/>
    <n v="-34"/>
    <n v="90"/>
    <n v="56"/>
    <n v="24"/>
    <n v="40"/>
    <x v="39"/>
    <n v="17"/>
    <n v="-11"/>
    <n v="74"/>
    <n v="0"/>
    <n v="1"/>
    <n v="11"/>
  </r>
  <r>
    <x v="8000"/>
    <n v="-11"/>
    <n v="74"/>
    <n v="63"/>
    <n v="17"/>
    <n v="22"/>
    <x v="30"/>
    <n v="13"/>
    <n v="-2"/>
    <n v="69"/>
    <n v="0"/>
    <n v="1"/>
    <n v="2"/>
  </r>
  <r>
    <x v="8001"/>
    <n v="-2"/>
    <n v="69"/>
    <n v="67"/>
    <n v="13"/>
    <n v="28"/>
    <x v="16"/>
    <n v="19"/>
    <n v="7"/>
    <n v="54"/>
    <n v="0.70000000000000007"/>
    <n v="0"/>
    <n v="0"/>
  </r>
  <r>
    <x v="8002"/>
    <n v="7"/>
    <n v="54"/>
    <n v="61"/>
    <n v="19"/>
    <n v="24"/>
    <x v="10"/>
    <n v="19"/>
    <n v="12"/>
    <n v="49"/>
    <n v="1.2000000000000002"/>
    <n v="0"/>
    <n v="0"/>
  </r>
  <r>
    <x v="8003"/>
    <n v="12"/>
    <n v="49"/>
    <n v="61"/>
    <n v="19"/>
    <n v="17"/>
    <x v="9"/>
    <n v="14"/>
    <n v="15"/>
    <n v="51"/>
    <n v="1.5"/>
    <n v="0"/>
    <n v="0"/>
  </r>
  <r>
    <x v="8004"/>
    <n v="15"/>
    <n v="51"/>
    <n v="66"/>
    <n v="14"/>
    <n v="13"/>
    <x v="25"/>
    <n v="22"/>
    <n v="6"/>
    <n v="52"/>
    <n v="0.60000000000000009"/>
    <n v="0"/>
    <n v="0"/>
  </r>
  <r>
    <x v="8005"/>
    <n v="6"/>
    <n v="52"/>
    <n v="58"/>
    <n v="22"/>
    <n v="19"/>
    <x v="27"/>
    <n v="17"/>
    <n v="8"/>
    <n v="55"/>
    <n v="0.8"/>
    <n v="0"/>
    <n v="0"/>
  </r>
  <r>
    <x v="8006"/>
    <n v="8"/>
    <n v="55"/>
    <n v="63"/>
    <n v="17"/>
    <n v="19"/>
    <x v="12"/>
    <n v="23"/>
    <n v="4"/>
    <n v="53"/>
    <n v="0.4"/>
    <n v="0"/>
    <n v="0"/>
  </r>
  <r>
    <x v="8007"/>
    <n v="4"/>
    <n v="53"/>
    <n v="57"/>
    <n v="23"/>
    <n v="14"/>
    <x v="33"/>
    <n v="10"/>
    <n v="8"/>
    <n v="62"/>
    <n v="0.8"/>
    <n v="0"/>
    <n v="0"/>
  </r>
  <r>
    <x v="8008"/>
    <n v="8"/>
    <n v="62"/>
    <n v="70"/>
    <n v="10"/>
    <n v="22"/>
    <x v="13"/>
    <n v="23"/>
    <n v="7"/>
    <n v="50"/>
    <n v="0.70000000000000007"/>
    <n v="0"/>
    <n v="0"/>
  </r>
  <r>
    <x v="8009"/>
    <n v="7"/>
    <n v="50"/>
    <n v="57"/>
    <n v="23"/>
    <n v="17"/>
    <x v="32"/>
    <n v="16"/>
    <n v="8"/>
    <n v="56"/>
    <n v="0.8"/>
    <n v="0"/>
    <n v="0"/>
  </r>
  <r>
    <x v="8010"/>
    <n v="8"/>
    <n v="56"/>
    <n v="64"/>
    <n v="16"/>
    <n v="23"/>
    <x v="10"/>
    <n v="14"/>
    <n v="17"/>
    <n v="49"/>
    <n v="1.7000000000000002"/>
    <n v="0"/>
    <n v="0"/>
  </r>
  <r>
    <x v="8011"/>
    <n v="17"/>
    <n v="49"/>
    <n v="66"/>
    <n v="14"/>
    <n v="10"/>
    <x v="12"/>
    <n v="29"/>
    <n v="-2"/>
    <n v="53"/>
    <n v="0"/>
    <n v="1"/>
    <n v="2"/>
  </r>
  <r>
    <x v="8012"/>
    <n v="-2"/>
    <n v="53"/>
    <n v="51"/>
    <n v="29"/>
    <n v="23"/>
    <x v="5"/>
    <n v="29"/>
    <n v="-8"/>
    <n v="59"/>
    <n v="0"/>
    <n v="1"/>
    <n v="8"/>
  </r>
  <r>
    <x v="8013"/>
    <n v="-8"/>
    <n v="59"/>
    <n v="51"/>
    <n v="29"/>
    <n v="16"/>
    <x v="29"/>
    <n v="20"/>
    <n v="-12"/>
    <n v="72"/>
    <n v="0"/>
    <n v="1"/>
    <n v="12"/>
  </r>
  <r>
    <x v="8014"/>
    <n v="-12"/>
    <n v="72"/>
    <n v="60"/>
    <n v="20"/>
    <n v="14"/>
    <x v="35"/>
    <n v="23"/>
    <n v="-21"/>
    <n v="78"/>
    <n v="0"/>
    <n v="1"/>
    <n v="21"/>
  </r>
  <r>
    <x v="8015"/>
    <n v="-21"/>
    <n v="78"/>
    <n v="57"/>
    <n v="23"/>
    <n v="29"/>
    <x v="29"/>
    <n v="12"/>
    <n v="-4"/>
    <n v="72"/>
    <n v="0"/>
    <n v="1"/>
    <n v="4"/>
  </r>
  <r>
    <x v="8016"/>
    <n v="-4"/>
    <n v="72"/>
    <n v="68"/>
    <n v="12"/>
    <n v="29"/>
    <x v="27"/>
    <n v="22"/>
    <n v="3"/>
    <n v="55"/>
    <n v="0.30000000000000004"/>
    <n v="0"/>
    <n v="0"/>
  </r>
  <r>
    <x v="8017"/>
    <n v="3"/>
    <n v="55"/>
    <n v="58"/>
    <n v="22"/>
    <n v="20"/>
    <x v="24"/>
    <n v="14"/>
    <n v="9"/>
    <n v="57"/>
    <n v="0.9"/>
    <n v="0"/>
    <n v="0"/>
  </r>
  <r>
    <x v="8018"/>
    <n v="9"/>
    <n v="57"/>
    <n v="66"/>
    <n v="14"/>
    <n v="23"/>
    <x v="15"/>
    <n v="27"/>
    <n v="5"/>
    <n v="48"/>
    <n v="0.5"/>
    <n v="0"/>
    <n v="0"/>
  </r>
  <r>
    <x v="8019"/>
    <n v="5"/>
    <n v="48"/>
    <n v="53"/>
    <n v="27"/>
    <n v="12"/>
    <x v="22"/>
    <n v="16"/>
    <n v="1"/>
    <n v="63"/>
    <n v="0.1"/>
    <n v="0"/>
    <n v="0"/>
  </r>
  <r>
    <x v="8020"/>
    <n v="1"/>
    <n v="63"/>
    <n v="64"/>
    <n v="16"/>
    <n v="22"/>
    <x v="24"/>
    <n v="31"/>
    <n v="-8"/>
    <n v="57"/>
    <n v="0"/>
    <n v="1"/>
    <n v="8"/>
  </r>
  <r>
    <x v="8021"/>
    <n v="-8"/>
    <n v="57"/>
    <n v="49"/>
    <n v="31"/>
    <n v="14"/>
    <x v="39"/>
    <n v="20"/>
    <n v="-14"/>
    <n v="74"/>
    <n v="0"/>
    <n v="1"/>
    <n v="14"/>
  </r>
  <r>
    <x v="8022"/>
    <n v="-14"/>
    <n v="74"/>
    <n v="60"/>
    <n v="20"/>
    <n v="27"/>
    <x v="21"/>
    <n v="27"/>
    <n v="-14"/>
    <n v="67"/>
    <n v="0"/>
    <n v="1"/>
    <n v="14"/>
  </r>
  <r>
    <x v="8023"/>
    <n v="-14"/>
    <n v="67"/>
    <n v="53"/>
    <n v="27"/>
    <n v="16"/>
    <x v="35"/>
    <n v="14"/>
    <n v="-12"/>
    <n v="78"/>
    <n v="0"/>
    <n v="1"/>
    <n v="12"/>
  </r>
  <r>
    <x v="8024"/>
    <n v="-12"/>
    <n v="78"/>
    <n v="66"/>
    <n v="14"/>
    <n v="31"/>
    <x v="23"/>
    <n v="15"/>
    <n v="4"/>
    <n v="61"/>
    <n v="0.4"/>
    <n v="0"/>
    <n v="0"/>
  </r>
  <r>
    <x v="8025"/>
    <n v="4"/>
    <n v="61"/>
    <n v="65"/>
    <n v="15"/>
    <n v="20"/>
    <x v="32"/>
    <n v="18"/>
    <n v="6"/>
    <n v="56"/>
    <n v="0.60000000000000009"/>
    <n v="0"/>
    <n v="0"/>
  </r>
  <r>
    <x v="8026"/>
    <n v="6"/>
    <n v="56"/>
    <n v="62"/>
    <n v="18"/>
    <n v="27"/>
    <x v="14"/>
    <n v="28"/>
    <n v="5"/>
    <n v="47"/>
    <n v="0.5"/>
    <n v="0"/>
    <n v="0"/>
  </r>
  <r>
    <x v="8027"/>
    <n v="5"/>
    <n v="47"/>
    <n v="52"/>
    <n v="28"/>
    <n v="14"/>
    <x v="23"/>
    <n v="28"/>
    <n v="-9"/>
    <n v="61"/>
    <n v="0"/>
    <n v="1"/>
    <n v="9"/>
  </r>
  <r>
    <x v="8028"/>
    <n v="-9"/>
    <n v="61"/>
    <n v="52"/>
    <n v="28"/>
    <n v="15"/>
    <x v="39"/>
    <n v="25"/>
    <n v="-19"/>
    <n v="74"/>
    <n v="0"/>
    <n v="1"/>
    <n v="19"/>
  </r>
  <r>
    <x v="8029"/>
    <n v="-19"/>
    <n v="74"/>
    <n v="55"/>
    <n v="25"/>
    <n v="18"/>
    <x v="41"/>
    <n v="16"/>
    <n v="-17"/>
    <n v="81"/>
    <n v="0"/>
    <n v="1"/>
    <n v="16"/>
  </r>
  <r>
    <x v="8030"/>
    <n v="-17"/>
    <n v="81"/>
    <n v="64"/>
    <n v="16"/>
    <n v="28"/>
    <x v="30"/>
    <n v="19"/>
    <n v="-8"/>
    <n v="69"/>
    <n v="0"/>
    <n v="1"/>
    <n v="8"/>
  </r>
  <r>
    <x v="8031"/>
    <n v="-8"/>
    <n v="69"/>
    <n v="61"/>
    <n v="19"/>
    <n v="28"/>
    <x v="4"/>
    <n v="28"/>
    <n v="-8"/>
    <n v="60"/>
    <n v="0"/>
    <n v="1"/>
    <n v="8"/>
  </r>
  <r>
    <x v="8032"/>
    <n v="-8"/>
    <n v="60"/>
    <n v="52"/>
    <n v="28"/>
    <n v="25"/>
    <x v="22"/>
    <n v="22"/>
    <n v="-5"/>
    <n v="63"/>
    <n v="0"/>
    <n v="1"/>
    <n v="5"/>
  </r>
  <r>
    <x v="8033"/>
    <n v="-5"/>
    <n v="63"/>
    <n v="58"/>
    <n v="22"/>
    <n v="16"/>
    <x v="30"/>
    <n v="18"/>
    <n v="-7"/>
    <n v="69"/>
    <n v="0"/>
    <n v="1"/>
    <n v="7"/>
  </r>
  <r>
    <x v="8034"/>
    <n v="-7"/>
    <n v="69"/>
    <n v="62"/>
    <n v="18"/>
    <n v="19"/>
    <x v="17"/>
    <n v="21"/>
    <n v="-9"/>
    <n v="68"/>
    <n v="0"/>
    <n v="1"/>
    <n v="9"/>
  </r>
  <r>
    <x v="8035"/>
    <n v="-9"/>
    <n v="68"/>
    <n v="59"/>
    <n v="21"/>
    <n v="28"/>
    <x v="23"/>
    <n v="23"/>
    <n v="-4"/>
    <n v="61"/>
    <n v="0"/>
    <n v="1"/>
    <n v="4"/>
  </r>
  <r>
    <x v="8036"/>
    <n v="-4"/>
    <n v="61"/>
    <n v="57"/>
    <n v="23"/>
    <n v="22"/>
    <x v="33"/>
    <n v="19"/>
    <n v="-1"/>
    <n v="62"/>
    <n v="0"/>
    <n v="1"/>
    <n v="1"/>
  </r>
  <r>
    <x v="8037"/>
    <n v="-1"/>
    <n v="62"/>
    <n v="61"/>
    <n v="19"/>
    <n v="18"/>
    <x v="22"/>
    <n v="15"/>
    <n v="2"/>
    <n v="63"/>
    <n v="0.2"/>
    <n v="0"/>
    <n v="0"/>
  </r>
  <r>
    <x v="8038"/>
    <n v="2"/>
    <n v="63"/>
    <n v="65"/>
    <n v="15"/>
    <n v="21"/>
    <x v="24"/>
    <n v="20"/>
    <n v="3"/>
    <n v="57"/>
    <n v="0.30000000000000004"/>
    <n v="0"/>
    <n v="0"/>
  </r>
  <r>
    <x v="8039"/>
    <n v="3"/>
    <n v="57"/>
    <n v="60"/>
    <n v="20"/>
    <n v="23"/>
    <x v="16"/>
    <n v="20"/>
    <n v="6"/>
    <n v="54"/>
    <n v="0.60000000000000009"/>
    <n v="0"/>
    <n v="0"/>
  </r>
  <r>
    <x v="8040"/>
    <n v="6"/>
    <n v="54"/>
    <n v="60"/>
    <n v="20"/>
    <n v="19"/>
    <x v="27"/>
    <n v="25"/>
    <n v="0"/>
    <n v="55"/>
    <n v="0"/>
    <n v="0"/>
    <n v="0"/>
  </r>
  <r>
    <x v="8041"/>
    <n v="0"/>
    <n v="55"/>
    <n v="55"/>
    <n v="25"/>
    <n v="15"/>
    <x v="26"/>
    <n v="24"/>
    <n v="-9"/>
    <n v="65"/>
    <n v="0"/>
    <n v="1"/>
    <n v="9"/>
  </r>
  <r>
    <x v="8042"/>
    <n v="-9"/>
    <n v="65"/>
    <n v="56"/>
    <n v="24"/>
    <n v="20"/>
    <x v="30"/>
    <n v="22"/>
    <n v="-11"/>
    <n v="69"/>
    <n v="0"/>
    <n v="1"/>
    <n v="11"/>
  </r>
  <r>
    <x v="8043"/>
    <n v="-11"/>
    <n v="69"/>
    <n v="58"/>
    <n v="22"/>
    <n v="20"/>
    <x v="20"/>
    <n v="18"/>
    <n v="-9"/>
    <n v="71"/>
    <n v="0"/>
    <n v="1"/>
    <n v="9"/>
  </r>
  <r>
    <x v="8044"/>
    <n v="-9"/>
    <n v="71"/>
    <n v="62"/>
    <n v="18"/>
    <n v="25"/>
    <x v="8"/>
    <n v="17"/>
    <n v="-1"/>
    <n v="64"/>
    <n v="0"/>
    <n v="1"/>
    <n v="1"/>
  </r>
  <r>
    <x v="8045"/>
    <n v="-1"/>
    <n v="64"/>
    <n v="63"/>
    <n v="17"/>
    <n v="24"/>
    <x v="24"/>
    <n v="23"/>
    <n v="0"/>
    <n v="57"/>
    <n v="0"/>
    <n v="0"/>
    <n v="0"/>
  </r>
  <r>
    <x v="8046"/>
    <n v="0"/>
    <n v="57"/>
    <n v="57"/>
    <n v="23"/>
    <n v="22"/>
    <x v="28"/>
    <n v="29"/>
    <n v="-7"/>
    <n v="58"/>
    <n v="0"/>
    <n v="1"/>
    <n v="7"/>
  </r>
  <r>
    <x v="8047"/>
    <n v="-7"/>
    <n v="58"/>
    <n v="51"/>
    <n v="29"/>
    <n v="18"/>
    <x v="30"/>
    <n v="16"/>
    <n v="-5"/>
    <n v="69"/>
    <n v="0"/>
    <n v="1"/>
    <n v="5"/>
  </r>
  <r>
    <x v="8048"/>
    <n v="-5"/>
    <n v="69"/>
    <n v="64"/>
    <n v="16"/>
    <n v="17"/>
    <x v="17"/>
    <n v="20"/>
    <n v="-8"/>
    <n v="68"/>
    <n v="0"/>
    <n v="1"/>
    <n v="8"/>
  </r>
  <r>
    <x v="8049"/>
    <n v="-8"/>
    <n v="68"/>
    <n v="60"/>
    <n v="20"/>
    <n v="23"/>
    <x v="26"/>
    <n v="22"/>
    <n v="-7"/>
    <n v="65"/>
    <n v="0"/>
    <n v="1"/>
    <n v="7"/>
  </r>
  <r>
    <x v="8050"/>
    <n v="-7"/>
    <n v="65"/>
    <n v="58"/>
    <n v="22"/>
    <n v="29"/>
    <x v="28"/>
    <n v="19"/>
    <n v="3"/>
    <n v="58"/>
    <n v="0.30000000000000004"/>
    <n v="0"/>
    <n v="0"/>
  </r>
  <r>
    <x v="8051"/>
    <n v="3"/>
    <n v="58"/>
    <n v="61"/>
    <n v="19"/>
    <n v="16"/>
    <x v="23"/>
    <n v="24"/>
    <n v="-5"/>
    <n v="61"/>
    <n v="0"/>
    <n v="1"/>
    <n v="5"/>
  </r>
  <r>
    <x v="8052"/>
    <n v="-5"/>
    <n v="61"/>
    <n v="56"/>
    <n v="24"/>
    <n v="20"/>
    <x v="26"/>
    <n v="13"/>
    <n v="2"/>
    <n v="65"/>
    <n v="0.2"/>
    <n v="0"/>
    <n v="0"/>
  </r>
  <r>
    <x v="8053"/>
    <n v="2"/>
    <n v="65"/>
    <n v="67"/>
    <n v="13"/>
    <n v="22"/>
    <x v="32"/>
    <n v="25"/>
    <n v="-1"/>
    <n v="56"/>
    <n v="0"/>
    <n v="1"/>
    <n v="1"/>
  </r>
  <r>
    <x v="8054"/>
    <n v="-1"/>
    <n v="56"/>
    <n v="55"/>
    <n v="25"/>
    <n v="19"/>
    <x v="33"/>
    <n v="13"/>
    <n v="5"/>
    <n v="62"/>
    <n v="0.5"/>
    <n v="0"/>
    <n v="0"/>
  </r>
  <r>
    <x v="8055"/>
    <n v="5"/>
    <n v="62"/>
    <n v="67"/>
    <n v="13"/>
    <n v="24"/>
    <x v="9"/>
    <n v="22"/>
    <n v="7"/>
    <n v="51"/>
    <n v="0.70000000000000007"/>
    <n v="0"/>
    <n v="0"/>
  </r>
  <r>
    <x v="8056"/>
    <n v="7"/>
    <n v="51"/>
    <n v="58"/>
    <n v="22"/>
    <n v="13"/>
    <x v="4"/>
    <n v="21"/>
    <n v="-1"/>
    <n v="60"/>
    <n v="0"/>
    <n v="1"/>
    <n v="1"/>
  </r>
  <r>
    <x v="8057"/>
    <n v="-1"/>
    <n v="60"/>
    <n v="59"/>
    <n v="21"/>
    <n v="25"/>
    <x v="32"/>
    <n v="13"/>
    <n v="11"/>
    <n v="56"/>
    <n v="1.1000000000000001"/>
    <n v="0"/>
    <n v="0"/>
  </r>
  <r>
    <x v="8058"/>
    <n v="11"/>
    <n v="56"/>
    <n v="67"/>
    <n v="13"/>
    <n v="13"/>
    <x v="32"/>
    <n v="20"/>
    <n v="4"/>
    <n v="56"/>
    <n v="0.4"/>
    <n v="0"/>
    <n v="0"/>
  </r>
  <r>
    <x v="8059"/>
    <n v="4"/>
    <n v="56"/>
    <n v="60"/>
    <n v="20"/>
    <n v="22"/>
    <x v="16"/>
    <n v="26"/>
    <n v="0"/>
    <n v="54"/>
    <n v="0"/>
    <n v="0"/>
    <n v="0"/>
  </r>
  <r>
    <x v="8060"/>
    <n v="0"/>
    <n v="54"/>
    <n v="54"/>
    <n v="26"/>
    <n v="21"/>
    <x v="5"/>
    <n v="21"/>
    <n v="0"/>
    <n v="59"/>
    <n v="0"/>
    <n v="0"/>
    <n v="0"/>
  </r>
  <r>
    <x v="8061"/>
    <n v="0"/>
    <n v="59"/>
    <n v="59"/>
    <n v="21"/>
    <n v="13"/>
    <x v="21"/>
    <n v="23"/>
    <n v="-10"/>
    <n v="67"/>
    <n v="0"/>
    <n v="1"/>
    <n v="10"/>
  </r>
  <r>
    <x v="8062"/>
    <n v="-10"/>
    <n v="67"/>
    <n v="57"/>
    <n v="23"/>
    <n v="20"/>
    <x v="6"/>
    <n v="17"/>
    <n v="-7"/>
    <n v="70"/>
    <n v="0"/>
    <n v="1"/>
    <n v="7"/>
  </r>
  <r>
    <x v="8063"/>
    <n v="-7"/>
    <n v="70"/>
    <n v="63"/>
    <n v="17"/>
    <n v="26"/>
    <x v="23"/>
    <n v="27"/>
    <n v="-8"/>
    <n v="61"/>
    <n v="0"/>
    <n v="1"/>
    <n v="8"/>
  </r>
  <r>
    <x v="8064"/>
    <n v="-8"/>
    <n v="61"/>
    <n v="53"/>
    <n v="27"/>
    <n v="21"/>
    <x v="21"/>
    <n v="21"/>
    <n v="-8"/>
    <n v="67"/>
    <n v="0"/>
    <n v="1"/>
    <n v="8"/>
  </r>
  <r>
    <x v="8065"/>
    <n v="-8"/>
    <n v="67"/>
    <n v="59"/>
    <n v="21"/>
    <n v="23"/>
    <x v="26"/>
    <n v="22"/>
    <n v="-7"/>
    <n v="65"/>
    <n v="0"/>
    <n v="1"/>
    <n v="7"/>
  </r>
  <r>
    <x v="8066"/>
    <n v="-7"/>
    <n v="65"/>
    <n v="58"/>
    <n v="22"/>
    <n v="17"/>
    <x v="6"/>
    <n v="14"/>
    <n v="-4"/>
    <n v="70"/>
    <n v="0"/>
    <n v="1"/>
    <n v="4"/>
  </r>
  <r>
    <x v="8067"/>
    <n v="-4"/>
    <n v="70"/>
    <n v="66"/>
    <n v="14"/>
    <n v="27"/>
    <x v="24"/>
    <n v="23"/>
    <n v="0"/>
    <n v="57"/>
    <n v="0"/>
    <n v="0"/>
    <n v="0"/>
  </r>
  <r>
    <x v="8068"/>
    <n v="0"/>
    <n v="57"/>
    <n v="57"/>
    <n v="23"/>
    <n v="21"/>
    <x v="5"/>
    <n v="24"/>
    <n v="-3"/>
    <n v="59"/>
    <n v="0"/>
    <n v="1"/>
    <n v="3"/>
  </r>
  <r>
    <x v="8069"/>
    <n v="-3"/>
    <n v="59"/>
    <n v="56"/>
    <n v="24"/>
    <n v="22"/>
    <x v="23"/>
    <n v="21"/>
    <n v="-2"/>
    <n v="61"/>
    <n v="0"/>
    <n v="1"/>
    <n v="2"/>
  </r>
  <r>
    <x v="8070"/>
    <n v="-2"/>
    <n v="61"/>
    <n v="59"/>
    <n v="21"/>
    <n v="14"/>
    <x v="17"/>
    <n v="21"/>
    <n v="-9"/>
    <n v="68"/>
    <n v="0"/>
    <n v="1"/>
    <n v="9"/>
  </r>
  <r>
    <x v="8071"/>
    <n v="-9"/>
    <n v="68"/>
    <n v="59"/>
    <n v="21"/>
    <n v="23"/>
    <x v="7"/>
    <n v="22"/>
    <n v="-8"/>
    <n v="66"/>
    <n v="0"/>
    <n v="1"/>
    <n v="8"/>
  </r>
  <r>
    <x v="8072"/>
    <n v="-8"/>
    <n v="66"/>
    <n v="58"/>
    <n v="22"/>
    <n v="24"/>
    <x v="8"/>
    <n v="16"/>
    <n v="0"/>
    <n v="64"/>
    <n v="0"/>
    <n v="0"/>
    <n v="0"/>
  </r>
  <r>
    <x v="8073"/>
    <n v="0"/>
    <n v="64"/>
    <n v="64"/>
    <n v="16"/>
    <n v="21"/>
    <x v="5"/>
    <n v="25"/>
    <n v="-4"/>
    <n v="59"/>
    <n v="0"/>
    <n v="1"/>
    <n v="4"/>
  </r>
  <r>
    <x v="8074"/>
    <n v="-4"/>
    <n v="59"/>
    <n v="55"/>
    <n v="25"/>
    <n v="21"/>
    <x v="22"/>
    <n v="13"/>
    <n v="4"/>
    <n v="63"/>
    <n v="0.4"/>
    <n v="0"/>
    <n v="0"/>
  </r>
  <r>
    <x v="8075"/>
    <n v="4"/>
    <n v="63"/>
    <n v="67"/>
    <n v="13"/>
    <n v="22"/>
    <x v="16"/>
    <n v="23"/>
    <n v="3"/>
    <n v="54"/>
    <n v="0.30000000000000004"/>
    <n v="0"/>
    <n v="0"/>
  </r>
  <r>
    <x v="8076"/>
    <n v="3"/>
    <n v="54"/>
    <n v="57"/>
    <n v="23"/>
    <n v="16"/>
    <x v="23"/>
    <n v="18"/>
    <n v="1"/>
    <n v="61"/>
    <n v="0.1"/>
    <n v="0"/>
    <n v="0"/>
  </r>
  <r>
    <x v="8077"/>
    <n v="1"/>
    <n v="61"/>
    <n v="62"/>
    <n v="18"/>
    <n v="25"/>
    <x v="16"/>
    <n v="19"/>
    <n v="7"/>
    <n v="54"/>
    <n v="0.70000000000000007"/>
    <n v="0"/>
    <n v="0"/>
  </r>
  <r>
    <x v="8078"/>
    <n v="7"/>
    <n v="54"/>
    <n v="61"/>
    <n v="19"/>
    <n v="13"/>
    <x v="4"/>
    <n v="15"/>
    <n v="5"/>
    <n v="60"/>
    <n v="0.5"/>
    <n v="0"/>
    <n v="0"/>
  </r>
  <r>
    <x v="8079"/>
    <n v="5"/>
    <n v="60"/>
    <n v="65"/>
    <n v="15"/>
    <n v="23"/>
    <x v="25"/>
    <n v="24"/>
    <n v="4"/>
    <n v="52"/>
    <n v="0.4"/>
    <n v="0"/>
    <n v="0"/>
  </r>
  <r>
    <x v="8080"/>
    <n v="4"/>
    <n v="52"/>
    <n v="56"/>
    <n v="24"/>
    <n v="18"/>
    <x v="28"/>
    <n v="19"/>
    <n v="3"/>
    <n v="58"/>
    <n v="0.30000000000000004"/>
    <n v="0"/>
    <n v="0"/>
  </r>
  <r>
    <x v="8081"/>
    <n v="3"/>
    <n v="58"/>
    <n v="61"/>
    <n v="19"/>
    <n v="19"/>
    <x v="28"/>
    <n v="17"/>
    <n v="5"/>
    <n v="58"/>
    <n v="0.5"/>
    <n v="0"/>
    <n v="0"/>
  </r>
  <r>
    <x v="8082"/>
    <n v="5"/>
    <n v="58"/>
    <n v="63"/>
    <n v="17"/>
    <n v="15"/>
    <x v="4"/>
    <n v="26"/>
    <n v="-6"/>
    <n v="60"/>
    <n v="0"/>
    <n v="1"/>
    <n v="6"/>
  </r>
  <r>
    <x v="8083"/>
    <n v="-6"/>
    <n v="60"/>
    <n v="54"/>
    <n v="26"/>
    <n v="24"/>
    <x v="33"/>
    <n v="20"/>
    <n v="-2"/>
    <n v="62"/>
    <n v="0"/>
    <n v="1"/>
    <n v="2"/>
  </r>
  <r>
    <x v="8084"/>
    <n v="-2"/>
    <n v="62"/>
    <n v="60"/>
    <n v="20"/>
    <n v="19"/>
    <x v="22"/>
    <n v="22"/>
    <n v="-5"/>
    <n v="63"/>
    <n v="0"/>
    <n v="1"/>
    <n v="5"/>
  </r>
  <r>
    <x v="8085"/>
    <n v="-5"/>
    <n v="63"/>
    <n v="58"/>
    <n v="22"/>
    <n v="17"/>
    <x v="17"/>
    <n v="22"/>
    <n v="-10"/>
    <n v="68"/>
    <n v="0"/>
    <n v="1"/>
    <n v="10"/>
  </r>
  <r>
    <x v="8086"/>
    <n v="-10"/>
    <n v="68"/>
    <n v="58"/>
    <n v="22"/>
    <n v="26"/>
    <x v="8"/>
    <n v="13"/>
    <n v="3"/>
    <n v="64"/>
    <n v="0.30000000000000004"/>
    <n v="0"/>
    <n v="0"/>
  </r>
  <r>
    <x v="8087"/>
    <n v="3"/>
    <n v="64"/>
    <n v="67"/>
    <n v="13"/>
    <n v="20"/>
    <x v="24"/>
    <n v="19"/>
    <n v="4"/>
    <n v="57"/>
    <n v="0.4"/>
    <n v="0"/>
    <n v="0"/>
  </r>
  <r>
    <x v="8088"/>
    <n v="4"/>
    <n v="57"/>
    <n v="61"/>
    <n v="19"/>
    <n v="22"/>
    <x v="16"/>
    <n v="22"/>
    <n v="4"/>
    <n v="54"/>
    <n v="0.4"/>
    <n v="0"/>
    <n v="0"/>
  </r>
  <r>
    <x v="8089"/>
    <n v="4"/>
    <n v="54"/>
    <n v="58"/>
    <n v="22"/>
    <n v="22"/>
    <x v="16"/>
    <n v="18"/>
    <n v="8"/>
    <n v="54"/>
    <n v="0.8"/>
    <n v="0"/>
    <n v="0"/>
  </r>
  <r>
    <x v="8090"/>
    <n v="8"/>
    <n v="54"/>
    <n v="62"/>
    <n v="18"/>
    <n v="13"/>
    <x v="5"/>
    <n v="19"/>
    <n v="2"/>
    <n v="59"/>
    <n v="0.2"/>
    <n v="0"/>
    <n v="0"/>
  </r>
  <r>
    <x v="8091"/>
    <n v="2"/>
    <n v="59"/>
    <n v="61"/>
    <n v="19"/>
    <n v="19"/>
    <x v="5"/>
    <n v="16"/>
    <n v="5"/>
    <n v="59"/>
    <n v="0.5"/>
    <n v="0"/>
    <n v="0"/>
  </r>
  <r>
    <x v="8092"/>
    <n v="5"/>
    <n v="59"/>
    <n v="64"/>
    <n v="16"/>
    <n v="22"/>
    <x v="12"/>
    <n v="26"/>
    <n v="1"/>
    <n v="53"/>
    <n v="0.1"/>
    <n v="0"/>
    <n v="0"/>
  </r>
  <r>
    <x v="8093"/>
    <n v="1"/>
    <n v="53"/>
    <n v="54"/>
    <n v="26"/>
    <n v="18"/>
    <x v="23"/>
    <n v="19"/>
    <n v="0"/>
    <n v="61"/>
    <n v="0"/>
    <n v="0"/>
    <n v="0"/>
  </r>
  <r>
    <x v="8094"/>
    <n v="0"/>
    <n v="61"/>
    <n v="61"/>
    <n v="19"/>
    <n v="19"/>
    <x v="23"/>
    <n v="19"/>
    <n v="0"/>
    <n v="61"/>
    <n v="0"/>
    <n v="0"/>
    <n v="0"/>
  </r>
  <r>
    <x v="8095"/>
    <n v="0"/>
    <n v="61"/>
    <n v="61"/>
    <n v="19"/>
    <n v="16"/>
    <x v="8"/>
    <n v="21"/>
    <n v="-5"/>
    <n v="64"/>
    <n v="0"/>
    <n v="1"/>
    <n v="5"/>
  </r>
  <r>
    <x v="8096"/>
    <n v="-5"/>
    <n v="64"/>
    <n v="59"/>
    <n v="21"/>
    <n v="26"/>
    <x v="5"/>
    <n v="15"/>
    <n v="6"/>
    <n v="59"/>
    <n v="0.60000000000000009"/>
    <n v="0"/>
    <n v="0"/>
  </r>
  <r>
    <x v="8097"/>
    <n v="6"/>
    <n v="59"/>
    <n v="65"/>
    <n v="15"/>
    <n v="19"/>
    <x v="27"/>
    <n v="26"/>
    <n v="-1"/>
    <n v="55"/>
    <n v="0"/>
    <n v="1"/>
    <n v="1"/>
  </r>
  <r>
    <x v="8098"/>
    <n v="-1"/>
    <n v="55"/>
    <n v="54"/>
    <n v="26"/>
    <n v="19"/>
    <x v="33"/>
    <n v="17"/>
    <n v="1"/>
    <n v="62"/>
    <n v="0.1"/>
    <n v="0"/>
    <n v="0"/>
  </r>
  <r>
    <x v="8099"/>
    <n v="1"/>
    <n v="62"/>
    <n v="63"/>
    <n v="17"/>
    <n v="21"/>
    <x v="28"/>
    <n v="25"/>
    <n v="-3"/>
    <n v="58"/>
    <n v="0"/>
    <n v="1"/>
    <n v="3"/>
  </r>
  <r>
    <x v="8100"/>
    <n v="-3"/>
    <n v="58"/>
    <n v="55"/>
    <n v="25"/>
    <n v="15"/>
    <x v="17"/>
    <n v="17"/>
    <n v="-5"/>
    <n v="68"/>
    <n v="0"/>
    <n v="1"/>
    <n v="5"/>
  </r>
  <r>
    <x v="8101"/>
    <n v="-5"/>
    <n v="68"/>
    <n v="63"/>
    <n v="17"/>
    <n v="26"/>
    <x v="5"/>
    <n v="15"/>
    <n v="6"/>
    <n v="59"/>
    <n v="0.60000000000000009"/>
    <n v="0"/>
    <n v="0"/>
  </r>
  <r>
    <x v="8102"/>
    <n v="6"/>
    <n v="59"/>
    <n v="65"/>
    <n v="15"/>
    <n v="17"/>
    <x v="24"/>
    <n v="15"/>
    <n v="8"/>
    <n v="57"/>
    <n v="0.8"/>
    <n v="0"/>
    <n v="0"/>
  </r>
  <r>
    <x v="8103"/>
    <n v="8"/>
    <n v="57"/>
    <n v="65"/>
    <n v="15"/>
    <n v="25"/>
    <x v="14"/>
    <n v="26"/>
    <n v="7"/>
    <n v="47"/>
    <n v="0.70000000000000007"/>
    <n v="0"/>
    <n v="0"/>
  </r>
  <r>
    <x v="8104"/>
    <n v="7"/>
    <n v="47"/>
    <n v="54"/>
    <n v="26"/>
    <n v="17"/>
    <x v="32"/>
    <n v="23"/>
    <n v="1"/>
    <n v="56"/>
    <n v="0.1"/>
    <n v="0"/>
    <n v="0"/>
  </r>
  <r>
    <x v="8105"/>
    <n v="1"/>
    <n v="56"/>
    <n v="57"/>
    <n v="23"/>
    <n v="15"/>
    <x v="8"/>
    <n v="20"/>
    <n v="-4"/>
    <n v="64"/>
    <n v="0"/>
    <n v="1"/>
    <n v="4"/>
  </r>
  <r>
    <x v="8106"/>
    <n v="-4"/>
    <n v="64"/>
    <n v="60"/>
    <n v="20"/>
    <n v="15"/>
    <x v="30"/>
    <n v="22"/>
    <n v="-11"/>
    <n v="69"/>
    <n v="0"/>
    <n v="1"/>
    <n v="11"/>
  </r>
  <r>
    <x v="8107"/>
    <n v="-11"/>
    <n v="69"/>
    <n v="58"/>
    <n v="22"/>
    <n v="26"/>
    <x v="26"/>
    <n v="20"/>
    <n v="-5"/>
    <n v="65"/>
    <n v="0"/>
    <n v="1"/>
    <n v="5"/>
  </r>
  <r>
    <x v="8108"/>
    <n v="-5"/>
    <n v="65"/>
    <n v="60"/>
    <n v="20"/>
    <n v="23"/>
    <x v="33"/>
    <n v="21"/>
    <n v="-3"/>
    <n v="62"/>
    <n v="0"/>
    <n v="1"/>
    <n v="3"/>
  </r>
  <r>
    <x v="8109"/>
    <n v="-3"/>
    <n v="62"/>
    <n v="59"/>
    <n v="21"/>
    <n v="20"/>
    <x v="22"/>
    <n v="18"/>
    <n v="-1"/>
    <n v="63"/>
    <n v="0"/>
    <n v="1"/>
    <n v="1"/>
  </r>
  <r>
    <x v="8110"/>
    <n v="-1"/>
    <n v="63"/>
    <n v="62"/>
    <n v="18"/>
    <n v="22"/>
    <x v="5"/>
    <n v="30"/>
    <n v="-9"/>
    <n v="59"/>
    <n v="0"/>
    <n v="1"/>
    <n v="9"/>
  </r>
  <r>
    <x v="8111"/>
    <n v="-9"/>
    <n v="59"/>
    <n v="50"/>
    <n v="30"/>
    <n v="20"/>
    <x v="30"/>
    <n v="21"/>
    <n v="-10"/>
    <n v="69"/>
    <n v="0"/>
    <n v="1"/>
    <n v="10"/>
  </r>
  <r>
    <x v="8112"/>
    <n v="-10"/>
    <n v="69"/>
    <n v="59"/>
    <n v="21"/>
    <n v="21"/>
    <x v="30"/>
    <n v="17"/>
    <n v="-6"/>
    <n v="69"/>
    <n v="0"/>
    <n v="1"/>
    <n v="6"/>
  </r>
  <r>
    <x v="8113"/>
    <n v="-6"/>
    <n v="69"/>
    <n v="63"/>
    <n v="17"/>
    <n v="18"/>
    <x v="17"/>
    <n v="19"/>
    <n v="-7"/>
    <n v="68"/>
    <n v="0"/>
    <n v="1"/>
    <n v="7"/>
  </r>
  <r>
    <x v="8114"/>
    <n v="-7"/>
    <n v="68"/>
    <n v="61"/>
    <n v="19"/>
    <n v="30"/>
    <x v="24"/>
    <n v="21"/>
    <n v="2"/>
    <n v="57"/>
    <n v="0.2"/>
    <n v="0"/>
    <n v="0"/>
  </r>
  <r>
    <x v="8115"/>
    <n v="2"/>
    <n v="57"/>
    <n v="59"/>
    <n v="21"/>
    <n v="21"/>
    <x v="24"/>
    <n v="16"/>
    <n v="7"/>
    <n v="57"/>
    <n v="0.70000000000000007"/>
    <n v="0"/>
    <n v="0"/>
  </r>
  <r>
    <x v="8116"/>
    <n v="7"/>
    <n v="57"/>
    <n v="64"/>
    <n v="16"/>
    <n v="17"/>
    <x v="32"/>
    <n v="15"/>
    <n v="9"/>
    <n v="56"/>
    <n v="0.9"/>
    <n v="0"/>
    <n v="0"/>
  </r>
  <r>
    <x v="8117"/>
    <n v="9"/>
    <n v="56"/>
    <n v="65"/>
    <n v="15"/>
    <n v="19"/>
    <x v="25"/>
    <n v="17"/>
    <n v="11"/>
    <n v="52"/>
    <n v="1.1000000000000001"/>
    <n v="0"/>
    <n v="0"/>
  </r>
  <r>
    <x v="8118"/>
    <n v="11"/>
    <n v="52"/>
    <n v="63"/>
    <n v="17"/>
    <n v="21"/>
    <x v="15"/>
    <n v="22"/>
    <n v="10"/>
    <n v="48"/>
    <n v="1"/>
    <n v="0"/>
    <n v="0"/>
  </r>
  <r>
    <x v="8119"/>
    <n v="10"/>
    <n v="48"/>
    <n v="58"/>
    <n v="22"/>
    <n v="16"/>
    <x v="16"/>
    <n v="18"/>
    <n v="8"/>
    <n v="54"/>
    <n v="0.8"/>
    <n v="0"/>
    <n v="0"/>
  </r>
  <r>
    <x v="8120"/>
    <n v="8"/>
    <n v="54"/>
    <n v="62"/>
    <n v="18"/>
    <n v="15"/>
    <x v="24"/>
    <n v="18"/>
    <n v="5"/>
    <n v="57"/>
    <n v="0.5"/>
    <n v="0"/>
    <n v="0"/>
  </r>
  <r>
    <x v="8121"/>
    <n v="5"/>
    <n v="57"/>
    <n v="62"/>
    <n v="18"/>
    <n v="17"/>
    <x v="28"/>
    <n v="19"/>
    <n v="3"/>
    <n v="58"/>
    <n v="0.30000000000000004"/>
    <n v="0"/>
    <n v="0"/>
  </r>
  <r>
    <x v="8122"/>
    <n v="3"/>
    <n v="58"/>
    <n v="61"/>
    <n v="19"/>
    <n v="22"/>
    <x v="27"/>
    <n v="21"/>
    <n v="4"/>
    <n v="55"/>
    <n v="0.4"/>
    <n v="0"/>
    <n v="0"/>
  </r>
  <r>
    <x v="8123"/>
    <n v="4"/>
    <n v="55"/>
    <n v="59"/>
    <n v="21"/>
    <n v="18"/>
    <x v="28"/>
    <n v="30"/>
    <n v="-8"/>
    <n v="58"/>
    <n v="0"/>
    <n v="1"/>
    <n v="8"/>
  </r>
  <r>
    <x v="8124"/>
    <n v="-8"/>
    <n v="58"/>
    <n v="50"/>
    <n v="30"/>
    <n v="18"/>
    <x v="6"/>
    <n v="31"/>
    <n v="-21"/>
    <n v="70"/>
    <n v="0"/>
    <n v="1"/>
    <n v="21"/>
  </r>
  <r>
    <x v="8125"/>
    <n v="-21"/>
    <n v="70"/>
    <n v="49"/>
    <n v="31"/>
    <n v="19"/>
    <x v="19"/>
    <n v="22"/>
    <n v="-24"/>
    <n v="82"/>
    <n v="0"/>
    <n v="1"/>
    <n v="22"/>
  </r>
  <r>
    <x v="8126"/>
    <n v="-24"/>
    <n v="82"/>
    <n v="58"/>
    <n v="22"/>
    <n v="21"/>
    <x v="42"/>
    <n v="21"/>
    <n v="-24"/>
    <n v="83"/>
    <n v="0"/>
    <n v="1"/>
    <n v="21"/>
  </r>
  <r>
    <x v="8127"/>
    <n v="-24"/>
    <n v="83"/>
    <n v="59"/>
    <n v="21"/>
    <n v="30"/>
    <x v="39"/>
    <n v="24"/>
    <n v="-18"/>
    <n v="74"/>
    <n v="0"/>
    <n v="1"/>
    <n v="18"/>
  </r>
  <r>
    <x v="8128"/>
    <n v="-18"/>
    <n v="74"/>
    <n v="56"/>
    <n v="24"/>
    <n v="31"/>
    <x v="21"/>
    <n v="18"/>
    <n v="-5"/>
    <n v="67"/>
    <n v="0"/>
    <n v="1"/>
    <n v="5"/>
  </r>
  <r>
    <x v="8129"/>
    <n v="-5"/>
    <n v="67"/>
    <n v="62"/>
    <n v="18"/>
    <n v="22"/>
    <x v="22"/>
    <n v="22"/>
    <n v="-5"/>
    <n v="63"/>
    <n v="0"/>
    <n v="1"/>
    <n v="5"/>
  </r>
  <r>
    <x v="8130"/>
    <n v="-5"/>
    <n v="63"/>
    <n v="58"/>
    <n v="22"/>
    <n v="21"/>
    <x v="8"/>
    <n v="18"/>
    <n v="-2"/>
    <n v="64"/>
    <n v="0"/>
    <n v="1"/>
    <n v="2"/>
  </r>
  <r>
    <x v="8131"/>
    <n v="-2"/>
    <n v="64"/>
    <n v="62"/>
    <n v="18"/>
    <n v="24"/>
    <x v="28"/>
    <n v="20"/>
    <n v="2"/>
    <n v="58"/>
    <n v="0.2"/>
    <n v="0"/>
    <n v="0"/>
  </r>
  <r>
    <x v="8132"/>
    <n v="2"/>
    <n v="58"/>
    <n v="60"/>
    <n v="20"/>
    <n v="18"/>
    <x v="4"/>
    <n v="19"/>
    <n v="1"/>
    <n v="60"/>
    <n v="0.1"/>
    <n v="0"/>
    <n v="0"/>
  </r>
  <r>
    <x v="8133"/>
    <n v="1"/>
    <n v="60"/>
    <n v="61"/>
    <n v="19"/>
    <n v="22"/>
    <x v="24"/>
    <n v="30"/>
    <n v="-7"/>
    <n v="57"/>
    <n v="0"/>
    <n v="1"/>
    <n v="7"/>
  </r>
  <r>
    <x v="8134"/>
    <n v="-7"/>
    <n v="57"/>
    <n v="50"/>
    <n v="30"/>
    <n v="18"/>
    <x v="30"/>
    <n v="16"/>
    <n v="-5"/>
    <n v="69"/>
    <n v="0"/>
    <n v="1"/>
    <n v="5"/>
  </r>
  <r>
    <x v="8135"/>
    <n v="-5"/>
    <n v="69"/>
    <n v="64"/>
    <n v="16"/>
    <n v="20"/>
    <x v="26"/>
    <n v="20"/>
    <n v="-5"/>
    <n v="65"/>
    <n v="0"/>
    <n v="1"/>
    <n v="5"/>
  </r>
  <r>
    <x v="8136"/>
    <n v="-5"/>
    <n v="65"/>
    <n v="60"/>
    <n v="20"/>
    <n v="19"/>
    <x v="7"/>
    <n v="19"/>
    <n v="-5"/>
    <n v="66"/>
    <n v="0"/>
    <n v="1"/>
    <n v="5"/>
  </r>
  <r>
    <x v="8137"/>
    <n v="-5"/>
    <n v="66"/>
    <n v="61"/>
    <n v="19"/>
    <n v="30"/>
    <x v="27"/>
    <n v="14"/>
    <n v="11"/>
    <n v="55"/>
    <n v="1.1000000000000001"/>
    <n v="0"/>
    <n v="0"/>
  </r>
  <r>
    <x v="8138"/>
    <n v="11"/>
    <n v="55"/>
    <n v="66"/>
    <n v="14"/>
    <n v="16"/>
    <x v="12"/>
    <n v="21"/>
    <n v="6"/>
    <n v="53"/>
    <n v="0.60000000000000009"/>
    <n v="0"/>
    <n v="0"/>
  </r>
  <r>
    <x v="8139"/>
    <n v="6"/>
    <n v="53"/>
    <n v="59"/>
    <n v="21"/>
    <n v="20"/>
    <x v="16"/>
    <n v="18"/>
    <n v="8"/>
    <n v="54"/>
    <n v="0.8"/>
    <n v="0"/>
    <n v="0"/>
  </r>
  <r>
    <x v="8140"/>
    <n v="8"/>
    <n v="54"/>
    <n v="62"/>
    <n v="18"/>
    <n v="19"/>
    <x v="12"/>
    <n v="21"/>
    <n v="6"/>
    <n v="53"/>
    <n v="0.60000000000000009"/>
    <n v="0"/>
    <n v="0"/>
  </r>
  <r>
    <x v="8141"/>
    <n v="6"/>
    <n v="53"/>
    <n v="59"/>
    <n v="21"/>
    <n v="14"/>
    <x v="4"/>
    <n v="25"/>
    <n v="-5"/>
    <n v="60"/>
    <n v="0"/>
    <n v="1"/>
    <n v="5"/>
  </r>
  <r>
    <x v="8142"/>
    <n v="-5"/>
    <n v="60"/>
    <n v="55"/>
    <n v="25"/>
    <n v="21"/>
    <x v="8"/>
    <n v="19"/>
    <n v="-3"/>
    <n v="64"/>
    <n v="0"/>
    <n v="1"/>
    <n v="3"/>
  </r>
  <r>
    <x v="8143"/>
    <n v="-3"/>
    <n v="64"/>
    <n v="61"/>
    <n v="19"/>
    <n v="18"/>
    <x v="26"/>
    <n v="18"/>
    <n v="-3"/>
    <n v="65"/>
    <n v="0"/>
    <n v="1"/>
    <n v="3"/>
  </r>
  <r>
    <x v="8144"/>
    <n v="-3"/>
    <n v="65"/>
    <n v="62"/>
    <n v="18"/>
    <n v="21"/>
    <x v="33"/>
    <n v="20"/>
    <n v="-2"/>
    <n v="62"/>
    <n v="0"/>
    <n v="1"/>
    <n v="2"/>
  </r>
  <r>
    <x v="8145"/>
    <n v="-2"/>
    <n v="62"/>
    <n v="60"/>
    <n v="20"/>
    <n v="25"/>
    <x v="24"/>
    <n v="21"/>
    <n v="2"/>
    <n v="57"/>
    <n v="0.2"/>
    <n v="0"/>
    <n v="0"/>
  </r>
  <r>
    <x v="8146"/>
    <n v="2"/>
    <n v="57"/>
    <n v="59"/>
    <n v="21"/>
    <n v="19"/>
    <x v="5"/>
    <n v="20"/>
    <n v="1"/>
    <n v="59"/>
    <n v="0.1"/>
    <n v="0"/>
    <n v="0"/>
  </r>
  <r>
    <x v="8147"/>
    <n v="1"/>
    <n v="59"/>
    <n v="60"/>
    <n v="20"/>
    <n v="18"/>
    <x v="23"/>
    <n v="14"/>
    <n v="5"/>
    <n v="61"/>
    <n v="0.5"/>
    <n v="0"/>
    <n v="0"/>
  </r>
  <r>
    <x v="8148"/>
    <n v="5"/>
    <n v="61"/>
    <n v="66"/>
    <n v="14"/>
    <n v="20"/>
    <x v="27"/>
    <n v="16"/>
    <n v="9"/>
    <n v="55"/>
    <n v="0.9"/>
    <n v="0"/>
    <n v="0"/>
  </r>
  <r>
    <x v="8149"/>
    <n v="9"/>
    <n v="55"/>
    <n v="64"/>
    <n v="16"/>
    <n v="21"/>
    <x v="13"/>
    <n v="23"/>
    <n v="7"/>
    <n v="50"/>
    <n v="0.70000000000000007"/>
    <n v="0"/>
    <n v="0"/>
  </r>
  <r>
    <x v="8150"/>
    <n v="7"/>
    <n v="50"/>
    <n v="57"/>
    <n v="23"/>
    <n v="20"/>
    <x v="12"/>
    <n v="19"/>
    <n v="8"/>
    <n v="53"/>
    <n v="0.8"/>
    <n v="0"/>
    <n v="0"/>
  </r>
  <r>
    <x v="8151"/>
    <n v="8"/>
    <n v="53"/>
    <n v="61"/>
    <n v="19"/>
    <n v="14"/>
    <x v="28"/>
    <n v="24"/>
    <n v="-2"/>
    <n v="58"/>
    <n v="0"/>
    <n v="1"/>
    <n v="2"/>
  </r>
  <r>
    <x v="8152"/>
    <n v="-2"/>
    <n v="58"/>
    <n v="56"/>
    <n v="24"/>
    <n v="16"/>
    <x v="7"/>
    <n v="15"/>
    <n v="-1"/>
    <n v="66"/>
    <n v="0"/>
    <n v="1"/>
    <n v="1"/>
  </r>
  <r>
    <x v="8153"/>
    <n v="-1"/>
    <n v="66"/>
    <n v="65"/>
    <n v="15"/>
    <n v="23"/>
    <x v="28"/>
    <n v="27"/>
    <n v="-5"/>
    <n v="58"/>
    <n v="0"/>
    <n v="1"/>
    <n v="5"/>
  </r>
  <r>
    <x v="8154"/>
    <n v="-5"/>
    <n v="58"/>
    <n v="53"/>
    <n v="27"/>
    <n v="19"/>
    <x v="7"/>
    <n v="17"/>
    <n v="-3"/>
    <n v="66"/>
    <n v="0"/>
    <n v="1"/>
    <n v="3"/>
  </r>
  <r>
    <x v="8155"/>
    <n v="-3"/>
    <n v="66"/>
    <n v="63"/>
    <n v="17"/>
    <n v="24"/>
    <x v="5"/>
    <n v="15"/>
    <n v="6"/>
    <n v="59"/>
    <n v="0.60000000000000009"/>
    <n v="0"/>
    <n v="0"/>
  </r>
  <r>
    <x v="8156"/>
    <n v="6"/>
    <n v="59"/>
    <n v="65"/>
    <n v="15"/>
    <n v="15"/>
    <x v="5"/>
    <n v="17"/>
    <n v="4"/>
    <n v="59"/>
    <n v="0.4"/>
    <n v="0"/>
    <n v="0"/>
  </r>
  <r>
    <x v="8157"/>
    <n v="4"/>
    <n v="59"/>
    <n v="63"/>
    <n v="17"/>
    <n v="27"/>
    <x v="10"/>
    <n v="20"/>
    <n v="11"/>
    <n v="49"/>
    <n v="1.1000000000000001"/>
    <n v="0"/>
    <n v="0"/>
  </r>
  <r>
    <x v="8158"/>
    <n v="11"/>
    <n v="49"/>
    <n v="60"/>
    <n v="20"/>
    <n v="17"/>
    <x v="25"/>
    <n v="22"/>
    <n v="6"/>
    <n v="52"/>
    <n v="0.60000000000000009"/>
    <n v="0"/>
    <n v="0"/>
  </r>
  <r>
    <x v="8159"/>
    <n v="6"/>
    <n v="52"/>
    <n v="58"/>
    <n v="22"/>
    <n v="15"/>
    <x v="5"/>
    <n v="24"/>
    <n v="-3"/>
    <n v="59"/>
    <n v="0"/>
    <n v="1"/>
    <n v="3"/>
  </r>
  <r>
    <x v="8160"/>
    <n v="-3"/>
    <n v="59"/>
    <n v="56"/>
    <n v="24"/>
    <n v="17"/>
    <x v="7"/>
    <n v="25"/>
    <n v="-11"/>
    <n v="66"/>
    <n v="0"/>
    <n v="1"/>
    <n v="11"/>
  </r>
  <r>
    <x v="8161"/>
    <n v="-11"/>
    <n v="66"/>
    <n v="55"/>
    <n v="25"/>
    <n v="20"/>
    <x v="20"/>
    <n v="25"/>
    <n v="-16"/>
    <n v="71"/>
    <n v="0"/>
    <n v="1"/>
    <n v="16"/>
  </r>
  <r>
    <x v="8162"/>
    <n v="-16"/>
    <n v="71"/>
    <n v="55"/>
    <n v="25"/>
    <n v="22"/>
    <x v="39"/>
    <n v="20"/>
    <n v="-14"/>
    <n v="74"/>
    <n v="0"/>
    <n v="1"/>
    <n v="14"/>
  </r>
  <r>
    <x v="8163"/>
    <n v="-14"/>
    <n v="74"/>
    <n v="60"/>
    <n v="20"/>
    <n v="24"/>
    <x v="6"/>
    <n v="16"/>
    <n v="-6"/>
    <n v="70"/>
    <n v="0"/>
    <n v="1"/>
    <n v="6"/>
  </r>
  <r>
    <x v="8164"/>
    <n v="-6"/>
    <n v="70"/>
    <n v="64"/>
    <n v="16"/>
    <n v="25"/>
    <x v="23"/>
    <n v="25"/>
    <n v="-6"/>
    <n v="61"/>
    <n v="0"/>
    <n v="1"/>
    <n v="6"/>
  </r>
  <r>
    <x v="8165"/>
    <n v="-6"/>
    <n v="61"/>
    <n v="55"/>
    <n v="25"/>
    <n v="25"/>
    <x v="23"/>
    <n v="20"/>
    <n v="-1"/>
    <n v="61"/>
    <n v="0"/>
    <n v="1"/>
    <n v="1"/>
  </r>
  <r>
    <x v="8166"/>
    <n v="-1"/>
    <n v="61"/>
    <n v="60"/>
    <n v="20"/>
    <n v="20"/>
    <x v="23"/>
    <n v="26"/>
    <n v="-7"/>
    <n v="61"/>
    <n v="0"/>
    <n v="1"/>
    <n v="7"/>
  </r>
  <r>
    <x v="8167"/>
    <n v="-7"/>
    <n v="61"/>
    <n v="54"/>
    <n v="26"/>
    <n v="16"/>
    <x v="20"/>
    <n v="12"/>
    <n v="-3"/>
    <n v="71"/>
    <n v="0"/>
    <n v="1"/>
    <n v="3"/>
  </r>
  <r>
    <x v="8168"/>
    <n v="-3"/>
    <n v="71"/>
    <n v="68"/>
    <n v="12"/>
    <n v="25"/>
    <x v="28"/>
    <n v="25"/>
    <n v="-3"/>
    <n v="58"/>
    <n v="0"/>
    <n v="1"/>
    <n v="3"/>
  </r>
  <r>
    <x v="8169"/>
    <n v="-3"/>
    <n v="58"/>
    <n v="55"/>
    <n v="25"/>
    <n v="20"/>
    <x v="22"/>
    <n v="22"/>
    <n v="-5"/>
    <n v="63"/>
    <n v="0"/>
    <n v="1"/>
    <n v="5"/>
  </r>
  <r>
    <x v="8170"/>
    <n v="-5"/>
    <n v="63"/>
    <n v="58"/>
    <n v="22"/>
    <n v="26"/>
    <x v="5"/>
    <n v="25"/>
    <n v="-4"/>
    <n v="59"/>
    <n v="0"/>
    <n v="1"/>
    <n v="4"/>
  </r>
  <r>
    <x v="8171"/>
    <n v="-4"/>
    <n v="59"/>
    <n v="55"/>
    <n v="25"/>
    <n v="12"/>
    <x v="29"/>
    <n v="18"/>
    <n v="-10"/>
    <n v="72"/>
    <n v="0"/>
    <n v="1"/>
    <n v="10"/>
  </r>
  <r>
    <x v="8172"/>
    <n v="-10"/>
    <n v="72"/>
    <n v="62"/>
    <n v="18"/>
    <n v="25"/>
    <x v="26"/>
    <n v="18"/>
    <n v="-3"/>
    <n v="65"/>
    <n v="0"/>
    <n v="1"/>
    <n v="3"/>
  </r>
  <r>
    <x v="8173"/>
    <n v="-3"/>
    <n v="65"/>
    <n v="62"/>
    <n v="18"/>
    <n v="22"/>
    <x v="23"/>
    <n v="18"/>
    <n v="1"/>
    <n v="61"/>
    <n v="0.1"/>
    <n v="0"/>
    <n v="0"/>
  </r>
  <r>
    <x v="8174"/>
    <n v="1"/>
    <n v="61"/>
    <n v="62"/>
    <n v="18"/>
    <n v="25"/>
    <x v="16"/>
    <n v="23"/>
    <n v="3"/>
    <n v="54"/>
    <n v="0.30000000000000004"/>
    <n v="0"/>
    <n v="0"/>
  </r>
  <r>
    <x v="8175"/>
    <n v="3"/>
    <n v="54"/>
    <n v="57"/>
    <n v="23"/>
    <n v="18"/>
    <x v="5"/>
    <n v="19"/>
    <n v="2"/>
    <n v="59"/>
    <n v="0.2"/>
    <n v="0"/>
    <n v="0"/>
  </r>
  <r>
    <x v="8176"/>
    <n v="2"/>
    <n v="59"/>
    <n v="61"/>
    <n v="19"/>
    <n v="18"/>
    <x v="4"/>
    <n v="18"/>
    <n v="2"/>
    <n v="60"/>
    <n v="0.2"/>
    <n v="0"/>
    <n v="0"/>
  </r>
  <r>
    <x v="8177"/>
    <n v="2"/>
    <n v="60"/>
    <n v="62"/>
    <n v="18"/>
    <n v="18"/>
    <x v="4"/>
    <n v="14"/>
    <n v="6"/>
    <n v="60"/>
    <n v="0.60000000000000009"/>
    <n v="0"/>
    <n v="0"/>
  </r>
  <r>
    <x v="8178"/>
    <n v="6"/>
    <n v="60"/>
    <n v="66"/>
    <n v="14"/>
    <n v="23"/>
    <x v="9"/>
    <n v="27"/>
    <n v="2"/>
    <n v="51"/>
    <n v="0.2"/>
    <n v="0"/>
    <n v="0"/>
  </r>
  <r>
    <x v="8179"/>
    <n v="2"/>
    <n v="51"/>
    <n v="53"/>
    <n v="27"/>
    <n v="19"/>
    <x v="5"/>
    <n v="20"/>
    <n v="1"/>
    <n v="59"/>
    <n v="0.1"/>
    <n v="0"/>
    <n v="0"/>
  </r>
  <r>
    <x v="8180"/>
    <n v="1"/>
    <n v="59"/>
    <n v="60"/>
    <n v="20"/>
    <n v="18"/>
    <x v="23"/>
    <n v="24"/>
    <n v="-5"/>
    <n v="61"/>
    <n v="0"/>
    <n v="1"/>
    <n v="5"/>
  </r>
  <r>
    <x v="8181"/>
    <n v="-5"/>
    <n v="61"/>
    <n v="56"/>
    <n v="24"/>
    <n v="14"/>
    <x v="20"/>
    <n v="23"/>
    <n v="-14"/>
    <n v="71"/>
    <n v="0"/>
    <n v="1"/>
    <n v="14"/>
  </r>
  <r>
    <x v="8182"/>
    <n v="-14"/>
    <n v="71"/>
    <n v="57"/>
    <n v="23"/>
    <n v="27"/>
    <x v="21"/>
    <n v="21"/>
    <n v="-8"/>
    <n v="67"/>
    <n v="0"/>
    <n v="1"/>
    <n v="8"/>
  </r>
  <r>
    <x v="8183"/>
    <n v="-8"/>
    <n v="67"/>
    <n v="59"/>
    <n v="21"/>
    <n v="20"/>
    <x v="17"/>
    <n v="16"/>
    <n v="-4"/>
    <n v="68"/>
    <n v="0"/>
    <n v="1"/>
    <n v="4"/>
  </r>
  <r>
    <x v="8184"/>
    <n v="-4"/>
    <n v="68"/>
    <n v="64"/>
    <n v="16"/>
    <n v="24"/>
    <x v="4"/>
    <n v="17"/>
    <n v="3"/>
    <n v="60"/>
    <n v="0.30000000000000004"/>
    <n v="0"/>
    <n v="0"/>
  </r>
  <r>
    <x v="8185"/>
    <n v="3"/>
    <n v="60"/>
    <n v="63"/>
    <n v="17"/>
    <n v="23"/>
    <x v="16"/>
    <n v="15"/>
    <n v="11"/>
    <n v="54"/>
    <n v="1.1000000000000001"/>
    <n v="0"/>
    <n v="0"/>
  </r>
  <r>
    <x v="8186"/>
    <n v="11"/>
    <n v="54"/>
    <n v="65"/>
    <n v="15"/>
    <n v="21"/>
    <x v="15"/>
    <n v="23"/>
    <n v="9"/>
    <n v="48"/>
    <n v="0.9"/>
    <n v="0"/>
    <n v="0"/>
  </r>
  <r>
    <x v="8187"/>
    <n v="9"/>
    <n v="48"/>
    <n v="57"/>
    <n v="23"/>
    <n v="16"/>
    <x v="27"/>
    <n v="26"/>
    <n v="-1"/>
    <n v="55"/>
    <n v="0"/>
    <n v="1"/>
    <n v="1"/>
  </r>
  <r>
    <x v="8188"/>
    <n v="-1"/>
    <n v="55"/>
    <n v="54"/>
    <n v="26"/>
    <n v="17"/>
    <x v="8"/>
    <n v="21"/>
    <n v="-5"/>
    <n v="64"/>
    <n v="0"/>
    <n v="1"/>
    <n v="5"/>
  </r>
  <r>
    <x v="8189"/>
    <n v="-5"/>
    <n v="64"/>
    <n v="59"/>
    <n v="21"/>
    <n v="15"/>
    <x v="6"/>
    <n v="13"/>
    <n v="-3"/>
    <n v="70"/>
    <n v="0"/>
    <n v="1"/>
    <n v="3"/>
  </r>
  <r>
    <x v="8190"/>
    <n v="-3"/>
    <n v="70"/>
    <n v="67"/>
    <n v="13"/>
    <n v="23"/>
    <x v="4"/>
    <n v="21"/>
    <n v="-1"/>
    <n v="60"/>
    <n v="0"/>
    <n v="1"/>
    <n v="1"/>
  </r>
  <r>
    <x v="8191"/>
    <n v="-1"/>
    <n v="60"/>
    <n v="59"/>
    <n v="21"/>
    <n v="26"/>
    <x v="27"/>
    <n v="26"/>
    <n v="-1"/>
    <n v="55"/>
    <n v="0"/>
    <n v="1"/>
    <n v="1"/>
  </r>
  <r>
    <x v="8192"/>
    <n v="-1"/>
    <n v="55"/>
    <n v="54"/>
    <n v="26"/>
    <n v="21"/>
    <x v="4"/>
    <n v="20"/>
    <n v="0"/>
    <n v="60"/>
    <n v="0"/>
    <n v="0"/>
    <n v="0"/>
  </r>
  <r>
    <x v="8193"/>
    <n v="0"/>
    <n v="60"/>
    <n v="60"/>
    <n v="20"/>
    <n v="13"/>
    <x v="21"/>
    <n v="13"/>
    <n v="0"/>
    <n v="67"/>
    <n v="0"/>
    <n v="0"/>
    <n v="0"/>
  </r>
  <r>
    <x v="8194"/>
    <n v="0"/>
    <n v="67"/>
    <n v="67"/>
    <n v="13"/>
    <n v="21"/>
    <x v="5"/>
    <n v="18"/>
    <n v="3"/>
    <n v="59"/>
    <n v="0.30000000000000004"/>
    <n v="0"/>
    <n v="0"/>
  </r>
  <r>
    <x v="8195"/>
    <n v="3"/>
    <n v="59"/>
    <n v="62"/>
    <n v="18"/>
    <n v="26"/>
    <x v="9"/>
    <n v="19"/>
    <n v="10"/>
    <n v="51"/>
    <n v="1"/>
    <n v="0"/>
    <n v="0"/>
  </r>
  <r>
    <x v="8196"/>
    <n v="10"/>
    <n v="51"/>
    <n v="61"/>
    <n v="19"/>
    <n v="20"/>
    <x v="13"/>
    <n v="21"/>
    <n v="9"/>
    <n v="50"/>
    <n v="0.9"/>
    <n v="0"/>
    <n v="0"/>
  </r>
  <r>
    <x v="8197"/>
    <n v="9"/>
    <n v="50"/>
    <n v="59"/>
    <n v="21"/>
    <n v="13"/>
    <x v="28"/>
    <n v="14"/>
    <n v="8"/>
    <n v="58"/>
    <n v="0.8"/>
    <n v="0"/>
    <n v="0"/>
  </r>
  <r>
    <x v="8198"/>
    <n v="8"/>
    <n v="58"/>
    <n v="66"/>
    <n v="14"/>
    <n v="18"/>
    <x v="16"/>
    <n v="20"/>
    <n v="6"/>
    <n v="54"/>
    <n v="0.60000000000000009"/>
    <n v="0"/>
    <n v="0"/>
  </r>
  <r>
    <x v="8199"/>
    <n v="6"/>
    <n v="54"/>
    <n v="60"/>
    <n v="20"/>
    <n v="19"/>
    <x v="27"/>
    <n v="21"/>
    <n v="4"/>
    <n v="55"/>
    <n v="0.4"/>
    <n v="0"/>
    <n v="0"/>
  </r>
  <r>
    <x v="8200"/>
    <n v="4"/>
    <n v="55"/>
    <n v="59"/>
    <n v="21"/>
    <n v="21"/>
    <x v="27"/>
    <n v="19"/>
    <n v="6"/>
    <n v="55"/>
    <n v="0.60000000000000009"/>
    <n v="0"/>
    <n v="0"/>
  </r>
  <r>
    <x v="8201"/>
    <n v="6"/>
    <n v="55"/>
    <n v="61"/>
    <n v="19"/>
    <n v="14"/>
    <x v="4"/>
    <n v="17"/>
    <n v="3"/>
    <n v="60"/>
    <n v="0.30000000000000004"/>
    <n v="0"/>
    <n v="0"/>
  </r>
  <r>
    <x v="8202"/>
    <n v="3"/>
    <n v="60"/>
    <n v="63"/>
    <n v="17"/>
    <n v="20"/>
    <x v="24"/>
    <n v="16"/>
    <n v="7"/>
    <n v="57"/>
    <n v="0.70000000000000007"/>
    <n v="0"/>
    <n v="0"/>
  </r>
  <r>
    <x v="8203"/>
    <n v="7"/>
    <n v="57"/>
    <n v="64"/>
    <n v="16"/>
    <n v="21"/>
    <x v="25"/>
    <n v="21"/>
    <n v="7"/>
    <n v="52"/>
    <n v="0.70000000000000007"/>
    <n v="0"/>
    <n v="0"/>
  </r>
  <r>
    <x v="8204"/>
    <n v="7"/>
    <n v="52"/>
    <n v="59"/>
    <n v="21"/>
    <n v="19"/>
    <x v="16"/>
    <n v="19"/>
    <n v="7"/>
    <n v="54"/>
    <n v="0.70000000000000007"/>
    <n v="0"/>
    <n v="0"/>
  </r>
  <r>
    <x v="8205"/>
    <n v="7"/>
    <n v="54"/>
    <n v="61"/>
    <n v="19"/>
    <n v="17"/>
    <x v="32"/>
    <n v="16"/>
    <n v="8"/>
    <n v="56"/>
    <n v="0.8"/>
    <n v="0"/>
    <n v="0"/>
  </r>
  <r>
    <x v="8206"/>
    <n v="8"/>
    <n v="56"/>
    <n v="64"/>
    <n v="16"/>
    <n v="16"/>
    <x v="32"/>
    <n v="25"/>
    <n v="-1"/>
    <n v="56"/>
    <n v="0"/>
    <n v="1"/>
    <n v="1"/>
  </r>
  <r>
    <x v="8207"/>
    <n v="-1"/>
    <n v="56"/>
    <n v="55"/>
    <n v="25"/>
    <n v="21"/>
    <x v="4"/>
    <n v="16"/>
    <n v="4"/>
    <n v="60"/>
    <n v="0.4"/>
    <n v="0"/>
    <n v="0"/>
  </r>
  <r>
    <x v="8208"/>
    <n v="4"/>
    <n v="60"/>
    <n v="64"/>
    <n v="16"/>
    <n v="19"/>
    <x v="24"/>
    <n v="16"/>
    <n v="7"/>
    <n v="57"/>
    <n v="0.70000000000000007"/>
    <n v="0"/>
    <n v="0"/>
  </r>
  <r>
    <x v="8209"/>
    <n v="7"/>
    <n v="57"/>
    <n v="64"/>
    <n v="16"/>
    <n v="16"/>
    <x v="24"/>
    <n v="23"/>
    <n v="0"/>
    <n v="57"/>
    <n v="0"/>
    <n v="0"/>
    <n v="0"/>
  </r>
  <r>
    <x v="8210"/>
    <n v="0"/>
    <n v="57"/>
    <n v="57"/>
    <n v="23"/>
    <n v="25"/>
    <x v="27"/>
    <n v="18"/>
    <n v="7"/>
    <n v="55"/>
    <n v="0.70000000000000007"/>
    <n v="0"/>
    <n v="0"/>
  </r>
  <r>
    <x v="8211"/>
    <n v="7"/>
    <n v="55"/>
    <n v="62"/>
    <n v="18"/>
    <n v="16"/>
    <x v="24"/>
    <n v="21"/>
    <n v="2"/>
    <n v="57"/>
    <n v="0.2"/>
    <n v="0"/>
    <n v="0"/>
  </r>
  <r>
    <x v="8212"/>
    <n v="2"/>
    <n v="57"/>
    <n v="59"/>
    <n v="21"/>
    <n v="16"/>
    <x v="33"/>
    <n v="16"/>
    <n v="2"/>
    <n v="62"/>
    <n v="0.2"/>
    <n v="0"/>
    <n v="0"/>
  </r>
  <r>
    <x v="8213"/>
    <n v="2"/>
    <n v="62"/>
    <n v="64"/>
    <n v="16"/>
    <n v="23"/>
    <x v="27"/>
    <n v="20"/>
    <n v="5"/>
    <n v="55"/>
    <n v="0.5"/>
    <n v="0"/>
    <n v="0"/>
  </r>
  <r>
    <x v="8214"/>
    <n v="5"/>
    <n v="55"/>
    <n v="60"/>
    <n v="20"/>
    <n v="18"/>
    <x v="24"/>
    <n v="22"/>
    <n v="1"/>
    <n v="57"/>
    <n v="0.1"/>
    <n v="0"/>
    <n v="0"/>
  </r>
  <r>
    <x v="8215"/>
    <n v="1"/>
    <n v="57"/>
    <n v="58"/>
    <n v="22"/>
    <n v="21"/>
    <x v="28"/>
    <n v="18"/>
    <n v="4"/>
    <n v="58"/>
    <n v="0.4"/>
    <n v="0"/>
    <n v="0"/>
  </r>
  <r>
    <x v="8216"/>
    <n v="4"/>
    <n v="58"/>
    <n v="62"/>
    <n v="18"/>
    <n v="16"/>
    <x v="4"/>
    <n v="17"/>
    <n v="3"/>
    <n v="60"/>
    <n v="0.30000000000000004"/>
    <n v="0"/>
    <n v="0"/>
  </r>
  <r>
    <x v="8217"/>
    <n v="3"/>
    <n v="60"/>
    <n v="63"/>
    <n v="17"/>
    <n v="20"/>
    <x v="24"/>
    <n v="25"/>
    <n v="-2"/>
    <n v="57"/>
    <n v="0"/>
    <n v="1"/>
    <n v="2"/>
  </r>
  <r>
    <x v="8218"/>
    <n v="-2"/>
    <n v="57"/>
    <n v="55"/>
    <n v="25"/>
    <n v="22"/>
    <x v="4"/>
    <n v="21"/>
    <n v="-1"/>
    <n v="60"/>
    <n v="0"/>
    <n v="1"/>
    <n v="1"/>
  </r>
  <r>
    <x v="8219"/>
    <n v="-1"/>
    <n v="60"/>
    <n v="59"/>
    <n v="21"/>
    <n v="18"/>
    <x v="22"/>
    <n v="21"/>
    <n v="-4"/>
    <n v="63"/>
    <n v="0"/>
    <n v="1"/>
    <n v="4"/>
  </r>
  <r>
    <x v="8220"/>
    <n v="-4"/>
    <n v="63"/>
    <n v="59"/>
    <n v="21"/>
    <n v="17"/>
    <x v="21"/>
    <n v="16"/>
    <n v="-3"/>
    <n v="67"/>
    <n v="0"/>
    <n v="1"/>
    <n v="3"/>
  </r>
  <r>
    <x v="8221"/>
    <n v="-3"/>
    <n v="67"/>
    <n v="64"/>
    <n v="16"/>
    <n v="25"/>
    <x v="28"/>
    <n v="19"/>
    <n v="3"/>
    <n v="58"/>
    <n v="0.30000000000000004"/>
    <n v="0"/>
    <n v="0"/>
  </r>
  <r>
    <x v="8222"/>
    <n v="3"/>
    <n v="58"/>
    <n v="61"/>
    <n v="19"/>
    <n v="21"/>
    <x v="32"/>
    <n v="18"/>
    <n v="6"/>
    <n v="56"/>
    <n v="0.60000000000000009"/>
    <n v="0"/>
    <n v="0"/>
  </r>
  <r>
    <x v="8223"/>
    <n v="6"/>
    <n v="56"/>
    <n v="62"/>
    <n v="18"/>
    <n v="21"/>
    <x v="12"/>
    <n v="20"/>
    <n v="7"/>
    <n v="53"/>
    <n v="0.70000000000000007"/>
    <n v="0"/>
    <n v="0"/>
  </r>
  <r>
    <x v="8224"/>
    <n v="7"/>
    <n v="53"/>
    <n v="60"/>
    <n v="20"/>
    <n v="16"/>
    <x v="24"/>
    <n v="25"/>
    <n v="-2"/>
    <n v="57"/>
    <n v="0"/>
    <n v="1"/>
    <n v="2"/>
  </r>
  <r>
    <x v="8225"/>
    <n v="-2"/>
    <n v="57"/>
    <n v="55"/>
    <n v="25"/>
    <n v="19"/>
    <x v="22"/>
    <n v="12"/>
    <n v="5"/>
    <n v="63"/>
    <n v="0.5"/>
    <n v="0"/>
    <n v="0"/>
  </r>
  <r>
    <x v="8226"/>
    <n v="5"/>
    <n v="63"/>
    <n v="68"/>
    <n v="12"/>
    <n v="18"/>
    <x v="24"/>
    <n v="17"/>
    <n v="6"/>
    <n v="57"/>
    <n v="0.60000000000000009"/>
    <n v="0"/>
    <n v="0"/>
  </r>
  <r>
    <x v="8227"/>
    <n v="6"/>
    <n v="57"/>
    <n v="63"/>
    <n v="17"/>
    <n v="20"/>
    <x v="16"/>
    <n v="19"/>
    <n v="7"/>
    <n v="54"/>
    <n v="0.70000000000000007"/>
    <n v="0"/>
    <n v="0"/>
  </r>
  <r>
    <x v="8228"/>
    <n v="7"/>
    <n v="54"/>
    <n v="61"/>
    <n v="19"/>
    <n v="25"/>
    <x v="15"/>
    <n v="16"/>
    <n v="16"/>
    <n v="48"/>
    <n v="1.6"/>
    <n v="0"/>
    <n v="0"/>
  </r>
  <r>
    <x v="8229"/>
    <n v="16"/>
    <n v="48"/>
    <n v="64"/>
    <n v="16"/>
    <n v="12"/>
    <x v="25"/>
    <n v="14"/>
    <n v="14"/>
    <n v="52"/>
    <n v="1.4000000000000001"/>
    <n v="0"/>
    <n v="0"/>
  </r>
  <r>
    <x v="8230"/>
    <n v="14"/>
    <n v="52"/>
    <n v="66"/>
    <n v="14"/>
    <n v="17"/>
    <x v="10"/>
    <n v="16"/>
    <n v="15"/>
    <n v="49"/>
    <n v="1.5"/>
    <n v="0"/>
    <n v="0"/>
  </r>
  <r>
    <x v="8231"/>
    <n v="15"/>
    <n v="49"/>
    <n v="64"/>
    <n v="16"/>
    <n v="19"/>
    <x v="38"/>
    <n v="25"/>
    <n v="9"/>
    <n v="46"/>
    <n v="0.9"/>
    <n v="0"/>
    <n v="0"/>
  </r>
  <r>
    <x v="8232"/>
    <n v="9"/>
    <n v="46"/>
    <n v="55"/>
    <n v="25"/>
    <n v="16"/>
    <x v="27"/>
    <n v="17"/>
    <n v="8"/>
    <n v="55"/>
    <n v="0.8"/>
    <n v="0"/>
    <n v="0"/>
  </r>
  <r>
    <x v="8233"/>
    <n v="8"/>
    <n v="55"/>
    <n v="63"/>
    <n v="17"/>
    <n v="14"/>
    <x v="28"/>
    <n v="16"/>
    <n v="6"/>
    <n v="58"/>
    <n v="0.60000000000000009"/>
    <n v="0"/>
    <n v="0"/>
  </r>
  <r>
    <x v="8234"/>
    <n v="6"/>
    <n v="58"/>
    <n v="64"/>
    <n v="16"/>
    <n v="16"/>
    <x v="28"/>
    <n v="26"/>
    <n v="-4"/>
    <n v="58"/>
    <n v="0"/>
    <n v="1"/>
    <n v="4"/>
  </r>
  <r>
    <x v="8235"/>
    <n v="-4"/>
    <n v="58"/>
    <n v="54"/>
    <n v="26"/>
    <n v="25"/>
    <x v="5"/>
    <n v="20"/>
    <n v="1"/>
    <n v="59"/>
    <n v="0.1"/>
    <n v="0"/>
    <n v="0"/>
  </r>
  <r>
    <x v="8236"/>
    <n v="1"/>
    <n v="59"/>
    <n v="60"/>
    <n v="20"/>
    <n v="17"/>
    <x v="33"/>
    <n v="16"/>
    <n v="2"/>
    <n v="62"/>
    <n v="0.2"/>
    <n v="0"/>
    <n v="0"/>
  </r>
  <r>
    <x v="8237"/>
    <n v="2"/>
    <n v="62"/>
    <n v="64"/>
    <n v="16"/>
    <n v="16"/>
    <x v="33"/>
    <n v="20"/>
    <n v="-2"/>
    <n v="62"/>
    <n v="0"/>
    <n v="1"/>
    <n v="2"/>
  </r>
  <r>
    <x v="8238"/>
    <n v="-2"/>
    <n v="62"/>
    <n v="60"/>
    <n v="20"/>
    <n v="26"/>
    <x v="32"/>
    <n v="16"/>
    <n v="8"/>
    <n v="56"/>
    <n v="0.8"/>
    <n v="0"/>
    <n v="0"/>
  </r>
  <r>
    <x v="8239"/>
    <n v="8"/>
    <n v="56"/>
    <n v="64"/>
    <n v="16"/>
    <n v="20"/>
    <x v="25"/>
    <n v="15"/>
    <n v="13"/>
    <n v="52"/>
    <n v="1.3"/>
    <n v="0"/>
    <n v="0"/>
  </r>
  <r>
    <x v="8240"/>
    <n v="13"/>
    <n v="52"/>
    <n v="65"/>
    <n v="15"/>
    <n v="16"/>
    <x v="9"/>
    <n v="22"/>
    <n v="7"/>
    <n v="51"/>
    <n v="0.70000000000000007"/>
    <n v="0"/>
    <n v="0"/>
  </r>
  <r>
    <x v="8241"/>
    <n v="7"/>
    <n v="51"/>
    <n v="58"/>
    <n v="22"/>
    <n v="20"/>
    <x v="12"/>
    <n v="25"/>
    <n v="2"/>
    <n v="53"/>
    <n v="0.2"/>
    <n v="0"/>
    <n v="0"/>
  </r>
  <r>
    <x v="8242"/>
    <n v="2"/>
    <n v="53"/>
    <n v="55"/>
    <n v="25"/>
    <n v="16"/>
    <x v="33"/>
    <n v="18"/>
    <n v="0"/>
    <n v="62"/>
    <n v="0"/>
    <n v="0"/>
    <n v="0"/>
  </r>
  <r>
    <x v="8243"/>
    <n v="0"/>
    <n v="62"/>
    <n v="62"/>
    <n v="18"/>
    <n v="15"/>
    <x v="26"/>
    <n v="29"/>
    <n v="-14"/>
    <n v="65"/>
    <n v="0"/>
    <n v="1"/>
    <n v="14"/>
  </r>
  <r>
    <x v="8244"/>
    <n v="-14"/>
    <n v="65"/>
    <n v="51"/>
    <n v="29"/>
    <n v="22"/>
    <x v="29"/>
    <n v="22"/>
    <n v="-14"/>
    <n v="72"/>
    <n v="0"/>
    <n v="1"/>
    <n v="14"/>
  </r>
  <r>
    <x v="8245"/>
    <n v="-14"/>
    <n v="72"/>
    <n v="58"/>
    <n v="22"/>
    <n v="25"/>
    <x v="30"/>
    <n v="21"/>
    <n v="-10"/>
    <n v="69"/>
    <n v="0"/>
    <n v="1"/>
    <n v="10"/>
  </r>
  <r>
    <x v="8246"/>
    <n v="-10"/>
    <n v="69"/>
    <n v="59"/>
    <n v="21"/>
    <n v="18"/>
    <x v="29"/>
    <n v="16"/>
    <n v="-8"/>
    <n v="72"/>
    <n v="0"/>
    <n v="1"/>
    <n v="8"/>
  </r>
  <r>
    <x v="8247"/>
    <n v="-8"/>
    <n v="72"/>
    <n v="64"/>
    <n v="16"/>
    <n v="29"/>
    <x v="5"/>
    <n v="20"/>
    <n v="1"/>
    <n v="59"/>
    <n v="0.1"/>
    <n v="0"/>
    <n v="0"/>
  </r>
  <r>
    <x v="8248"/>
    <n v="1"/>
    <n v="59"/>
    <n v="60"/>
    <n v="20"/>
    <n v="22"/>
    <x v="24"/>
    <n v="24"/>
    <n v="-1"/>
    <n v="57"/>
    <n v="0"/>
    <n v="1"/>
    <n v="1"/>
  </r>
  <r>
    <x v="8249"/>
    <n v="-1"/>
    <n v="57"/>
    <n v="56"/>
    <n v="24"/>
    <n v="21"/>
    <x v="4"/>
    <n v="20"/>
    <n v="0"/>
    <n v="60"/>
    <n v="0"/>
    <n v="0"/>
    <n v="0"/>
  </r>
  <r>
    <x v="8250"/>
    <n v="0"/>
    <n v="60"/>
    <n v="60"/>
    <n v="20"/>
    <n v="16"/>
    <x v="8"/>
    <n v="23"/>
    <n v="-7"/>
    <n v="64"/>
    <n v="0"/>
    <n v="1"/>
    <n v="7"/>
  </r>
  <r>
    <x v="8251"/>
    <n v="-7"/>
    <n v="64"/>
    <n v="57"/>
    <n v="23"/>
    <n v="20"/>
    <x v="21"/>
    <n v="25"/>
    <n v="-12"/>
    <n v="67"/>
    <n v="0"/>
    <n v="1"/>
    <n v="12"/>
  </r>
  <r>
    <x v="8252"/>
    <n v="-12"/>
    <n v="67"/>
    <n v="55"/>
    <n v="25"/>
    <n v="24"/>
    <x v="17"/>
    <n v="25"/>
    <n v="-13"/>
    <n v="68"/>
    <n v="0"/>
    <n v="1"/>
    <n v="13"/>
  </r>
  <r>
    <x v="8253"/>
    <n v="-13"/>
    <n v="68"/>
    <n v="55"/>
    <n v="25"/>
    <n v="20"/>
    <x v="31"/>
    <n v="19"/>
    <n v="-12"/>
    <n v="73"/>
    <n v="0"/>
    <n v="1"/>
    <n v="12"/>
  </r>
  <r>
    <x v="8254"/>
    <n v="-12"/>
    <n v="73"/>
    <n v="61"/>
    <n v="19"/>
    <n v="23"/>
    <x v="30"/>
    <n v="17"/>
    <n v="-6"/>
    <n v="69"/>
    <n v="0"/>
    <n v="1"/>
    <n v="6"/>
  </r>
  <r>
    <x v="8255"/>
    <n v="-6"/>
    <n v="69"/>
    <n v="63"/>
    <n v="17"/>
    <n v="25"/>
    <x v="23"/>
    <n v="10"/>
    <n v="9"/>
    <n v="61"/>
    <n v="0.9"/>
    <n v="0"/>
    <n v="0"/>
  </r>
  <r>
    <x v="8256"/>
    <n v="9"/>
    <n v="61"/>
    <n v="70"/>
    <n v="10"/>
    <n v="25"/>
    <x v="38"/>
    <n v="13"/>
    <n v="21"/>
    <n v="46"/>
    <n v="2.1"/>
    <n v="0"/>
    <n v="0"/>
  </r>
  <r>
    <x v="8257"/>
    <n v="21"/>
    <n v="46"/>
    <n v="67"/>
    <n v="13"/>
    <n v="19"/>
    <x v="46"/>
    <n v="24"/>
    <n v="16"/>
    <n v="40"/>
    <n v="1.6"/>
    <n v="0"/>
    <n v="0"/>
  </r>
  <r>
    <x v="8258"/>
    <n v="16"/>
    <n v="40"/>
    <n v="56"/>
    <n v="24"/>
    <n v="17"/>
    <x v="14"/>
    <n v="19"/>
    <n v="14"/>
    <n v="47"/>
    <n v="1.4000000000000001"/>
    <n v="0"/>
    <n v="0"/>
  </r>
  <r>
    <x v="8259"/>
    <n v="14"/>
    <n v="47"/>
    <n v="61"/>
    <n v="19"/>
    <n v="10"/>
    <x v="32"/>
    <n v="20"/>
    <n v="4"/>
    <n v="56"/>
    <n v="0.4"/>
    <n v="0"/>
    <n v="0"/>
  </r>
  <r>
    <x v="8260"/>
    <n v="4"/>
    <n v="56"/>
    <n v="60"/>
    <n v="20"/>
    <n v="13"/>
    <x v="22"/>
    <n v="18"/>
    <n v="-1"/>
    <n v="63"/>
    <n v="0"/>
    <n v="1"/>
    <n v="1"/>
  </r>
  <r>
    <x v="8261"/>
    <n v="-1"/>
    <n v="63"/>
    <n v="62"/>
    <n v="18"/>
    <n v="24"/>
    <x v="24"/>
    <n v="10"/>
    <n v="13"/>
    <n v="57"/>
    <n v="1.3"/>
    <n v="0"/>
    <n v="0"/>
  </r>
  <r>
    <x v="8262"/>
    <n v="13"/>
    <n v="57"/>
    <n v="70"/>
    <n v="10"/>
    <n v="19"/>
    <x v="15"/>
    <n v="16"/>
    <n v="16"/>
    <n v="48"/>
    <n v="1.6"/>
    <n v="0"/>
    <n v="0"/>
  </r>
  <r>
    <x v="8263"/>
    <n v="16"/>
    <n v="48"/>
    <n v="64"/>
    <n v="16"/>
    <n v="20"/>
    <x v="45"/>
    <n v="21"/>
    <n v="15"/>
    <n v="44"/>
    <n v="1.5"/>
    <n v="0"/>
    <n v="0"/>
  </r>
  <r>
    <x v="8264"/>
    <n v="15"/>
    <n v="44"/>
    <n v="59"/>
    <n v="21"/>
    <n v="18"/>
    <x v="14"/>
    <n v="13"/>
    <n v="20"/>
    <n v="47"/>
    <n v="2"/>
    <n v="0"/>
    <n v="0"/>
  </r>
  <r>
    <x v="8265"/>
    <n v="20"/>
    <n v="47"/>
    <n v="67"/>
    <n v="13"/>
    <n v="10"/>
    <x v="13"/>
    <n v="20"/>
    <n v="10"/>
    <n v="50"/>
    <n v="1"/>
    <n v="0"/>
    <n v="0"/>
  </r>
  <r>
    <x v="8266"/>
    <n v="10"/>
    <n v="50"/>
    <n v="60"/>
    <n v="20"/>
    <n v="16"/>
    <x v="16"/>
    <n v="16"/>
    <n v="10"/>
    <n v="54"/>
    <n v="1"/>
    <n v="0"/>
    <n v="0"/>
  </r>
  <r>
    <x v="8267"/>
    <n v="10"/>
    <n v="54"/>
    <n v="64"/>
    <n v="16"/>
    <n v="21"/>
    <x v="10"/>
    <n v="25"/>
    <n v="6"/>
    <n v="49"/>
    <n v="0.60000000000000009"/>
    <n v="0"/>
    <n v="0"/>
  </r>
  <r>
    <x v="8268"/>
    <n v="6"/>
    <n v="49"/>
    <n v="55"/>
    <n v="25"/>
    <n v="13"/>
    <x v="23"/>
    <n v="22"/>
    <n v="-3"/>
    <n v="61"/>
    <n v="0"/>
    <n v="1"/>
    <n v="3"/>
  </r>
  <r>
    <x v="8269"/>
    <n v="-3"/>
    <n v="61"/>
    <n v="58"/>
    <n v="22"/>
    <n v="20"/>
    <x v="22"/>
    <n v="20"/>
    <n v="-3"/>
    <n v="63"/>
    <n v="0"/>
    <n v="1"/>
    <n v="3"/>
  </r>
  <r>
    <x v="8270"/>
    <n v="-3"/>
    <n v="63"/>
    <n v="60"/>
    <n v="20"/>
    <n v="16"/>
    <x v="21"/>
    <n v="21"/>
    <n v="-8"/>
    <n v="67"/>
    <n v="0"/>
    <n v="1"/>
    <n v="8"/>
  </r>
  <r>
    <x v="8271"/>
    <n v="-8"/>
    <n v="67"/>
    <n v="59"/>
    <n v="21"/>
    <n v="25"/>
    <x v="22"/>
    <n v="16"/>
    <n v="1"/>
    <n v="63"/>
    <n v="0.1"/>
    <n v="0"/>
    <n v="0"/>
  </r>
  <r>
    <x v="8272"/>
    <n v="1"/>
    <n v="63"/>
    <n v="64"/>
    <n v="16"/>
    <n v="22"/>
    <x v="24"/>
    <n v="20"/>
    <n v="3"/>
    <n v="57"/>
    <n v="0.30000000000000004"/>
    <n v="0"/>
    <n v="0"/>
  </r>
  <r>
    <x v="8273"/>
    <n v="3"/>
    <n v="57"/>
    <n v="60"/>
    <n v="20"/>
    <n v="20"/>
    <x v="24"/>
    <n v="16"/>
    <n v="7"/>
    <n v="57"/>
    <n v="0.70000000000000007"/>
    <n v="0"/>
    <n v="0"/>
  </r>
  <r>
    <x v="8274"/>
    <n v="7"/>
    <n v="57"/>
    <n v="64"/>
    <n v="16"/>
    <n v="21"/>
    <x v="25"/>
    <n v="26"/>
    <n v="2"/>
    <n v="52"/>
    <n v="0.2"/>
    <n v="0"/>
    <n v="0"/>
  </r>
  <r>
    <x v="8275"/>
    <n v="2"/>
    <n v="52"/>
    <n v="54"/>
    <n v="26"/>
    <n v="16"/>
    <x v="33"/>
    <n v="20"/>
    <n v="-2"/>
    <n v="62"/>
    <n v="0"/>
    <n v="1"/>
    <n v="2"/>
  </r>
  <r>
    <x v="8276"/>
    <n v="-2"/>
    <n v="62"/>
    <n v="60"/>
    <n v="20"/>
    <n v="20"/>
    <x v="33"/>
    <n v="17"/>
    <n v="1"/>
    <n v="62"/>
    <n v="0.1"/>
    <n v="0"/>
    <n v="0"/>
  </r>
  <r>
    <x v="8277"/>
    <n v="1"/>
    <n v="62"/>
    <n v="63"/>
    <n v="17"/>
    <n v="16"/>
    <x v="22"/>
    <n v="16"/>
    <n v="1"/>
    <n v="63"/>
    <n v="0.1"/>
    <n v="0"/>
    <n v="0"/>
  </r>
  <r>
    <x v="8278"/>
    <n v="1"/>
    <n v="63"/>
    <n v="64"/>
    <n v="16"/>
    <n v="26"/>
    <x v="12"/>
    <n v="23"/>
    <n v="4"/>
    <n v="53"/>
    <n v="0.4"/>
    <n v="0"/>
    <n v="0"/>
  </r>
  <r>
    <x v="8279"/>
    <n v="4"/>
    <n v="53"/>
    <n v="57"/>
    <n v="23"/>
    <n v="20"/>
    <x v="32"/>
    <n v="19"/>
    <n v="5"/>
    <n v="56"/>
    <n v="0.5"/>
    <n v="0"/>
    <n v="0"/>
  </r>
  <r>
    <x v="8280"/>
    <n v="5"/>
    <n v="56"/>
    <n v="61"/>
    <n v="19"/>
    <n v="17"/>
    <x v="28"/>
    <n v="19"/>
    <n v="3"/>
    <n v="58"/>
    <n v="0.30000000000000004"/>
    <n v="0"/>
    <n v="0"/>
  </r>
  <r>
    <x v="8281"/>
    <n v="3"/>
    <n v="58"/>
    <n v="61"/>
    <n v="19"/>
    <n v="16"/>
    <x v="23"/>
    <n v="18"/>
    <n v="1"/>
    <n v="61"/>
    <n v="0.1"/>
    <n v="0"/>
    <n v="0"/>
  </r>
  <r>
    <x v="8282"/>
    <n v="1"/>
    <n v="61"/>
    <n v="62"/>
    <n v="18"/>
    <n v="23"/>
    <x v="32"/>
    <n v="16"/>
    <n v="8"/>
    <n v="56"/>
    <n v="0.8"/>
    <n v="0"/>
    <n v="0"/>
  </r>
  <r>
    <x v="8283"/>
    <n v="8"/>
    <n v="56"/>
    <n v="64"/>
    <n v="16"/>
    <n v="19"/>
    <x v="12"/>
    <n v="16"/>
    <n v="11"/>
    <n v="53"/>
    <n v="1.1000000000000001"/>
    <n v="0"/>
    <n v="0"/>
  </r>
  <r>
    <x v="8284"/>
    <n v="11"/>
    <n v="53"/>
    <n v="64"/>
    <n v="16"/>
    <n v="19"/>
    <x v="13"/>
    <n v="22"/>
    <n v="8"/>
    <n v="50"/>
    <n v="0.8"/>
    <n v="0"/>
    <n v="0"/>
  </r>
  <r>
    <x v="8285"/>
    <n v="8"/>
    <n v="50"/>
    <n v="58"/>
    <n v="22"/>
    <n v="18"/>
    <x v="16"/>
    <n v="15"/>
    <n v="11"/>
    <n v="54"/>
    <n v="1.1000000000000001"/>
    <n v="0"/>
    <n v="0"/>
  </r>
  <r>
    <x v="8286"/>
    <n v="11"/>
    <n v="54"/>
    <n v="65"/>
    <n v="15"/>
    <n v="16"/>
    <x v="12"/>
    <n v="30"/>
    <n v="-3"/>
    <n v="53"/>
    <n v="0"/>
    <n v="1"/>
    <n v="3"/>
  </r>
  <r>
    <x v="8287"/>
    <n v="-3"/>
    <n v="53"/>
    <n v="50"/>
    <n v="30"/>
    <n v="16"/>
    <x v="21"/>
    <n v="25"/>
    <n v="-12"/>
    <n v="67"/>
    <n v="0"/>
    <n v="1"/>
    <n v="12"/>
  </r>
  <r>
    <x v="8288"/>
    <n v="-12"/>
    <n v="67"/>
    <n v="55"/>
    <n v="25"/>
    <n v="22"/>
    <x v="6"/>
    <n v="24"/>
    <n v="-14"/>
    <n v="70"/>
    <n v="0"/>
    <n v="1"/>
    <n v="14"/>
  </r>
  <r>
    <x v="8289"/>
    <n v="-14"/>
    <n v="70"/>
    <n v="56"/>
    <n v="24"/>
    <n v="15"/>
    <x v="43"/>
    <n v="13"/>
    <n v="-12"/>
    <n v="79"/>
    <n v="0"/>
    <n v="1"/>
    <n v="12"/>
  </r>
  <r>
    <x v="8290"/>
    <n v="-12"/>
    <n v="79"/>
    <n v="67"/>
    <n v="13"/>
    <n v="30"/>
    <x v="33"/>
    <n v="22"/>
    <n v="-4"/>
    <n v="62"/>
    <n v="0"/>
    <n v="1"/>
    <n v="4"/>
  </r>
  <r>
    <x v="8291"/>
    <n v="-4"/>
    <n v="62"/>
    <n v="58"/>
    <n v="22"/>
    <n v="25"/>
    <x v="5"/>
    <n v="23"/>
    <n v="-2"/>
    <n v="59"/>
    <n v="0"/>
    <n v="1"/>
    <n v="2"/>
  </r>
  <r>
    <x v="8292"/>
    <n v="-2"/>
    <n v="59"/>
    <n v="57"/>
    <n v="23"/>
    <n v="24"/>
    <x v="28"/>
    <n v="17"/>
    <n v="5"/>
    <n v="58"/>
    <n v="0.5"/>
    <n v="0"/>
    <n v="0"/>
  </r>
  <r>
    <x v="8293"/>
    <n v="5"/>
    <n v="58"/>
    <n v="63"/>
    <n v="17"/>
    <n v="13"/>
    <x v="33"/>
    <n v="16"/>
    <n v="2"/>
    <n v="62"/>
    <n v="0.2"/>
    <n v="0"/>
    <n v="0"/>
  </r>
  <r>
    <x v="8294"/>
    <n v="2"/>
    <n v="62"/>
    <n v="64"/>
    <n v="16"/>
    <n v="22"/>
    <x v="32"/>
    <n v="24"/>
    <n v="0"/>
    <n v="56"/>
    <n v="0"/>
    <n v="0"/>
    <n v="0"/>
  </r>
  <r>
    <x v="8295"/>
    <n v="0"/>
    <n v="56"/>
    <n v="56"/>
    <n v="24"/>
    <n v="23"/>
    <x v="24"/>
    <n v="28"/>
    <n v="-5"/>
    <n v="57"/>
    <n v="0"/>
    <n v="1"/>
    <n v="5"/>
  </r>
  <r>
    <x v="8296"/>
    <n v="-5"/>
    <n v="57"/>
    <n v="52"/>
    <n v="28"/>
    <n v="17"/>
    <x v="17"/>
    <n v="19"/>
    <n v="-7"/>
    <n v="68"/>
    <n v="0"/>
    <n v="1"/>
    <n v="7"/>
  </r>
  <r>
    <x v="8297"/>
    <n v="-7"/>
    <n v="68"/>
    <n v="61"/>
    <n v="19"/>
    <n v="16"/>
    <x v="20"/>
    <n v="23"/>
    <n v="-14"/>
    <n v="71"/>
    <n v="0"/>
    <n v="1"/>
    <n v="14"/>
  </r>
  <r>
    <x v="8298"/>
    <n v="-14"/>
    <n v="71"/>
    <n v="57"/>
    <n v="23"/>
    <n v="24"/>
    <x v="6"/>
    <n v="17"/>
    <n v="-7"/>
    <n v="70"/>
    <n v="0"/>
    <n v="1"/>
    <n v="7"/>
  </r>
  <r>
    <x v="8299"/>
    <n v="-7"/>
    <n v="70"/>
    <n v="63"/>
    <n v="17"/>
    <n v="28"/>
    <x v="5"/>
    <n v="24"/>
    <n v="-3"/>
    <n v="59"/>
    <n v="0"/>
    <n v="1"/>
    <n v="3"/>
  </r>
  <r>
    <x v="8300"/>
    <n v="-3"/>
    <n v="59"/>
    <n v="56"/>
    <n v="24"/>
    <n v="19"/>
    <x v="8"/>
    <n v="19"/>
    <n v="-3"/>
    <n v="64"/>
    <n v="0"/>
    <n v="1"/>
    <n v="3"/>
  </r>
  <r>
    <x v="8301"/>
    <n v="-3"/>
    <n v="64"/>
    <n v="61"/>
    <n v="19"/>
    <n v="23"/>
    <x v="4"/>
    <n v="19"/>
    <n v="1"/>
    <n v="60"/>
    <n v="0.1"/>
    <n v="0"/>
    <n v="0"/>
  </r>
  <r>
    <x v="8302"/>
    <n v="1"/>
    <n v="60"/>
    <n v="61"/>
    <n v="19"/>
    <n v="17"/>
    <x v="33"/>
    <n v="19"/>
    <n v="-1"/>
    <n v="62"/>
    <n v="0"/>
    <n v="1"/>
    <n v="1"/>
  </r>
  <r>
    <x v="8303"/>
    <n v="-1"/>
    <n v="62"/>
    <n v="61"/>
    <n v="19"/>
    <n v="24"/>
    <x v="24"/>
    <n v="21"/>
    <n v="2"/>
    <n v="57"/>
    <n v="0.2"/>
    <n v="0"/>
    <n v="0"/>
  </r>
  <r>
    <x v="8304"/>
    <n v="2"/>
    <n v="57"/>
    <n v="59"/>
    <n v="21"/>
    <n v="19"/>
    <x v="5"/>
    <n v="24"/>
    <n v="-3"/>
    <n v="59"/>
    <n v="0"/>
    <n v="1"/>
    <n v="3"/>
  </r>
  <r>
    <x v="8305"/>
    <n v="-3"/>
    <n v="59"/>
    <n v="56"/>
    <n v="24"/>
    <n v="19"/>
    <x v="8"/>
    <n v="18"/>
    <n v="-2"/>
    <n v="64"/>
    <n v="0"/>
    <n v="1"/>
    <n v="2"/>
  </r>
  <r>
    <x v="8306"/>
    <n v="-2"/>
    <n v="64"/>
    <n v="62"/>
    <n v="18"/>
    <n v="19"/>
    <x v="22"/>
    <n v="23"/>
    <n v="-6"/>
    <n v="63"/>
    <n v="0"/>
    <n v="1"/>
    <n v="6"/>
  </r>
  <r>
    <x v="8307"/>
    <n v="-6"/>
    <n v="63"/>
    <n v="57"/>
    <n v="23"/>
    <n v="21"/>
    <x v="26"/>
    <n v="24"/>
    <n v="-9"/>
    <n v="65"/>
    <n v="0"/>
    <n v="1"/>
    <n v="9"/>
  </r>
  <r>
    <x v="8308"/>
    <n v="-9"/>
    <n v="65"/>
    <n v="56"/>
    <n v="24"/>
    <n v="24"/>
    <x v="26"/>
    <n v="20"/>
    <n v="-5"/>
    <n v="65"/>
    <n v="0"/>
    <n v="1"/>
    <n v="5"/>
  </r>
  <r>
    <x v="8309"/>
    <n v="-5"/>
    <n v="65"/>
    <n v="60"/>
    <n v="20"/>
    <n v="18"/>
    <x v="21"/>
    <n v="27"/>
    <n v="-14"/>
    <n v="67"/>
    <n v="0"/>
    <n v="1"/>
    <n v="14"/>
  </r>
  <r>
    <x v="8310"/>
    <n v="-14"/>
    <n v="67"/>
    <n v="53"/>
    <n v="27"/>
    <n v="23"/>
    <x v="20"/>
    <n v="22"/>
    <n v="-13"/>
    <n v="71"/>
    <n v="0"/>
    <n v="1"/>
    <n v="13"/>
  </r>
  <r>
    <x v="8311"/>
    <n v="-13"/>
    <n v="71"/>
    <n v="58"/>
    <n v="22"/>
    <n v="24"/>
    <x v="30"/>
    <n v="19"/>
    <n v="-8"/>
    <n v="69"/>
    <n v="0"/>
    <n v="1"/>
    <n v="8"/>
  </r>
  <r>
    <x v="8312"/>
    <n v="-8"/>
    <n v="69"/>
    <n v="61"/>
    <n v="19"/>
    <n v="20"/>
    <x v="17"/>
    <n v="24"/>
    <n v="-12"/>
    <n v="68"/>
    <n v="0"/>
    <n v="1"/>
    <n v="12"/>
  </r>
  <r>
    <x v="8313"/>
    <n v="-12"/>
    <n v="68"/>
    <n v="56"/>
    <n v="24"/>
    <n v="27"/>
    <x v="26"/>
    <n v="17"/>
    <n v="-2"/>
    <n v="65"/>
    <n v="0"/>
    <n v="1"/>
    <n v="2"/>
  </r>
  <r>
    <x v="8314"/>
    <n v="-2"/>
    <n v="65"/>
    <n v="63"/>
    <n v="17"/>
    <n v="22"/>
    <x v="4"/>
    <n v="20"/>
    <n v="0"/>
    <n v="60"/>
    <n v="0"/>
    <n v="0"/>
    <n v="0"/>
  </r>
  <r>
    <x v="8315"/>
    <n v="0"/>
    <n v="60"/>
    <n v="60"/>
    <n v="20"/>
    <n v="19"/>
    <x v="23"/>
    <n v="25"/>
    <n v="-6"/>
    <n v="61"/>
    <n v="0"/>
    <n v="1"/>
    <n v="6"/>
  </r>
  <r>
    <x v="8316"/>
    <n v="-6"/>
    <n v="61"/>
    <n v="55"/>
    <n v="25"/>
    <n v="24"/>
    <x v="33"/>
    <n v="18"/>
    <n v="0"/>
    <n v="62"/>
    <n v="0"/>
    <n v="0"/>
    <n v="0"/>
  </r>
  <r>
    <x v="8317"/>
    <n v="0"/>
    <n v="62"/>
    <n v="62"/>
    <n v="18"/>
    <n v="17"/>
    <x v="22"/>
    <n v="21"/>
    <n v="-4"/>
    <n v="63"/>
    <n v="0"/>
    <n v="1"/>
    <n v="4"/>
  </r>
  <r>
    <x v="8318"/>
    <n v="-4"/>
    <n v="63"/>
    <n v="59"/>
    <n v="21"/>
    <n v="20"/>
    <x v="8"/>
    <n v="19"/>
    <n v="-3"/>
    <n v="64"/>
    <n v="0"/>
    <n v="1"/>
    <n v="3"/>
  </r>
  <r>
    <x v="8319"/>
    <n v="-3"/>
    <n v="64"/>
    <n v="61"/>
    <n v="19"/>
    <n v="25"/>
    <x v="28"/>
    <n v="23"/>
    <n v="-1"/>
    <n v="58"/>
    <n v="0"/>
    <n v="1"/>
    <n v="1"/>
  </r>
  <r>
    <x v="8320"/>
    <n v="-1"/>
    <n v="58"/>
    <n v="57"/>
    <n v="23"/>
    <n v="18"/>
    <x v="22"/>
    <n v="11"/>
    <n v="6"/>
    <n v="63"/>
    <n v="0.60000000000000009"/>
    <n v="0"/>
    <n v="0"/>
  </r>
  <r>
    <x v="8321"/>
    <n v="6"/>
    <n v="63"/>
    <n v="69"/>
    <n v="11"/>
    <n v="21"/>
    <x v="12"/>
    <n v="16"/>
    <n v="11"/>
    <n v="53"/>
    <n v="1.1000000000000001"/>
    <n v="0"/>
    <n v="0"/>
  </r>
  <r>
    <x v="8322"/>
    <n v="11"/>
    <n v="53"/>
    <n v="64"/>
    <n v="16"/>
    <n v="19"/>
    <x v="13"/>
    <n v="18"/>
    <n v="12"/>
    <n v="50"/>
    <n v="1.2000000000000002"/>
    <n v="0"/>
    <n v="0"/>
  </r>
  <r>
    <x v="8323"/>
    <n v="12"/>
    <n v="50"/>
    <n v="62"/>
    <n v="18"/>
    <n v="23"/>
    <x v="11"/>
    <n v="23"/>
    <n v="12"/>
    <n v="45"/>
    <n v="1.2000000000000002"/>
    <n v="0"/>
    <n v="0"/>
  </r>
  <r>
    <x v="8324"/>
    <n v="12"/>
    <n v="45"/>
    <n v="57"/>
    <n v="23"/>
    <n v="11"/>
    <x v="24"/>
    <n v="27"/>
    <n v="-4"/>
    <n v="57"/>
    <n v="0"/>
    <n v="1"/>
    <n v="4"/>
  </r>
  <r>
    <x v="8325"/>
    <n v="-4"/>
    <n v="57"/>
    <n v="53"/>
    <n v="27"/>
    <n v="16"/>
    <x v="17"/>
    <n v="21"/>
    <n v="-9"/>
    <n v="68"/>
    <n v="0"/>
    <n v="1"/>
    <n v="9"/>
  </r>
  <r>
    <x v="8326"/>
    <n v="-9"/>
    <n v="68"/>
    <n v="59"/>
    <n v="21"/>
    <n v="18"/>
    <x v="20"/>
    <n v="12"/>
    <n v="-3"/>
    <n v="71"/>
    <n v="0"/>
    <n v="1"/>
    <n v="3"/>
  </r>
  <r>
    <x v="8327"/>
    <n v="-3"/>
    <n v="71"/>
    <n v="68"/>
    <n v="12"/>
    <n v="23"/>
    <x v="4"/>
    <n v="23"/>
    <n v="-3"/>
    <n v="60"/>
    <n v="0"/>
    <n v="1"/>
    <n v="3"/>
  </r>
  <r>
    <x v="8328"/>
    <n v="-3"/>
    <n v="60"/>
    <n v="57"/>
    <n v="23"/>
    <n v="27"/>
    <x v="32"/>
    <n v="13"/>
    <n v="11"/>
    <n v="56"/>
    <n v="1.1000000000000001"/>
    <n v="0"/>
    <n v="0"/>
  </r>
  <r>
    <x v="8329"/>
    <n v="11"/>
    <n v="56"/>
    <n v="67"/>
    <n v="13"/>
    <n v="21"/>
    <x v="15"/>
    <n v="15"/>
    <n v="17"/>
    <n v="48"/>
    <n v="1.7000000000000002"/>
    <n v="0"/>
    <n v="0"/>
  </r>
  <r>
    <x v="8330"/>
    <n v="17"/>
    <n v="48"/>
    <n v="65"/>
    <n v="15"/>
    <n v="12"/>
    <x v="9"/>
    <n v="19"/>
    <n v="10"/>
    <n v="51"/>
    <n v="1"/>
    <n v="0"/>
    <n v="0"/>
  </r>
  <r>
    <x v="8331"/>
    <n v="10"/>
    <n v="51"/>
    <n v="61"/>
    <n v="19"/>
    <n v="23"/>
    <x v="14"/>
    <n v="30"/>
    <n v="3"/>
    <n v="47"/>
    <n v="0.30000000000000004"/>
    <n v="0"/>
    <n v="0"/>
  </r>
  <r>
    <x v="8332"/>
    <n v="3"/>
    <n v="47"/>
    <n v="50"/>
    <n v="30"/>
    <n v="13"/>
    <x v="8"/>
    <n v="32"/>
    <n v="-16"/>
    <n v="64"/>
    <n v="0"/>
    <n v="1"/>
    <n v="16"/>
  </r>
  <r>
    <x v="8333"/>
    <n v="-16"/>
    <n v="64"/>
    <n v="48"/>
    <n v="32"/>
    <n v="15"/>
    <x v="41"/>
    <n v="25"/>
    <n v="-26"/>
    <n v="81"/>
    <n v="0"/>
    <n v="1"/>
    <n v="25"/>
  </r>
  <r>
    <x v="8334"/>
    <n v="-26"/>
    <n v="81"/>
    <n v="55"/>
    <n v="25"/>
    <n v="19"/>
    <x v="50"/>
    <n v="19"/>
    <n v="-26"/>
    <n v="87"/>
    <n v="0"/>
    <n v="1"/>
    <n v="19"/>
  </r>
  <r>
    <x v="8335"/>
    <n v="-26"/>
    <n v="87"/>
    <n v="61"/>
    <n v="19"/>
    <n v="30"/>
    <x v="37"/>
    <n v="14"/>
    <n v="-10"/>
    <n v="76"/>
    <n v="0"/>
    <n v="1"/>
    <n v="10"/>
  </r>
  <r>
    <x v="8336"/>
    <n v="-10"/>
    <n v="76"/>
    <n v="66"/>
    <n v="14"/>
    <n v="32"/>
    <x v="28"/>
    <n v="21"/>
    <n v="1"/>
    <n v="58"/>
    <n v="0.1"/>
    <n v="0"/>
    <n v="0"/>
  </r>
  <r>
    <x v="8337"/>
    <n v="1"/>
    <n v="58"/>
    <n v="59"/>
    <n v="21"/>
    <n v="25"/>
    <x v="16"/>
    <n v="18"/>
    <n v="8"/>
    <n v="54"/>
    <n v="0.8"/>
    <n v="0"/>
    <n v="0"/>
  </r>
  <r>
    <x v="8338"/>
    <n v="8"/>
    <n v="54"/>
    <n v="62"/>
    <n v="18"/>
    <n v="19"/>
    <x v="12"/>
    <n v="15"/>
    <n v="12"/>
    <n v="53"/>
    <n v="1.2000000000000002"/>
    <n v="0"/>
    <n v="0"/>
  </r>
  <r>
    <x v="8339"/>
    <n v="12"/>
    <n v="53"/>
    <n v="65"/>
    <n v="15"/>
    <n v="14"/>
    <x v="16"/>
    <n v="16"/>
    <n v="10"/>
    <n v="54"/>
    <n v="1"/>
    <n v="0"/>
    <n v="0"/>
  </r>
  <r>
    <x v="8340"/>
    <n v="10"/>
    <n v="54"/>
    <n v="64"/>
    <n v="16"/>
    <n v="21"/>
    <x v="10"/>
    <n v="18"/>
    <n v="13"/>
    <n v="49"/>
    <n v="1.3"/>
    <n v="0"/>
    <n v="0"/>
  </r>
  <r>
    <x v="8341"/>
    <n v="13"/>
    <n v="49"/>
    <n v="62"/>
    <n v="18"/>
    <n v="18"/>
    <x v="10"/>
    <n v="20"/>
    <n v="11"/>
    <n v="49"/>
    <n v="1.1000000000000001"/>
    <n v="0"/>
    <n v="0"/>
  </r>
  <r>
    <x v="8342"/>
    <n v="11"/>
    <n v="49"/>
    <n v="60"/>
    <n v="20"/>
    <n v="15"/>
    <x v="16"/>
    <n v="25"/>
    <n v="1"/>
    <n v="54"/>
    <n v="0.1"/>
    <n v="0"/>
    <n v="0"/>
  </r>
  <r>
    <x v="8343"/>
    <n v="1"/>
    <n v="54"/>
    <n v="55"/>
    <n v="25"/>
    <n v="16"/>
    <x v="22"/>
    <n v="16"/>
    <n v="1"/>
    <n v="63"/>
    <n v="0.1"/>
    <n v="0"/>
    <n v="0"/>
  </r>
  <r>
    <x v="8344"/>
    <n v="1"/>
    <n v="63"/>
    <n v="64"/>
    <n v="16"/>
    <n v="18"/>
    <x v="23"/>
    <n v="15"/>
    <n v="4"/>
    <n v="61"/>
    <n v="0.4"/>
    <n v="0"/>
    <n v="0"/>
  </r>
  <r>
    <x v="8345"/>
    <n v="4"/>
    <n v="61"/>
    <n v="65"/>
    <n v="15"/>
    <n v="20"/>
    <x v="32"/>
    <n v="15"/>
    <n v="9"/>
    <n v="56"/>
    <n v="0.9"/>
    <n v="0"/>
    <n v="0"/>
  </r>
  <r>
    <x v="8346"/>
    <n v="9"/>
    <n v="56"/>
    <n v="65"/>
    <n v="15"/>
    <n v="25"/>
    <x v="38"/>
    <n v="23"/>
    <n v="11"/>
    <n v="46"/>
    <n v="1.1000000000000001"/>
    <n v="0"/>
    <n v="0"/>
  </r>
  <r>
    <x v="8347"/>
    <n v="11"/>
    <n v="46"/>
    <n v="57"/>
    <n v="23"/>
    <n v="16"/>
    <x v="12"/>
    <n v="23"/>
    <n v="4"/>
    <n v="53"/>
    <n v="0.4"/>
    <n v="0"/>
    <n v="0"/>
  </r>
  <r>
    <x v="8348"/>
    <n v="4"/>
    <n v="53"/>
    <n v="57"/>
    <n v="23"/>
    <n v="15"/>
    <x v="23"/>
    <n v="19"/>
    <n v="0"/>
    <n v="61"/>
    <n v="0"/>
    <n v="0"/>
    <n v="0"/>
  </r>
  <r>
    <x v="8349"/>
    <n v="0"/>
    <n v="61"/>
    <n v="61"/>
    <n v="19"/>
    <n v="15"/>
    <x v="26"/>
    <n v="16"/>
    <n v="-1"/>
    <n v="65"/>
    <n v="0"/>
    <n v="1"/>
    <n v="1"/>
  </r>
  <r>
    <x v="8350"/>
    <n v="-1"/>
    <n v="65"/>
    <n v="64"/>
    <n v="16"/>
    <n v="23"/>
    <x v="28"/>
    <n v="28"/>
    <n v="-6"/>
    <n v="58"/>
    <n v="0"/>
    <n v="1"/>
    <n v="6"/>
  </r>
  <r>
    <x v="8351"/>
    <n v="-6"/>
    <n v="58"/>
    <n v="52"/>
    <n v="28"/>
    <n v="23"/>
    <x v="22"/>
    <n v="15"/>
    <n v="2"/>
    <n v="63"/>
    <n v="0.2"/>
    <n v="0"/>
    <n v="0"/>
  </r>
  <r>
    <x v="8352"/>
    <n v="2"/>
    <n v="63"/>
    <n v="65"/>
    <n v="15"/>
    <n v="19"/>
    <x v="5"/>
    <n v="23"/>
    <n v="-2"/>
    <n v="59"/>
    <n v="0"/>
    <n v="1"/>
    <n v="2"/>
  </r>
  <r>
    <x v="8353"/>
    <n v="-2"/>
    <n v="59"/>
    <n v="57"/>
    <n v="23"/>
    <n v="16"/>
    <x v="7"/>
    <n v="21"/>
    <n v="-7"/>
    <n v="66"/>
    <n v="0"/>
    <n v="1"/>
    <n v="7"/>
  </r>
  <r>
    <x v="8354"/>
    <n v="-7"/>
    <n v="66"/>
    <n v="59"/>
    <n v="21"/>
    <n v="28"/>
    <x v="5"/>
    <n v="29"/>
    <n v="-8"/>
    <n v="59"/>
    <n v="0"/>
    <n v="1"/>
    <n v="8"/>
  </r>
  <r>
    <x v="8355"/>
    <n v="-8"/>
    <n v="59"/>
    <n v="51"/>
    <n v="29"/>
    <n v="15"/>
    <x v="31"/>
    <n v="17"/>
    <n v="-10"/>
    <n v="73"/>
    <n v="0"/>
    <n v="1"/>
    <n v="10"/>
  </r>
  <r>
    <x v="8356"/>
    <n v="-10"/>
    <n v="73"/>
    <n v="63"/>
    <n v="17"/>
    <n v="23"/>
    <x v="21"/>
    <n v="20"/>
    <n v="-7"/>
    <n v="67"/>
    <n v="0"/>
    <n v="1"/>
    <n v="7"/>
  </r>
  <r>
    <x v="8357"/>
    <n v="-7"/>
    <n v="67"/>
    <n v="60"/>
    <n v="20"/>
    <n v="21"/>
    <x v="7"/>
    <n v="17"/>
    <n v="-3"/>
    <n v="66"/>
    <n v="0"/>
    <n v="1"/>
    <n v="3"/>
  </r>
  <r>
    <x v="8358"/>
    <n v="-3"/>
    <n v="66"/>
    <n v="63"/>
    <n v="17"/>
    <n v="29"/>
    <x v="16"/>
    <n v="23"/>
    <n v="3"/>
    <n v="54"/>
    <n v="0.30000000000000004"/>
    <n v="0"/>
    <n v="0"/>
  </r>
  <r>
    <x v="8359"/>
    <n v="3"/>
    <n v="54"/>
    <n v="57"/>
    <n v="23"/>
    <n v="17"/>
    <x v="4"/>
    <n v="31"/>
    <n v="-11"/>
    <n v="60"/>
    <n v="0"/>
    <n v="1"/>
    <n v="11"/>
  </r>
  <r>
    <x v="8360"/>
    <n v="-11"/>
    <n v="60"/>
    <n v="49"/>
    <n v="31"/>
    <n v="20"/>
    <x v="20"/>
    <n v="26"/>
    <n v="-17"/>
    <n v="71"/>
    <n v="0"/>
    <n v="1"/>
    <n v="17"/>
  </r>
  <r>
    <x v="8361"/>
    <n v="-17"/>
    <n v="71"/>
    <n v="54"/>
    <n v="26"/>
    <n v="17"/>
    <x v="0"/>
    <n v="18"/>
    <n v="-18"/>
    <n v="80"/>
    <n v="0"/>
    <n v="1"/>
    <n v="18"/>
  </r>
  <r>
    <x v="8362"/>
    <n v="-18"/>
    <n v="80"/>
    <n v="62"/>
    <n v="18"/>
    <n v="23"/>
    <x v="44"/>
    <n v="21"/>
    <n v="-16"/>
    <n v="75"/>
    <n v="0"/>
    <n v="1"/>
    <n v="16"/>
  </r>
  <r>
    <x v="8363"/>
    <n v="-16"/>
    <n v="75"/>
    <n v="59"/>
    <n v="21"/>
    <n v="31"/>
    <x v="26"/>
    <n v="18"/>
    <n v="-3"/>
    <n v="65"/>
    <n v="0"/>
    <n v="1"/>
    <n v="3"/>
  </r>
  <r>
    <x v="8364"/>
    <n v="-3"/>
    <n v="65"/>
    <n v="62"/>
    <n v="18"/>
    <n v="26"/>
    <x v="24"/>
    <n v="30"/>
    <n v="-7"/>
    <n v="57"/>
    <n v="0"/>
    <n v="1"/>
    <n v="7"/>
  </r>
  <r>
    <x v="8365"/>
    <n v="-7"/>
    <n v="57"/>
    <n v="50"/>
    <n v="30"/>
    <n v="18"/>
    <x v="30"/>
    <n v="19"/>
    <n v="-8"/>
    <n v="69"/>
    <n v="0"/>
    <n v="1"/>
    <n v="8"/>
  </r>
  <r>
    <x v="8366"/>
    <n v="-8"/>
    <n v="69"/>
    <n v="61"/>
    <n v="19"/>
    <n v="21"/>
    <x v="21"/>
    <n v="23"/>
    <n v="-10"/>
    <n v="67"/>
    <n v="0"/>
    <n v="1"/>
    <n v="10"/>
  </r>
  <r>
    <x v="8367"/>
    <n v="-10"/>
    <n v="67"/>
    <n v="57"/>
    <n v="23"/>
    <n v="18"/>
    <x v="29"/>
    <n v="21"/>
    <n v="-13"/>
    <n v="72"/>
    <n v="0"/>
    <n v="1"/>
    <n v="13"/>
  </r>
  <r>
    <x v="8368"/>
    <n v="-13"/>
    <n v="72"/>
    <n v="59"/>
    <n v="21"/>
    <n v="30"/>
    <x v="22"/>
    <n v="22"/>
    <n v="-5"/>
    <n v="63"/>
    <n v="0"/>
    <n v="1"/>
    <n v="5"/>
  </r>
  <r>
    <x v="8369"/>
    <n v="-5"/>
    <n v="63"/>
    <n v="58"/>
    <n v="22"/>
    <n v="19"/>
    <x v="7"/>
    <n v="18"/>
    <n v="-4"/>
    <n v="66"/>
    <n v="0"/>
    <n v="1"/>
    <n v="4"/>
  </r>
  <r>
    <x v="8370"/>
    <n v="-4"/>
    <n v="66"/>
    <n v="62"/>
    <n v="18"/>
    <n v="23"/>
    <x v="23"/>
    <n v="14"/>
    <n v="5"/>
    <n v="61"/>
    <n v="0.5"/>
    <n v="0"/>
    <n v="0"/>
  </r>
  <r>
    <x v="8371"/>
    <n v="5"/>
    <n v="61"/>
    <n v="66"/>
    <n v="14"/>
    <n v="21"/>
    <x v="16"/>
    <n v="19"/>
    <n v="7"/>
    <n v="54"/>
    <n v="0.70000000000000007"/>
    <n v="0"/>
    <n v="0"/>
  </r>
  <r>
    <x v="8372"/>
    <n v="7"/>
    <n v="54"/>
    <n v="61"/>
    <n v="19"/>
    <n v="22"/>
    <x v="9"/>
    <n v="23"/>
    <n v="6"/>
    <n v="51"/>
    <n v="0.60000000000000009"/>
    <n v="0"/>
    <n v="0"/>
  </r>
  <r>
    <x v="8373"/>
    <n v="6"/>
    <n v="51"/>
    <n v="57"/>
    <n v="23"/>
    <n v="18"/>
    <x v="32"/>
    <n v="14"/>
    <n v="10"/>
    <n v="56"/>
    <n v="1"/>
    <n v="0"/>
    <n v="0"/>
  </r>
  <r>
    <x v="8374"/>
    <n v="10"/>
    <n v="56"/>
    <n v="66"/>
    <n v="14"/>
    <n v="14"/>
    <x v="32"/>
    <n v="20"/>
    <n v="4"/>
    <n v="56"/>
    <n v="0.4"/>
    <n v="0"/>
    <n v="0"/>
  </r>
  <r>
    <x v="8375"/>
    <n v="4"/>
    <n v="56"/>
    <n v="60"/>
    <n v="20"/>
    <n v="19"/>
    <x v="24"/>
    <n v="15"/>
    <n v="8"/>
    <n v="57"/>
    <n v="0.8"/>
    <n v="0"/>
    <n v="0"/>
  </r>
  <r>
    <x v="8376"/>
    <n v="8"/>
    <n v="57"/>
    <n v="65"/>
    <n v="15"/>
    <n v="23"/>
    <x v="10"/>
    <n v="14"/>
    <n v="17"/>
    <n v="49"/>
    <n v="1.7000000000000002"/>
    <n v="0"/>
    <n v="0"/>
  </r>
  <r>
    <x v="8377"/>
    <n v="17"/>
    <n v="49"/>
    <n v="66"/>
    <n v="14"/>
    <n v="14"/>
    <x v="10"/>
    <n v="19"/>
    <n v="12"/>
    <n v="49"/>
    <n v="1.2000000000000002"/>
    <n v="0"/>
    <n v="0"/>
  </r>
  <r>
    <x v="8378"/>
    <n v="12"/>
    <n v="49"/>
    <n v="61"/>
    <n v="19"/>
    <n v="20"/>
    <x v="15"/>
    <n v="15"/>
    <n v="17"/>
    <n v="48"/>
    <n v="1.7000000000000002"/>
    <n v="0"/>
    <n v="0"/>
  </r>
  <r>
    <x v="8379"/>
    <n v="17"/>
    <n v="48"/>
    <n v="65"/>
    <n v="15"/>
    <n v="15"/>
    <x v="15"/>
    <n v="23"/>
    <n v="9"/>
    <n v="48"/>
    <n v="0.9"/>
    <n v="0"/>
    <n v="0"/>
  </r>
  <r>
    <x v="8380"/>
    <n v="9"/>
    <n v="48"/>
    <n v="57"/>
    <n v="23"/>
    <n v="14"/>
    <x v="24"/>
    <n v="34"/>
    <n v="-11"/>
    <n v="57"/>
    <n v="0"/>
    <n v="1"/>
    <n v="11"/>
  </r>
  <r>
    <x v="8381"/>
    <n v="-11"/>
    <n v="57"/>
    <n v="46"/>
    <n v="34"/>
    <n v="19"/>
    <x v="29"/>
    <n v="17"/>
    <n v="-9"/>
    <n v="72"/>
    <n v="0"/>
    <n v="1"/>
    <n v="9"/>
  </r>
  <r>
    <x v="8382"/>
    <n v="-9"/>
    <n v="72"/>
    <n v="63"/>
    <n v="17"/>
    <n v="15"/>
    <x v="39"/>
    <n v="11"/>
    <n v="-5"/>
    <n v="74"/>
    <n v="0"/>
    <n v="1"/>
    <n v="5"/>
  </r>
  <r>
    <x v="8383"/>
    <n v="-5"/>
    <n v="74"/>
    <n v="69"/>
    <n v="11"/>
    <n v="23"/>
    <x v="33"/>
    <n v="20"/>
    <n v="-2"/>
    <n v="62"/>
    <n v="0"/>
    <n v="1"/>
    <n v="2"/>
  </r>
  <r>
    <x v="8384"/>
    <n v="-2"/>
    <n v="62"/>
    <n v="60"/>
    <n v="20"/>
    <n v="34"/>
    <x v="15"/>
    <n v="17"/>
    <n v="15"/>
    <n v="48"/>
    <n v="1.5"/>
    <n v="0"/>
    <n v="0"/>
  </r>
  <r>
    <x v="8385"/>
    <n v="15"/>
    <n v="48"/>
    <n v="63"/>
    <n v="17"/>
    <n v="17"/>
    <x v="15"/>
    <n v="21"/>
    <n v="11"/>
    <n v="48"/>
    <n v="1.1000000000000001"/>
    <n v="0"/>
    <n v="0"/>
  </r>
  <r>
    <x v="8386"/>
    <n v="11"/>
    <n v="48"/>
    <n v="59"/>
    <n v="21"/>
    <n v="11"/>
    <x v="28"/>
    <n v="23"/>
    <n v="-1"/>
    <n v="58"/>
    <n v="0"/>
    <n v="1"/>
    <n v="1"/>
  </r>
  <r>
    <x v="8387"/>
    <n v="-1"/>
    <n v="58"/>
    <n v="57"/>
    <n v="23"/>
    <n v="20"/>
    <x v="23"/>
    <n v="21"/>
    <n v="-2"/>
    <n v="61"/>
    <n v="0"/>
    <n v="1"/>
    <n v="2"/>
  </r>
  <r>
    <x v="8388"/>
    <n v="-2"/>
    <n v="61"/>
    <n v="59"/>
    <n v="21"/>
    <n v="17"/>
    <x v="26"/>
    <n v="16"/>
    <n v="-1"/>
    <n v="65"/>
    <n v="0"/>
    <n v="1"/>
    <n v="1"/>
  </r>
  <r>
    <x v="8389"/>
    <n v="-1"/>
    <n v="65"/>
    <n v="64"/>
    <n v="16"/>
    <n v="21"/>
    <x v="4"/>
    <n v="18"/>
    <n v="2"/>
    <n v="60"/>
    <n v="0.2"/>
    <n v="0"/>
    <n v="0"/>
  </r>
  <r>
    <x v="8390"/>
    <n v="2"/>
    <n v="60"/>
    <n v="62"/>
    <n v="18"/>
    <n v="23"/>
    <x v="27"/>
    <n v="23"/>
    <n v="2"/>
    <n v="55"/>
    <n v="0.2"/>
    <n v="0"/>
    <n v="0"/>
  </r>
  <r>
    <x v="8391"/>
    <n v="2"/>
    <n v="55"/>
    <n v="57"/>
    <n v="23"/>
    <n v="21"/>
    <x v="24"/>
    <n v="23"/>
    <n v="0"/>
    <n v="57"/>
    <n v="0"/>
    <n v="0"/>
    <n v="0"/>
  </r>
  <r>
    <x v="8392"/>
    <n v="0"/>
    <n v="57"/>
    <n v="57"/>
    <n v="23"/>
    <n v="16"/>
    <x v="8"/>
    <n v="16"/>
    <n v="0"/>
    <n v="64"/>
    <n v="0"/>
    <n v="0"/>
    <n v="0"/>
  </r>
  <r>
    <x v="8393"/>
    <n v="0"/>
    <n v="64"/>
    <n v="64"/>
    <n v="16"/>
    <n v="18"/>
    <x v="33"/>
    <n v="16"/>
    <n v="2"/>
    <n v="62"/>
    <n v="0.2"/>
    <n v="0"/>
    <n v="0"/>
  </r>
  <r>
    <x v="8394"/>
    <n v="2"/>
    <n v="62"/>
    <n v="64"/>
    <n v="16"/>
    <n v="23"/>
    <x v="27"/>
    <n v="15"/>
    <n v="10"/>
    <n v="55"/>
    <n v="1"/>
    <n v="0"/>
    <n v="0"/>
  </r>
  <r>
    <x v="8395"/>
    <n v="10"/>
    <n v="55"/>
    <n v="65"/>
    <n v="15"/>
    <n v="23"/>
    <x v="14"/>
    <n v="15"/>
    <n v="18"/>
    <n v="47"/>
    <n v="1.8"/>
    <n v="0"/>
    <n v="0"/>
  </r>
  <r>
    <x v="8396"/>
    <n v="18"/>
    <n v="47"/>
    <n v="65"/>
    <n v="15"/>
    <n v="16"/>
    <x v="38"/>
    <n v="15"/>
    <n v="19"/>
    <n v="46"/>
    <n v="1.9000000000000001"/>
    <n v="0"/>
    <n v="0"/>
  </r>
  <r>
    <x v="8397"/>
    <n v="19"/>
    <n v="46"/>
    <n v="65"/>
    <n v="15"/>
    <n v="16"/>
    <x v="11"/>
    <n v="15"/>
    <n v="20"/>
    <n v="45"/>
    <n v="2"/>
    <n v="0"/>
    <n v="0"/>
  </r>
  <r>
    <x v="8398"/>
    <n v="20"/>
    <n v="45"/>
    <n v="65"/>
    <n v="15"/>
    <n v="15"/>
    <x v="11"/>
    <n v="16"/>
    <n v="19"/>
    <n v="45"/>
    <n v="1.9000000000000001"/>
    <n v="0"/>
    <n v="0"/>
  </r>
  <r>
    <x v="8399"/>
    <n v="19"/>
    <n v="45"/>
    <n v="64"/>
    <n v="16"/>
    <n v="15"/>
    <x v="38"/>
    <n v="18"/>
    <n v="16"/>
    <n v="46"/>
    <n v="1.6"/>
    <n v="0"/>
    <n v="0"/>
  </r>
  <r>
    <x v="8400"/>
    <n v="16"/>
    <n v="46"/>
    <n v="62"/>
    <n v="18"/>
    <n v="15"/>
    <x v="10"/>
    <n v="22"/>
    <n v="9"/>
    <n v="49"/>
    <n v="0.9"/>
    <n v="0"/>
    <n v="0"/>
  </r>
  <r>
    <x v="8401"/>
    <n v="9"/>
    <n v="49"/>
    <n v="58"/>
    <n v="22"/>
    <n v="15"/>
    <x v="32"/>
    <n v="24"/>
    <n v="0"/>
    <n v="56"/>
    <n v="0"/>
    <n v="0"/>
    <n v="0"/>
  </r>
  <r>
    <x v="8402"/>
    <n v="0"/>
    <n v="56"/>
    <n v="56"/>
    <n v="24"/>
    <n v="16"/>
    <x v="8"/>
    <n v="16"/>
    <n v="0"/>
    <n v="64"/>
    <n v="0"/>
    <n v="0"/>
    <n v="0"/>
  </r>
  <r>
    <x v="8403"/>
    <n v="0"/>
    <n v="64"/>
    <n v="64"/>
    <n v="16"/>
    <n v="18"/>
    <x v="33"/>
    <n v="20"/>
    <n v="-2"/>
    <n v="62"/>
    <n v="0"/>
    <n v="1"/>
    <n v="2"/>
  </r>
  <r>
    <x v="8404"/>
    <n v="-2"/>
    <n v="62"/>
    <n v="60"/>
    <n v="20"/>
    <n v="22"/>
    <x v="4"/>
    <n v="16"/>
    <n v="4"/>
    <n v="60"/>
    <n v="0.4"/>
    <n v="0"/>
    <n v="0"/>
  </r>
  <r>
    <x v="8405"/>
    <n v="4"/>
    <n v="60"/>
    <n v="64"/>
    <n v="16"/>
    <n v="24"/>
    <x v="25"/>
    <n v="17"/>
    <n v="11"/>
    <n v="52"/>
    <n v="1.1000000000000001"/>
    <n v="0"/>
    <n v="0"/>
  </r>
  <r>
    <x v="8406"/>
    <n v="11"/>
    <n v="52"/>
    <n v="63"/>
    <n v="17"/>
    <n v="16"/>
    <x v="12"/>
    <n v="22"/>
    <n v="5"/>
    <n v="53"/>
    <n v="0.5"/>
    <n v="0"/>
    <n v="0"/>
  </r>
  <r>
    <x v="8407"/>
    <n v="5"/>
    <n v="53"/>
    <n v="58"/>
    <n v="22"/>
    <n v="20"/>
    <x v="27"/>
    <n v="23"/>
    <n v="2"/>
    <n v="55"/>
    <n v="0.2"/>
    <n v="0"/>
    <n v="0"/>
  </r>
  <r>
    <x v="8408"/>
    <n v="2"/>
    <n v="55"/>
    <n v="57"/>
    <n v="23"/>
    <n v="16"/>
    <x v="33"/>
    <n v="20"/>
    <n v="-2"/>
    <n v="62"/>
    <n v="0"/>
    <n v="1"/>
    <n v="2"/>
  </r>
  <r>
    <x v="8409"/>
    <n v="-2"/>
    <n v="62"/>
    <n v="60"/>
    <n v="20"/>
    <n v="17"/>
    <x v="26"/>
    <n v="23"/>
    <n v="-8"/>
    <n v="65"/>
    <n v="0"/>
    <n v="1"/>
    <n v="8"/>
  </r>
  <r>
    <x v="8410"/>
    <n v="-8"/>
    <n v="65"/>
    <n v="57"/>
    <n v="23"/>
    <n v="22"/>
    <x v="7"/>
    <n v="18"/>
    <n v="-4"/>
    <n v="66"/>
    <n v="0"/>
    <n v="1"/>
    <n v="4"/>
  </r>
  <r>
    <x v="8411"/>
    <n v="-4"/>
    <n v="66"/>
    <n v="62"/>
    <n v="18"/>
    <n v="23"/>
    <x v="23"/>
    <n v="19"/>
    <n v="0"/>
    <n v="61"/>
    <n v="0"/>
    <n v="0"/>
    <n v="0"/>
  </r>
  <r>
    <x v="8412"/>
    <n v="0"/>
    <n v="61"/>
    <n v="61"/>
    <n v="19"/>
    <n v="20"/>
    <x v="4"/>
    <n v="20"/>
    <n v="0"/>
    <n v="60"/>
    <n v="0"/>
    <n v="0"/>
    <n v="0"/>
  </r>
  <r>
    <x v="8413"/>
    <n v="0"/>
    <n v="60"/>
    <n v="60"/>
    <n v="20"/>
    <n v="23"/>
    <x v="24"/>
    <n v="23"/>
    <n v="0"/>
    <n v="57"/>
    <n v="0"/>
    <n v="0"/>
    <n v="0"/>
  </r>
  <r>
    <x v="8414"/>
    <n v="0"/>
    <n v="57"/>
    <n v="57"/>
    <n v="23"/>
    <n v="18"/>
    <x v="33"/>
    <n v="24"/>
    <n v="-6"/>
    <n v="62"/>
    <n v="0"/>
    <n v="1"/>
    <n v="6"/>
  </r>
  <r>
    <x v="8415"/>
    <n v="-6"/>
    <n v="62"/>
    <n v="56"/>
    <n v="24"/>
    <n v="19"/>
    <x v="21"/>
    <n v="24"/>
    <n v="-11"/>
    <n v="67"/>
    <n v="0"/>
    <n v="1"/>
    <n v="11"/>
  </r>
  <r>
    <x v="8416"/>
    <n v="-11"/>
    <n v="67"/>
    <n v="56"/>
    <n v="24"/>
    <n v="20"/>
    <x v="20"/>
    <n v="28"/>
    <n v="-19"/>
    <n v="71"/>
    <n v="0"/>
    <n v="1"/>
    <n v="19"/>
  </r>
  <r>
    <x v="8417"/>
    <n v="-19"/>
    <n v="71"/>
    <n v="52"/>
    <n v="28"/>
    <n v="23"/>
    <x v="37"/>
    <n v="22"/>
    <n v="-18"/>
    <n v="76"/>
    <n v="0"/>
    <n v="1"/>
    <n v="18"/>
  </r>
  <r>
    <x v="8418"/>
    <n v="-18"/>
    <n v="76"/>
    <n v="58"/>
    <n v="22"/>
    <n v="24"/>
    <x v="39"/>
    <n v="18"/>
    <n v="-12"/>
    <n v="74"/>
    <n v="0"/>
    <n v="1"/>
    <n v="12"/>
  </r>
  <r>
    <x v="8419"/>
    <n v="-12"/>
    <n v="74"/>
    <n v="62"/>
    <n v="18"/>
    <n v="24"/>
    <x v="17"/>
    <n v="27"/>
    <n v="-15"/>
    <n v="68"/>
    <n v="0"/>
    <n v="1"/>
    <n v="15"/>
  </r>
  <r>
    <x v="8420"/>
    <n v="-15"/>
    <n v="68"/>
    <n v="53"/>
    <n v="27"/>
    <n v="28"/>
    <x v="21"/>
    <n v="15"/>
    <n v="-2"/>
    <n v="67"/>
    <n v="0"/>
    <n v="1"/>
    <n v="2"/>
  </r>
  <r>
    <x v="8421"/>
    <n v="-2"/>
    <n v="67"/>
    <n v="65"/>
    <n v="15"/>
    <n v="22"/>
    <x v="4"/>
    <n v="21"/>
    <n v="-1"/>
    <n v="60"/>
    <n v="0"/>
    <n v="1"/>
    <n v="1"/>
  </r>
  <r>
    <x v="8422"/>
    <n v="-1"/>
    <n v="60"/>
    <n v="59"/>
    <n v="21"/>
    <n v="18"/>
    <x v="22"/>
    <n v="23"/>
    <n v="-6"/>
    <n v="63"/>
    <n v="0"/>
    <n v="1"/>
    <n v="6"/>
  </r>
  <r>
    <x v="8423"/>
    <n v="-6"/>
    <n v="63"/>
    <n v="57"/>
    <n v="23"/>
    <n v="27"/>
    <x v="5"/>
    <n v="24"/>
    <n v="-3"/>
    <n v="59"/>
    <n v="0"/>
    <n v="1"/>
    <n v="3"/>
  </r>
  <r>
    <x v="8424"/>
    <n v="-3"/>
    <n v="59"/>
    <n v="56"/>
    <n v="24"/>
    <n v="15"/>
    <x v="17"/>
    <n v="22"/>
    <n v="-10"/>
    <n v="68"/>
    <n v="0"/>
    <n v="1"/>
    <n v="10"/>
  </r>
  <r>
    <x v="8425"/>
    <n v="-10"/>
    <n v="68"/>
    <n v="58"/>
    <n v="22"/>
    <n v="21"/>
    <x v="30"/>
    <n v="21"/>
    <n v="-10"/>
    <n v="69"/>
    <n v="0"/>
    <n v="1"/>
    <n v="10"/>
  </r>
  <r>
    <x v="8426"/>
    <n v="-10"/>
    <n v="69"/>
    <n v="59"/>
    <n v="21"/>
    <n v="23"/>
    <x v="21"/>
    <n v="24"/>
    <n v="-11"/>
    <n v="67"/>
    <n v="0"/>
    <n v="1"/>
    <n v="11"/>
  </r>
  <r>
    <x v="8427"/>
    <n v="-11"/>
    <n v="67"/>
    <n v="56"/>
    <n v="24"/>
    <n v="24"/>
    <x v="21"/>
    <n v="22"/>
    <n v="-9"/>
    <n v="67"/>
    <n v="0"/>
    <n v="1"/>
    <n v="9"/>
  </r>
  <r>
    <x v="8428"/>
    <n v="-9"/>
    <n v="67"/>
    <n v="58"/>
    <n v="22"/>
    <n v="22"/>
    <x v="21"/>
    <n v="23"/>
    <n v="-10"/>
    <n v="67"/>
    <n v="0"/>
    <n v="1"/>
    <n v="10"/>
  </r>
  <r>
    <x v="8429"/>
    <n v="-10"/>
    <n v="67"/>
    <n v="57"/>
    <n v="23"/>
    <n v="21"/>
    <x v="30"/>
    <n v="23"/>
    <n v="-12"/>
    <n v="69"/>
    <n v="0"/>
    <n v="1"/>
    <n v="12"/>
  </r>
  <r>
    <x v="8430"/>
    <n v="-12"/>
    <n v="69"/>
    <n v="57"/>
    <n v="23"/>
    <n v="24"/>
    <x v="17"/>
    <n v="18"/>
    <n v="-6"/>
    <n v="68"/>
    <n v="0"/>
    <n v="1"/>
    <n v="6"/>
  </r>
  <r>
    <x v="8431"/>
    <n v="-6"/>
    <n v="68"/>
    <n v="62"/>
    <n v="18"/>
    <n v="22"/>
    <x v="8"/>
    <n v="20"/>
    <n v="-4"/>
    <n v="64"/>
    <n v="0"/>
    <n v="1"/>
    <n v="4"/>
  </r>
  <r>
    <x v="8432"/>
    <n v="-4"/>
    <n v="64"/>
    <n v="60"/>
    <n v="20"/>
    <n v="23"/>
    <x v="23"/>
    <n v="19"/>
    <n v="0"/>
    <n v="61"/>
    <n v="0"/>
    <n v="0"/>
    <n v="0"/>
  </r>
  <r>
    <x v="8433"/>
    <n v="0"/>
    <n v="61"/>
    <n v="61"/>
    <n v="19"/>
    <n v="23"/>
    <x v="24"/>
    <n v="25"/>
    <n v="-2"/>
    <n v="57"/>
    <n v="0"/>
    <n v="1"/>
    <n v="2"/>
  </r>
  <r>
    <x v="8434"/>
    <n v="-2"/>
    <n v="57"/>
    <n v="55"/>
    <n v="25"/>
    <n v="18"/>
    <x v="8"/>
    <n v="18"/>
    <n v="-2"/>
    <n v="64"/>
    <n v="0"/>
    <n v="1"/>
    <n v="2"/>
  </r>
  <r>
    <x v="8435"/>
    <n v="-2"/>
    <n v="64"/>
    <n v="62"/>
    <n v="18"/>
    <n v="20"/>
    <x v="33"/>
    <n v="18"/>
    <n v="0"/>
    <n v="62"/>
    <n v="0"/>
    <n v="0"/>
    <n v="0"/>
  </r>
  <r>
    <x v="8436"/>
    <n v="0"/>
    <n v="62"/>
    <n v="62"/>
    <n v="18"/>
    <n v="19"/>
    <x v="23"/>
    <n v="19"/>
    <n v="0"/>
    <n v="61"/>
    <n v="0"/>
    <n v="0"/>
    <n v="0"/>
  </r>
  <r>
    <x v="8437"/>
    <n v="0"/>
    <n v="61"/>
    <n v="61"/>
    <n v="19"/>
    <n v="25"/>
    <x v="27"/>
    <n v="22"/>
    <n v="3"/>
    <n v="55"/>
    <n v="0.30000000000000004"/>
    <n v="0"/>
    <n v="0"/>
  </r>
  <r>
    <x v="8438"/>
    <n v="3"/>
    <n v="55"/>
    <n v="58"/>
    <n v="22"/>
    <n v="18"/>
    <x v="5"/>
    <n v="18"/>
    <n v="3"/>
    <n v="59"/>
    <n v="0.30000000000000004"/>
    <n v="0"/>
    <n v="0"/>
  </r>
  <r>
    <x v="8439"/>
    <n v="3"/>
    <n v="59"/>
    <n v="62"/>
    <n v="18"/>
    <n v="18"/>
    <x v="5"/>
    <n v="19"/>
    <n v="2"/>
    <n v="59"/>
    <n v="0.2"/>
    <n v="0"/>
    <n v="0"/>
  </r>
  <r>
    <x v="8440"/>
    <n v="2"/>
    <n v="59"/>
    <n v="61"/>
    <n v="19"/>
    <n v="19"/>
    <x v="5"/>
    <n v="16"/>
    <n v="5"/>
    <n v="59"/>
    <n v="0.5"/>
    <n v="0"/>
    <n v="0"/>
  </r>
  <r>
    <x v="8441"/>
    <n v="5"/>
    <n v="59"/>
    <n v="64"/>
    <n v="16"/>
    <n v="22"/>
    <x v="12"/>
    <n v="25"/>
    <n v="2"/>
    <n v="53"/>
    <n v="0.2"/>
    <n v="0"/>
    <n v="0"/>
  </r>
  <r>
    <x v="8442"/>
    <n v="2"/>
    <n v="53"/>
    <n v="55"/>
    <n v="25"/>
    <n v="18"/>
    <x v="4"/>
    <n v="18"/>
    <n v="2"/>
    <n v="60"/>
    <n v="0.2"/>
    <n v="0"/>
    <n v="0"/>
  </r>
  <r>
    <x v="8443"/>
    <n v="2"/>
    <n v="60"/>
    <n v="62"/>
    <n v="18"/>
    <n v="19"/>
    <x v="5"/>
    <n v="25"/>
    <n v="-4"/>
    <n v="59"/>
    <n v="0"/>
    <n v="1"/>
    <n v="4"/>
  </r>
  <r>
    <x v="8444"/>
    <n v="-4"/>
    <n v="59"/>
    <n v="55"/>
    <n v="25"/>
    <n v="16"/>
    <x v="17"/>
    <n v="15"/>
    <n v="-3"/>
    <n v="68"/>
    <n v="0"/>
    <n v="1"/>
    <n v="3"/>
  </r>
  <r>
    <x v="8445"/>
    <n v="-3"/>
    <n v="68"/>
    <n v="65"/>
    <n v="15"/>
    <n v="25"/>
    <x v="28"/>
    <n v="17"/>
    <n v="5"/>
    <n v="58"/>
    <n v="0.5"/>
    <n v="0"/>
    <n v="0"/>
  </r>
  <r>
    <x v="8446"/>
    <n v="5"/>
    <n v="58"/>
    <n v="63"/>
    <n v="17"/>
    <n v="18"/>
    <x v="24"/>
    <n v="17"/>
    <n v="6"/>
    <n v="57"/>
    <n v="0.60000000000000009"/>
    <n v="0"/>
    <n v="0"/>
  </r>
  <r>
    <x v="8447"/>
    <n v="6"/>
    <n v="57"/>
    <n v="63"/>
    <n v="17"/>
    <n v="25"/>
    <x v="10"/>
    <n v="19"/>
    <n v="12"/>
    <n v="49"/>
    <n v="1.2000000000000002"/>
    <n v="0"/>
    <n v="0"/>
  </r>
  <r>
    <x v="8448"/>
    <n v="12"/>
    <n v="49"/>
    <n v="61"/>
    <n v="19"/>
    <n v="15"/>
    <x v="12"/>
    <n v="20"/>
    <n v="7"/>
    <n v="53"/>
    <n v="0.70000000000000007"/>
    <n v="0"/>
    <n v="0"/>
  </r>
  <r>
    <x v="8449"/>
    <n v="7"/>
    <n v="53"/>
    <n v="60"/>
    <n v="20"/>
    <n v="17"/>
    <x v="32"/>
    <n v="27"/>
    <n v="-3"/>
    <n v="56"/>
    <n v="0"/>
    <n v="1"/>
    <n v="3"/>
  </r>
  <r>
    <x v="8450"/>
    <n v="-3"/>
    <n v="56"/>
    <n v="53"/>
    <n v="27"/>
    <n v="17"/>
    <x v="7"/>
    <n v="18"/>
    <n v="-4"/>
    <n v="66"/>
    <n v="0"/>
    <n v="1"/>
    <n v="4"/>
  </r>
  <r>
    <x v="8451"/>
    <n v="-4"/>
    <n v="66"/>
    <n v="62"/>
    <n v="18"/>
    <n v="19"/>
    <x v="26"/>
    <n v="26"/>
    <n v="-11"/>
    <n v="65"/>
    <n v="0"/>
    <n v="1"/>
    <n v="11"/>
  </r>
  <r>
    <x v="8452"/>
    <n v="-11"/>
    <n v="65"/>
    <n v="54"/>
    <n v="26"/>
    <n v="20"/>
    <x v="20"/>
    <n v="9"/>
    <n v="0"/>
    <n v="71"/>
    <n v="0"/>
    <n v="0"/>
    <n v="0"/>
  </r>
  <r>
    <x v="8453"/>
    <n v="0"/>
    <n v="71"/>
    <n v="71"/>
    <n v="9"/>
    <n v="27"/>
    <x v="12"/>
    <n v="23"/>
    <n v="4"/>
    <n v="53"/>
    <n v="0.4"/>
    <n v="0"/>
    <n v="0"/>
  </r>
  <r>
    <x v="8454"/>
    <n v="4"/>
    <n v="53"/>
    <n v="57"/>
    <n v="23"/>
    <n v="18"/>
    <x v="28"/>
    <n v="24"/>
    <n v="-2"/>
    <n v="58"/>
    <n v="0"/>
    <n v="1"/>
    <n v="2"/>
  </r>
  <r>
    <x v="8455"/>
    <n v="-2"/>
    <n v="58"/>
    <n v="56"/>
    <n v="24"/>
    <n v="26"/>
    <x v="32"/>
    <n v="19"/>
    <n v="5"/>
    <n v="56"/>
    <n v="0.5"/>
    <n v="0"/>
    <n v="0"/>
  </r>
  <r>
    <x v="8456"/>
    <n v="5"/>
    <n v="56"/>
    <n v="61"/>
    <n v="19"/>
    <n v="9"/>
    <x v="7"/>
    <n v="15"/>
    <n v="-1"/>
    <n v="66"/>
    <n v="0"/>
    <n v="1"/>
    <n v="1"/>
  </r>
  <r>
    <x v="8457"/>
    <n v="-1"/>
    <n v="66"/>
    <n v="65"/>
    <n v="15"/>
    <n v="23"/>
    <x v="28"/>
    <n v="22"/>
    <n v="0"/>
    <n v="58"/>
    <n v="0"/>
    <n v="0"/>
    <n v="0"/>
  </r>
  <r>
    <x v="8458"/>
    <n v="0"/>
    <n v="58"/>
    <n v="58"/>
    <n v="22"/>
    <n v="24"/>
    <x v="32"/>
    <n v="14"/>
    <n v="10"/>
    <n v="56"/>
    <n v="1"/>
    <n v="0"/>
    <n v="0"/>
  </r>
  <r>
    <x v="8459"/>
    <n v="10"/>
    <n v="56"/>
    <n v="66"/>
    <n v="14"/>
    <n v="19"/>
    <x v="9"/>
    <n v="21"/>
    <n v="8"/>
    <n v="51"/>
    <n v="0.8"/>
    <n v="0"/>
    <n v="0"/>
  </r>
  <r>
    <x v="8460"/>
    <n v="8"/>
    <n v="51"/>
    <n v="59"/>
    <n v="21"/>
    <n v="15"/>
    <x v="24"/>
    <n v="18"/>
    <n v="5"/>
    <n v="57"/>
    <n v="0.5"/>
    <n v="0"/>
    <n v="0"/>
  </r>
  <r>
    <x v="8461"/>
    <n v="5"/>
    <n v="57"/>
    <n v="62"/>
    <n v="18"/>
    <n v="22"/>
    <x v="12"/>
    <n v="27"/>
    <n v="0"/>
    <n v="53"/>
    <n v="0"/>
    <n v="0"/>
    <n v="0"/>
  </r>
  <r>
    <x v="8462"/>
    <n v="0"/>
    <n v="53"/>
    <n v="53"/>
    <n v="27"/>
    <n v="14"/>
    <x v="7"/>
    <n v="22"/>
    <n v="-8"/>
    <n v="66"/>
    <n v="0"/>
    <n v="1"/>
    <n v="8"/>
  </r>
  <r>
    <x v="8463"/>
    <n v="-8"/>
    <n v="66"/>
    <n v="58"/>
    <n v="22"/>
    <n v="21"/>
    <x v="21"/>
    <n v="21"/>
    <n v="-8"/>
    <n v="67"/>
    <n v="0"/>
    <n v="1"/>
    <n v="8"/>
  </r>
  <r>
    <x v="8464"/>
    <n v="-8"/>
    <n v="67"/>
    <n v="59"/>
    <n v="21"/>
    <n v="18"/>
    <x v="6"/>
    <n v="12"/>
    <n v="-2"/>
    <n v="70"/>
    <n v="0"/>
    <n v="1"/>
    <n v="2"/>
  </r>
  <r>
    <x v="8465"/>
    <n v="-2"/>
    <n v="70"/>
    <n v="68"/>
    <n v="12"/>
    <n v="27"/>
    <x v="27"/>
    <n v="16"/>
    <n v="9"/>
    <n v="55"/>
    <n v="0.9"/>
    <n v="0"/>
    <n v="0"/>
  </r>
  <r>
    <x v="8466"/>
    <n v="9"/>
    <n v="55"/>
    <n v="64"/>
    <n v="16"/>
    <n v="22"/>
    <x v="10"/>
    <n v="21"/>
    <n v="10"/>
    <n v="49"/>
    <n v="1"/>
    <n v="0"/>
    <n v="0"/>
  </r>
  <r>
    <x v="8467"/>
    <n v="10"/>
    <n v="49"/>
    <n v="59"/>
    <n v="21"/>
    <n v="21"/>
    <x v="10"/>
    <n v="24"/>
    <n v="7"/>
    <n v="49"/>
    <n v="0.70000000000000007"/>
    <n v="0"/>
    <n v="0"/>
  </r>
  <r>
    <x v="8468"/>
    <n v="7"/>
    <n v="49"/>
    <n v="56"/>
    <n v="24"/>
    <n v="12"/>
    <x v="23"/>
    <n v="28"/>
    <n v="-9"/>
    <n v="61"/>
    <n v="0"/>
    <n v="1"/>
    <n v="9"/>
  </r>
  <r>
    <x v="8469"/>
    <n v="-9"/>
    <n v="61"/>
    <n v="52"/>
    <n v="28"/>
    <n v="16"/>
    <x v="31"/>
    <n v="13"/>
    <n v="-6"/>
    <n v="73"/>
    <n v="0"/>
    <n v="1"/>
    <n v="6"/>
  </r>
  <r>
    <x v="8470"/>
    <n v="-6"/>
    <n v="73"/>
    <n v="67"/>
    <n v="13"/>
    <n v="21"/>
    <x v="26"/>
    <n v="18"/>
    <n v="-3"/>
    <n v="65"/>
    <n v="0"/>
    <n v="1"/>
    <n v="3"/>
  </r>
  <r>
    <x v="8471"/>
    <n v="-3"/>
    <n v="65"/>
    <n v="62"/>
    <n v="18"/>
    <n v="24"/>
    <x v="5"/>
    <n v="18"/>
    <n v="3"/>
    <n v="59"/>
    <n v="0.30000000000000004"/>
    <n v="0"/>
    <n v="0"/>
  </r>
  <r>
    <x v="8472"/>
    <n v="3"/>
    <n v="59"/>
    <n v="62"/>
    <n v="18"/>
    <n v="28"/>
    <x v="10"/>
    <n v="19"/>
    <n v="12"/>
    <n v="49"/>
    <n v="1.2000000000000002"/>
    <n v="0"/>
    <n v="0"/>
  </r>
  <r>
    <x v="8473"/>
    <n v="12"/>
    <n v="49"/>
    <n v="61"/>
    <n v="19"/>
    <n v="13"/>
    <x v="27"/>
    <n v="18"/>
    <n v="7"/>
    <n v="55"/>
    <n v="0.70000000000000007"/>
    <n v="0"/>
    <n v="0"/>
  </r>
  <r>
    <x v="8474"/>
    <n v="7"/>
    <n v="55"/>
    <n v="62"/>
    <n v="18"/>
    <n v="18"/>
    <x v="27"/>
    <n v="16"/>
    <n v="9"/>
    <n v="55"/>
    <n v="0.9"/>
    <n v="0"/>
    <n v="0"/>
  </r>
  <r>
    <x v="8475"/>
    <n v="9"/>
    <n v="55"/>
    <n v="64"/>
    <n v="16"/>
    <n v="18"/>
    <x v="12"/>
    <n v="17"/>
    <n v="10"/>
    <n v="53"/>
    <n v="1"/>
    <n v="0"/>
    <n v="0"/>
  </r>
  <r>
    <x v="8476"/>
    <n v="10"/>
    <n v="53"/>
    <n v="63"/>
    <n v="17"/>
    <n v="19"/>
    <x v="9"/>
    <n v="11"/>
    <n v="18"/>
    <n v="51"/>
    <n v="1.8"/>
    <n v="0"/>
    <n v="0"/>
  </r>
  <r>
    <x v="8477"/>
    <n v="18"/>
    <n v="51"/>
    <n v="69"/>
    <n v="11"/>
    <n v="18"/>
    <x v="45"/>
    <n v="20"/>
    <n v="16"/>
    <n v="44"/>
    <n v="1.6"/>
    <n v="0"/>
    <n v="0"/>
  </r>
  <r>
    <x v="8478"/>
    <n v="16"/>
    <n v="44"/>
    <n v="60"/>
    <n v="20"/>
    <n v="16"/>
    <x v="15"/>
    <n v="29"/>
    <n v="3"/>
    <n v="48"/>
    <n v="0.30000000000000004"/>
    <n v="0"/>
    <n v="0"/>
  </r>
  <r>
    <x v="8479"/>
    <n v="3"/>
    <n v="48"/>
    <n v="51"/>
    <n v="29"/>
    <n v="17"/>
    <x v="4"/>
    <n v="20"/>
    <n v="0"/>
    <n v="60"/>
    <n v="0"/>
    <n v="0"/>
    <n v="0"/>
  </r>
  <r>
    <x v="8480"/>
    <n v="0"/>
    <n v="60"/>
    <n v="60"/>
    <n v="20"/>
    <n v="11"/>
    <x v="30"/>
    <n v="21"/>
    <n v="-10"/>
    <n v="69"/>
    <n v="0"/>
    <n v="1"/>
    <n v="10"/>
  </r>
  <r>
    <x v="8481"/>
    <n v="-10"/>
    <n v="69"/>
    <n v="59"/>
    <n v="21"/>
    <n v="20"/>
    <x v="6"/>
    <n v="23"/>
    <n v="-13"/>
    <n v="70"/>
    <n v="0"/>
    <n v="1"/>
    <n v="13"/>
  </r>
  <r>
    <x v="8482"/>
    <n v="-13"/>
    <n v="70"/>
    <n v="57"/>
    <n v="23"/>
    <n v="29"/>
    <x v="8"/>
    <n v="23"/>
    <n v="-7"/>
    <n v="64"/>
    <n v="0"/>
    <n v="1"/>
    <n v="7"/>
  </r>
  <r>
    <x v="8483"/>
    <n v="-7"/>
    <n v="64"/>
    <n v="57"/>
    <n v="23"/>
    <n v="20"/>
    <x v="21"/>
    <n v="15"/>
    <n v="-2"/>
    <n v="67"/>
    <n v="0"/>
    <n v="1"/>
    <n v="2"/>
  </r>
  <r>
    <x v="8484"/>
    <n v="-2"/>
    <n v="67"/>
    <n v="65"/>
    <n v="15"/>
    <n v="21"/>
    <x v="23"/>
    <n v="16"/>
    <n v="3"/>
    <n v="61"/>
    <n v="0.30000000000000004"/>
    <n v="0"/>
    <n v="0"/>
  </r>
  <r>
    <x v="8485"/>
    <n v="3"/>
    <n v="61"/>
    <n v="64"/>
    <n v="16"/>
    <n v="23"/>
    <x v="16"/>
    <n v="15"/>
    <n v="11"/>
    <n v="54"/>
    <n v="1.1000000000000001"/>
    <n v="0"/>
    <n v="0"/>
  </r>
  <r>
    <x v="8486"/>
    <n v="11"/>
    <n v="54"/>
    <n v="65"/>
    <n v="15"/>
    <n v="23"/>
    <x v="38"/>
    <n v="26"/>
    <n v="8"/>
    <n v="46"/>
    <n v="0.8"/>
    <n v="0"/>
    <n v="0"/>
  </r>
  <r>
    <x v="8487"/>
    <n v="8"/>
    <n v="46"/>
    <n v="54"/>
    <n v="26"/>
    <n v="15"/>
    <x v="24"/>
    <n v="14"/>
    <n v="9"/>
    <n v="57"/>
    <n v="0.9"/>
    <n v="0"/>
    <n v="0"/>
  </r>
  <r>
    <x v="8488"/>
    <n v="9"/>
    <n v="57"/>
    <n v="66"/>
    <n v="14"/>
    <n v="16"/>
    <x v="27"/>
    <n v="18"/>
    <n v="7"/>
    <n v="55"/>
    <n v="0.70000000000000007"/>
    <n v="0"/>
    <n v="0"/>
  </r>
  <r>
    <x v="8489"/>
    <n v="7"/>
    <n v="55"/>
    <n v="62"/>
    <n v="18"/>
    <n v="15"/>
    <x v="28"/>
    <n v="18"/>
    <n v="4"/>
    <n v="58"/>
    <n v="0.4"/>
    <n v="0"/>
    <n v="0"/>
  </r>
  <r>
    <x v="8490"/>
    <n v="4"/>
    <n v="58"/>
    <n v="62"/>
    <n v="18"/>
    <n v="26"/>
    <x v="13"/>
    <n v="27"/>
    <n v="3"/>
    <n v="50"/>
    <n v="0.30000000000000004"/>
    <n v="0"/>
    <n v="0"/>
  </r>
  <r>
    <x v="8491"/>
    <n v="3"/>
    <n v="50"/>
    <n v="53"/>
    <n v="27"/>
    <n v="14"/>
    <x v="22"/>
    <n v="19"/>
    <n v="-2"/>
    <n v="63"/>
    <n v="0"/>
    <n v="1"/>
    <n v="2"/>
  </r>
  <r>
    <x v="8492"/>
    <n v="-2"/>
    <n v="63"/>
    <n v="61"/>
    <n v="19"/>
    <n v="18"/>
    <x v="8"/>
    <n v="18"/>
    <n v="-2"/>
    <n v="64"/>
    <n v="0"/>
    <n v="1"/>
    <n v="2"/>
  </r>
  <r>
    <x v="8493"/>
    <n v="-2"/>
    <n v="64"/>
    <n v="62"/>
    <n v="18"/>
    <n v="18"/>
    <x v="8"/>
    <n v="16"/>
    <n v="0"/>
    <n v="64"/>
    <n v="0"/>
    <n v="0"/>
    <n v="0"/>
  </r>
  <r>
    <x v="8494"/>
    <n v="0"/>
    <n v="64"/>
    <n v="64"/>
    <n v="16"/>
    <n v="27"/>
    <x v="12"/>
    <n v="23"/>
    <n v="4"/>
    <n v="53"/>
    <n v="0.4"/>
    <n v="0"/>
    <n v="0"/>
  </r>
  <r>
    <x v="8495"/>
    <n v="4"/>
    <n v="53"/>
    <n v="57"/>
    <n v="23"/>
    <n v="19"/>
    <x v="24"/>
    <n v="30"/>
    <n v="-7"/>
    <n v="57"/>
    <n v="0"/>
    <n v="1"/>
    <n v="7"/>
  </r>
  <r>
    <x v="8496"/>
    <n v="-7"/>
    <n v="57"/>
    <n v="50"/>
    <n v="30"/>
    <n v="18"/>
    <x v="30"/>
    <n v="22"/>
    <n v="-11"/>
    <n v="69"/>
    <n v="0"/>
    <n v="1"/>
    <n v="11"/>
  </r>
  <r>
    <x v="8497"/>
    <n v="-11"/>
    <n v="69"/>
    <n v="58"/>
    <n v="22"/>
    <n v="16"/>
    <x v="44"/>
    <n v="21"/>
    <n v="-16"/>
    <n v="75"/>
    <n v="0"/>
    <n v="1"/>
    <n v="16"/>
  </r>
  <r>
    <x v="8498"/>
    <n v="-16"/>
    <n v="75"/>
    <n v="59"/>
    <n v="21"/>
    <n v="23"/>
    <x v="31"/>
    <n v="29"/>
    <n v="-22"/>
    <n v="73"/>
    <n v="0"/>
    <n v="1"/>
    <n v="22"/>
  </r>
  <r>
    <x v="8499"/>
    <n v="-22"/>
    <n v="73"/>
    <n v="51"/>
    <n v="29"/>
    <n v="30"/>
    <x v="29"/>
    <n v="19"/>
    <n v="-11"/>
    <n v="72"/>
    <n v="0"/>
    <n v="1"/>
    <n v="11"/>
  </r>
  <r>
    <x v="8500"/>
    <n v="-11"/>
    <n v="72"/>
    <n v="61"/>
    <n v="19"/>
    <n v="22"/>
    <x v="30"/>
    <n v="13"/>
    <n v="-2"/>
    <n v="69"/>
    <n v="0"/>
    <n v="1"/>
    <n v="2"/>
  </r>
  <r>
    <x v="8501"/>
    <n v="-2"/>
    <n v="69"/>
    <n v="67"/>
    <n v="13"/>
    <n v="21"/>
    <x v="23"/>
    <n v="16"/>
    <n v="3"/>
    <n v="61"/>
    <n v="0.30000000000000004"/>
    <n v="0"/>
    <n v="0"/>
  </r>
  <r>
    <x v="8502"/>
    <n v="3"/>
    <n v="61"/>
    <n v="64"/>
    <n v="16"/>
    <n v="29"/>
    <x v="15"/>
    <n v="19"/>
    <n v="13"/>
    <n v="48"/>
    <n v="1.3"/>
    <n v="0"/>
    <n v="0"/>
  </r>
  <r>
    <x v="8503"/>
    <n v="13"/>
    <n v="48"/>
    <n v="61"/>
    <n v="19"/>
    <n v="19"/>
    <x v="15"/>
    <n v="19"/>
    <n v="13"/>
    <n v="48"/>
    <n v="1.3"/>
    <n v="0"/>
    <n v="0"/>
  </r>
  <r>
    <x v="8504"/>
    <n v="13"/>
    <n v="48"/>
    <n v="61"/>
    <n v="19"/>
    <n v="13"/>
    <x v="16"/>
    <n v="27"/>
    <n v="-1"/>
    <n v="54"/>
    <n v="0"/>
    <n v="1"/>
    <n v="1"/>
  </r>
  <r>
    <x v="8505"/>
    <n v="-1"/>
    <n v="54"/>
    <n v="53"/>
    <n v="27"/>
    <n v="16"/>
    <x v="26"/>
    <n v="25"/>
    <n v="-10"/>
    <n v="65"/>
    <n v="0"/>
    <n v="1"/>
    <n v="10"/>
  </r>
  <r>
    <x v="8506"/>
    <n v="-10"/>
    <n v="65"/>
    <n v="55"/>
    <n v="25"/>
    <n v="19"/>
    <x v="20"/>
    <n v="26"/>
    <n v="-17"/>
    <n v="71"/>
    <n v="0"/>
    <n v="1"/>
    <n v="17"/>
  </r>
  <r>
    <x v="8507"/>
    <n v="-17"/>
    <n v="71"/>
    <n v="54"/>
    <n v="26"/>
    <n v="19"/>
    <x v="35"/>
    <n v="13"/>
    <n v="-11"/>
    <n v="78"/>
    <n v="0"/>
    <n v="1"/>
    <n v="11"/>
  </r>
  <r>
    <x v="8508"/>
    <n v="-11"/>
    <n v="78"/>
    <n v="67"/>
    <n v="13"/>
    <n v="27"/>
    <x v="8"/>
    <n v="29"/>
    <n v="-13"/>
    <n v="64"/>
    <n v="0"/>
    <n v="1"/>
    <n v="13"/>
  </r>
  <r>
    <x v="8509"/>
    <n v="-13"/>
    <n v="64"/>
    <n v="51"/>
    <n v="29"/>
    <n v="25"/>
    <x v="17"/>
    <n v="15"/>
    <n v="-3"/>
    <n v="68"/>
    <n v="0"/>
    <n v="1"/>
    <n v="3"/>
  </r>
  <r>
    <x v="8510"/>
    <n v="-3"/>
    <n v="68"/>
    <n v="65"/>
    <n v="15"/>
    <n v="26"/>
    <x v="24"/>
    <n v="21"/>
    <n v="2"/>
    <n v="57"/>
    <n v="0.2"/>
    <n v="0"/>
    <n v="0"/>
  </r>
  <r>
    <x v="8511"/>
    <n v="2"/>
    <n v="57"/>
    <n v="59"/>
    <n v="21"/>
    <n v="13"/>
    <x v="26"/>
    <n v="20"/>
    <n v="-5"/>
    <n v="65"/>
    <n v="0"/>
    <n v="1"/>
    <n v="5"/>
  </r>
  <r>
    <x v="8512"/>
    <n v="-5"/>
    <n v="65"/>
    <n v="60"/>
    <n v="20"/>
    <n v="29"/>
    <x v="32"/>
    <n v="21"/>
    <n v="3"/>
    <n v="56"/>
    <n v="0.30000000000000004"/>
    <n v="0"/>
    <n v="0"/>
  </r>
  <r>
    <x v="8513"/>
    <n v="3"/>
    <n v="56"/>
    <n v="59"/>
    <n v="21"/>
    <n v="15"/>
    <x v="33"/>
    <n v="23"/>
    <n v="-5"/>
    <n v="62"/>
    <n v="0"/>
    <n v="1"/>
    <n v="5"/>
  </r>
  <r>
    <x v="8514"/>
    <n v="-5"/>
    <n v="62"/>
    <n v="57"/>
    <n v="23"/>
    <n v="21"/>
    <x v="8"/>
    <n v="21"/>
    <n v="-5"/>
    <n v="64"/>
    <n v="0"/>
    <n v="1"/>
    <n v="5"/>
  </r>
  <r>
    <x v="8515"/>
    <n v="-5"/>
    <n v="64"/>
    <n v="59"/>
    <n v="21"/>
    <n v="20"/>
    <x v="26"/>
    <n v="14"/>
    <n v="1"/>
    <n v="65"/>
    <n v="0.1"/>
    <n v="0"/>
    <n v="0"/>
  </r>
  <r>
    <x v="8516"/>
    <n v="1"/>
    <n v="65"/>
    <n v="66"/>
    <n v="14"/>
    <n v="21"/>
    <x v="28"/>
    <n v="21"/>
    <n v="1"/>
    <n v="58"/>
    <n v="0.1"/>
    <n v="0"/>
    <n v="0"/>
  </r>
  <r>
    <x v="8517"/>
    <n v="1"/>
    <n v="58"/>
    <n v="59"/>
    <n v="21"/>
    <n v="23"/>
    <x v="32"/>
    <n v="21"/>
    <n v="3"/>
    <n v="56"/>
    <n v="0.30000000000000004"/>
    <n v="0"/>
    <n v="0"/>
  </r>
  <r>
    <x v="8518"/>
    <n v="3"/>
    <n v="56"/>
    <n v="59"/>
    <n v="21"/>
    <n v="21"/>
    <x v="32"/>
    <n v="16"/>
    <n v="8"/>
    <n v="56"/>
    <n v="0.8"/>
    <n v="0"/>
    <n v="0"/>
  </r>
  <r>
    <x v="8519"/>
    <n v="8"/>
    <n v="56"/>
    <n v="64"/>
    <n v="16"/>
    <n v="14"/>
    <x v="28"/>
    <n v="26"/>
    <n v="-4"/>
    <n v="58"/>
    <n v="0"/>
    <n v="1"/>
    <n v="4"/>
  </r>
  <r>
    <x v="8520"/>
    <n v="-4"/>
    <n v="58"/>
    <n v="54"/>
    <n v="26"/>
    <n v="21"/>
    <x v="22"/>
    <n v="23"/>
    <n v="-6"/>
    <n v="63"/>
    <n v="0"/>
    <n v="1"/>
    <n v="6"/>
  </r>
  <r>
    <x v="8521"/>
    <n v="-6"/>
    <n v="63"/>
    <n v="57"/>
    <n v="23"/>
    <n v="21"/>
    <x v="26"/>
    <n v="26"/>
    <n v="-11"/>
    <n v="65"/>
    <n v="0"/>
    <n v="1"/>
    <n v="11"/>
  </r>
  <r>
    <x v="8522"/>
    <n v="-11"/>
    <n v="65"/>
    <n v="54"/>
    <n v="26"/>
    <n v="16"/>
    <x v="44"/>
    <n v="23"/>
    <n v="-18"/>
    <n v="75"/>
    <n v="0"/>
    <n v="1"/>
    <n v="18"/>
  </r>
  <r>
    <x v="8523"/>
    <n v="-18"/>
    <n v="75"/>
    <n v="57"/>
    <n v="23"/>
    <n v="26"/>
    <x v="29"/>
    <n v="17"/>
    <n v="-9"/>
    <n v="72"/>
    <n v="0"/>
    <n v="1"/>
    <n v="9"/>
  </r>
  <r>
    <x v="8524"/>
    <n v="-9"/>
    <n v="72"/>
    <n v="63"/>
    <n v="17"/>
    <n v="23"/>
    <x v="7"/>
    <n v="14"/>
    <n v="0"/>
    <n v="66"/>
    <n v="0"/>
    <n v="0"/>
    <n v="0"/>
  </r>
  <r>
    <x v="8525"/>
    <n v="0"/>
    <n v="66"/>
    <n v="66"/>
    <n v="14"/>
    <n v="26"/>
    <x v="16"/>
    <n v="20"/>
    <n v="6"/>
    <n v="54"/>
    <n v="0.60000000000000009"/>
    <n v="0"/>
    <n v="0"/>
  </r>
  <r>
    <x v="8526"/>
    <n v="6"/>
    <n v="54"/>
    <n v="60"/>
    <n v="20"/>
    <n v="23"/>
    <x v="9"/>
    <n v="18"/>
    <n v="11"/>
    <n v="51"/>
    <n v="1.1000000000000001"/>
    <n v="0"/>
    <n v="0"/>
  </r>
  <r>
    <x v="8527"/>
    <n v="11"/>
    <n v="51"/>
    <n v="62"/>
    <n v="18"/>
    <n v="17"/>
    <x v="25"/>
    <n v="21"/>
    <n v="7"/>
    <n v="52"/>
    <n v="0.70000000000000007"/>
    <n v="0"/>
    <n v="0"/>
  </r>
  <r>
    <x v="8528"/>
    <n v="7"/>
    <n v="52"/>
    <n v="59"/>
    <n v="21"/>
    <n v="14"/>
    <x v="5"/>
    <n v="21"/>
    <n v="0"/>
    <n v="59"/>
    <n v="0"/>
    <n v="0"/>
    <n v="0"/>
  </r>
  <r>
    <x v="8529"/>
    <n v="0"/>
    <n v="59"/>
    <n v="59"/>
    <n v="21"/>
    <n v="20"/>
    <x v="4"/>
    <n v="10"/>
    <n v="10"/>
    <n v="60"/>
    <n v="1"/>
    <n v="0"/>
    <n v="0"/>
  </r>
  <r>
    <x v="8530"/>
    <n v="10"/>
    <n v="60"/>
    <n v="70"/>
    <n v="10"/>
    <n v="18"/>
    <x v="25"/>
    <n v="16"/>
    <n v="12"/>
    <n v="52"/>
    <n v="1.2000000000000002"/>
    <n v="0"/>
    <n v="0"/>
  </r>
  <r>
    <x v="8531"/>
    <n v="12"/>
    <n v="52"/>
    <n v="64"/>
    <n v="16"/>
    <n v="21"/>
    <x v="14"/>
    <n v="12"/>
    <n v="21"/>
    <n v="47"/>
    <n v="2.1"/>
    <n v="0"/>
    <n v="0"/>
  </r>
  <r>
    <x v="8532"/>
    <n v="21"/>
    <n v="47"/>
    <n v="68"/>
    <n v="12"/>
    <n v="21"/>
    <x v="56"/>
    <n v="21"/>
    <n v="21"/>
    <n v="38"/>
    <n v="2.1"/>
    <n v="0"/>
    <n v="0"/>
  </r>
  <r>
    <x v="8533"/>
    <n v="21"/>
    <n v="38"/>
    <n v="59"/>
    <n v="21"/>
    <n v="10"/>
    <x v="10"/>
    <n v="25"/>
    <n v="6"/>
    <n v="49"/>
    <n v="0.60000000000000009"/>
    <n v="0"/>
    <n v="0"/>
  </r>
  <r>
    <x v="8534"/>
    <n v="6"/>
    <n v="49"/>
    <n v="55"/>
    <n v="25"/>
    <n v="16"/>
    <x v="28"/>
    <n v="18"/>
    <n v="4"/>
    <n v="58"/>
    <n v="0.4"/>
    <n v="0"/>
    <n v="0"/>
  </r>
  <r>
    <x v="8535"/>
    <n v="4"/>
    <n v="58"/>
    <n v="62"/>
    <n v="18"/>
    <n v="12"/>
    <x v="8"/>
    <n v="20"/>
    <n v="-4"/>
    <n v="64"/>
    <n v="0"/>
    <n v="1"/>
    <n v="4"/>
  </r>
  <r>
    <x v="8536"/>
    <n v="-4"/>
    <n v="64"/>
    <n v="60"/>
    <n v="20"/>
    <n v="21"/>
    <x v="22"/>
    <n v="20"/>
    <n v="-3"/>
    <n v="63"/>
    <n v="0"/>
    <n v="1"/>
    <n v="3"/>
  </r>
  <r>
    <x v="8537"/>
    <n v="-3"/>
    <n v="63"/>
    <n v="60"/>
    <n v="20"/>
    <n v="25"/>
    <x v="28"/>
    <n v="22"/>
    <n v="0"/>
    <n v="58"/>
    <n v="0"/>
    <n v="0"/>
    <n v="0"/>
  </r>
  <r>
    <x v="8538"/>
    <n v="0"/>
    <n v="58"/>
    <n v="58"/>
    <n v="22"/>
    <n v="18"/>
    <x v="33"/>
    <n v="26"/>
    <n v="-8"/>
    <n v="62"/>
    <n v="0"/>
    <n v="1"/>
    <n v="8"/>
  </r>
  <r>
    <x v="8539"/>
    <n v="-8"/>
    <n v="62"/>
    <n v="54"/>
    <n v="26"/>
    <n v="20"/>
    <x v="17"/>
    <n v="19"/>
    <n v="-7"/>
    <n v="68"/>
    <n v="0"/>
    <n v="1"/>
    <n v="7"/>
  </r>
  <r>
    <x v="8540"/>
    <n v="-7"/>
    <n v="68"/>
    <n v="61"/>
    <n v="19"/>
    <n v="20"/>
    <x v="21"/>
    <n v="15"/>
    <n v="-2"/>
    <n v="67"/>
    <n v="0"/>
    <n v="1"/>
    <n v="2"/>
  </r>
  <r>
    <x v="8541"/>
    <n v="-2"/>
    <n v="67"/>
    <n v="65"/>
    <n v="15"/>
    <n v="22"/>
    <x v="4"/>
    <n v="22"/>
    <n v="-2"/>
    <n v="60"/>
    <n v="0"/>
    <n v="1"/>
    <n v="2"/>
  </r>
  <r>
    <x v="8542"/>
    <n v="-2"/>
    <n v="60"/>
    <n v="58"/>
    <n v="22"/>
    <n v="26"/>
    <x v="32"/>
    <n v="19"/>
    <n v="5"/>
    <n v="56"/>
    <n v="0.5"/>
    <n v="0"/>
    <n v="0"/>
  </r>
  <r>
    <x v="8543"/>
    <n v="5"/>
    <n v="56"/>
    <n v="61"/>
    <n v="19"/>
    <n v="19"/>
    <x v="32"/>
    <n v="25"/>
    <n v="-1"/>
    <n v="56"/>
    <n v="0"/>
    <n v="1"/>
    <n v="1"/>
  </r>
  <r>
    <x v="8544"/>
    <n v="-1"/>
    <n v="56"/>
    <n v="55"/>
    <n v="25"/>
    <n v="15"/>
    <x v="7"/>
    <n v="13"/>
    <n v="1"/>
    <n v="66"/>
    <n v="0.1"/>
    <n v="0"/>
    <n v="0"/>
  </r>
  <r>
    <x v="8545"/>
    <n v="1"/>
    <n v="66"/>
    <n v="67"/>
    <n v="13"/>
    <n v="22"/>
    <x v="24"/>
    <n v="24"/>
    <n v="-1"/>
    <n v="57"/>
    <n v="0"/>
    <n v="1"/>
    <n v="1"/>
  </r>
  <r>
    <x v="8546"/>
    <n v="-1"/>
    <n v="57"/>
    <n v="56"/>
    <n v="24"/>
    <n v="19"/>
    <x v="33"/>
    <n v="12"/>
    <n v="6"/>
    <n v="62"/>
    <n v="0.60000000000000009"/>
    <n v="0"/>
    <n v="0"/>
  </r>
  <r>
    <x v="8547"/>
    <n v="6"/>
    <n v="62"/>
    <n v="68"/>
    <n v="12"/>
    <n v="25"/>
    <x v="10"/>
    <n v="17"/>
    <n v="14"/>
    <n v="49"/>
    <n v="1.4000000000000001"/>
    <n v="0"/>
    <n v="0"/>
  </r>
  <r>
    <x v="8548"/>
    <n v="14"/>
    <n v="49"/>
    <n v="63"/>
    <n v="17"/>
    <n v="13"/>
    <x v="12"/>
    <n v="18"/>
    <n v="9"/>
    <n v="53"/>
    <n v="0.9"/>
    <n v="0"/>
    <n v="0"/>
  </r>
  <r>
    <x v="8549"/>
    <n v="9"/>
    <n v="53"/>
    <n v="62"/>
    <n v="18"/>
    <n v="24"/>
    <x v="14"/>
    <n v="20"/>
    <n v="13"/>
    <n v="47"/>
    <n v="1.3"/>
    <n v="0"/>
    <n v="0"/>
  </r>
  <r>
    <x v="8550"/>
    <n v="13"/>
    <n v="47"/>
    <n v="60"/>
    <n v="20"/>
    <n v="12"/>
    <x v="27"/>
    <n v="22"/>
    <n v="3"/>
    <n v="55"/>
    <n v="0.30000000000000004"/>
    <n v="0"/>
    <n v="0"/>
  </r>
  <r>
    <x v="8551"/>
    <n v="3"/>
    <n v="55"/>
    <n v="58"/>
    <n v="22"/>
    <n v="17"/>
    <x v="4"/>
    <n v="23"/>
    <n v="-3"/>
    <n v="60"/>
    <n v="0"/>
    <n v="1"/>
    <n v="3"/>
  </r>
  <r>
    <x v="8552"/>
    <n v="-3"/>
    <n v="60"/>
    <n v="57"/>
    <n v="23"/>
    <n v="18"/>
    <x v="26"/>
    <n v="18"/>
    <n v="-3"/>
    <n v="65"/>
    <n v="0"/>
    <n v="1"/>
    <n v="3"/>
  </r>
  <r>
    <x v="8553"/>
    <n v="-3"/>
    <n v="65"/>
    <n v="62"/>
    <n v="18"/>
    <n v="20"/>
    <x v="22"/>
    <n v="22"/>
    <n v="-5"/>
    <n v="63"/>
    <n v="0"/>
    <n v="1"/>
    <n v="5"/>
  </r>
  <r>
    <x v="8554"/>
    <n v="-5"/>
    <n v="63"/>
    <n v="58"/>
    <n v="22"/>
    <n v="22"/>
    <x v="22"/>
    <n v="27"/>
    <n v="-10"/>
    <n v="63"/>
    <n v="0"/>
    <n v="1"/>
    <n v="10"/>
  </r>
  <r>
    <x v="8555"/>
    <n v="-10"/>
    <n v="63"/>
    <n v="53"/>
    <n v="27"/>
    <n v="23"/>
    <x v="21"/>
    <n v="23"/>
    <n v="-10"/>
    <n v="67"/>
    <n v="0"/>
    <n v="1"/>
    <n v="10"/>
  </r>
  <r>
    <x v="8556"/>
    <n v="-10"/>
    <n v="67"/>
    <n v="57"/>
    <n v="23"/>
    <n v="18"/>
    <x v="29"/>
    <n v="28"/>
    <n v="-20"/>
    <n v="72"/>
    <n v="0"/>
    <n v="1"/>
    <n v="20"/>
  </r>
  <r>
    <x v="8557"/>
    <n v="-20"/>
    <n v="72"/>
    <n v="52"/>
    <n v="28"/>
    <n v="22"/>
    <x v="35"/>
    <n v="22"/>
    <n v="-20"/>
    <n v="78"/>
    <n v="0"/>
    <n v="1"/>
    <n v="20"/>
  </r>
  <r>
    <x v="8558"/>
    <n v="-20"/>
    <n v="78"/>
    <n v="58"/>
    <n v="22"/>
    <n v="27"/>
    <x v="31"/>
    <n v="17"/>
    <n v="-10"/>
    <n v="73"/>
    <n v="0"/>
    <n v="1"/>
    <n v="10"/>
  </r>
  <r>
    <x v="8559"/>
    <n v="-10"/>
    <n v="73"/>
    <n v="63"/>
    <n v="17"/>
    <n v="23"/>
    <x v="21"/>
    <n v="27"/>
    <n v="-14"/>
    <n v="67"/>
    <n v="0"/>
    <n v="1"/>
    <n v="14"/>
  </r>
  <r>
    <x v="8560"/>
    <n v="-14"/>
    <n v="67"/>
    <n v="53"/>
    <n v="27"/>
    <n v="28"/>
    <x v="7"/>
    <n v="20"/>
    <n v="-6"/>
    <n v="66"/>
    <n v="0"/>
    <n v="1"/>
    <n v="6"/>
  </r>
  <r>
    <x v="8561"/>
    <n v="-6"/>
    <n v="66"/>
    <n v="60"/>
    <n v="20"/>
    <n v="22"/>
    <x v="8"/>
    <n v="18"/>
    <n v="-2"/>
    <n v="64"/>
    <n v="0"/>
    <n v="1"/>
    <n v="2"/>
  </r>
  <r>
    <x v="8562"/>
    <n v="-2"/>
    <n v="64"/>
    <n v="62"/>
    <n v="18"/>
    <n v="17"/>
    <x v="26"/>
    <n v="16"/>
    <n v="-1"/>
    <n v="65"/>
    <n v="0"/>
    <n v="1"/>
    <n v="1"/>
  </r>
  <r>
    <x v="8563"/>
    <n v="-1"/>
    <n v="65"/>
    <n v="64"/>
    <n v="16"/>
    <n v="27"/>
    <x v="16"/>
    <n v="20"/>
    <n v="6"/>
    <n v="54"/>
    <n v="0.60000000000000009"/>
    <n v="0"/>
    <n v="0"/>
  </r>
  <r>
    <x v="8564"/>
    <n v="6"/>
    <n v="54"/>
    <n v="60"/>
    <n v="20"/>
    <n v="20"/>
    <x v="16"/>
    <n v="14"/>
    <n v="12"/>
    <n v="54"/>
    <n v="1.2000000000000002"/>
    <n v="0"/>
    <n v="0"/>
  </r>
  <r>
    <x v="8565"/>
    <n v="12"/>
    <n v="54"/>
    <n v="66"/>
    <n v="14"/>
    <n v="18"/>
    <x v="13"/>
    <n v="31"/>
    <n v="-1"/>
    <n v="50"/>
    <n v="0"/>
    <n v="1"/>
    <n v="1"/>
  </r>
  <r>
    <x v="8566"/>
    <n v="-1"/>
    <n v="50"/>
    <n v="49"/>
    <n v="31"/>
    <n v="16"/>
    <x v="26"/>
    <n v="22"/>
    <n v="-7"/>
    <n v="65"/>
    <n v="0"/>
    <n v="1"/>
    <n v="7"/>
  </r>
  <r>
    <x v="8567"/>
    <n v="-7"/>
    <n v="65"/>
    <n v="58"/>
    <n v="22"/>
    <n v="20"/>
    <x v="21"/>
    <n v="19"/>
    <n v="-6"/>
    <n v="67"/>
    <n v="0"/>
    <n v="1"/>
    <n v="6"/>
  </r>
  <r>
    <x v="8568"/>
    <n v="-6"/>
    <n v="67"/>
    <n v="61"/>
    <n v="19"/>
    <n v="14"/>
    <x v="29"/>
    <n v="16"/>
    <n v="-8"/>
    <n v="72"/>
    <n v="0"/>
    <n v="1"/>
    <n v="8"/>
  </r>
  <r>
    <x v="8569"/>
    <n v="-8"/>
    <n v="72"/>
    <n v="64"/>
    <n v="16"/>
    <n v="31"/>
    <x v="24"/>
    <n v="25"/>
    <n v="-2"/>
    <n v="57"/>
    <n v="0"/>
    <n v="1"/>
    <n v="2"/>
  </r>
  <r>
    <x v="8570"/>
    <n v="-2"/>
    <n v="57"/>
    <n v="55"/>
    <n v="25"/>
    <n v="22"/>
    <x v="4"/>
    <n v="22"/>
    <n v="-2"/>
    <n v="60"/>
    <n v="0"/>
    <n v="1"/>
    <n v="2"/>
  </r>
  <r>
    <x v="8571"/>
    <n v="-2"/>
    <n v="60"/>
    <n v="58"/>
    <n v="22"/>
    <n v="19"/>
    <x v="22"/>
    <n v="19"/>
    <n v="-2"/>
    <n v="63"/>
    <n v="0"/>
    <n v="1"/>
    <n v="2"/>
  </r>
  <r>
    <x v="8572"/>
    <n v="-2"/>
    <n v="63"/>
    <n v="61"/>
    <n v="19"/>
    <n v="16"/>
    <x v="7"/>
    <n v="21"/>
    <n v="-7"/>
    <n v="66"/>
    <n v="0"/>
    <n v="1"/>
    <n v="7"/>
  </r>
  <r>
    <x v="8573"/>
    <n v="-7"/>
    <n v="66"/>
    <n v="59"/>
    <n v="21"/>
    <n v="25"/>
    <x v="33"/>
    <n v="10"/>
    <n v="8"/>
    <n v="62"/>
    <n v="0.8"/>
    <n v="0"/>
    <n v="0"/>
  </r>
  <r>
    <x v="8574"/>
    <n v="8"/>
    <n v="62"/>
    <n v="70"/>
    <n v="10"/>
    <n v="22"/>
    <x v="13"/>
    <n v="21"/>
    <n v="9"/>
    <n v="50"/>
    <n v="0.9"/>
    <n v="0"/>
    <n v="0"/>
  </r>
  <r>
    <x v="8575"/>
    <n v="9"/>
    <n v="50"/>
    <n v="59"/>
    <n v="21"/>
    <n v="19"/>
    <x v="25"/>
    <n v="21"/>
    <n v="7"/>
    <n v="52"/>
    <n v="0.70000000000000007"/>
    <n v="0"/>
    <n v="0"/>
  </r>
  <r>
    <x v="8576"/>
    <n v="7"/>
    <n v="52"/>
    <n v="59"/>
    <n v="21"/>
    <n v="21"/>
    <x v="25"/>
    <n v="17"/>
    <n v="11"/>
    <n v="52"/>
    <n v="1.1000000000000001"/>
    <n v="0"/>
    <n v="0"/>
  </r>
  <r>
    <x v="8577"/>
    <n v="11"/>
    <n v="52"/>
    <n v="63"/>
    <n v="17"/>
    <n v="10"/>
    <x v="5"/>
    <n v="20"/>
    <n v="1"/>
    <n v="59"/>
    <n v="0.1"/>
    <n v="0"/>
    <n v="0"/>
  </r>
  <r>
    <x v="8578"/>
    <n v="1"/>
    <n v="59"/>
    <n v="60"/>
    <n v="20"/>
    <n v="21"/>
    <x v="28"/>
    <n v="16"/>
    <n v="6"/>
    <n v="58"/>
    <n v="0.60000000000000009"/>
    <n v="0"/>
    <n v="0"/>
  </r>
  <r>
    <x v="8579"/>
    <n v="6"/>
    <n v="58"/>
    <n v="64"/>
    <n v="16"/>
    <n v="21"/>
    <x v="12"/>
    <n v="14"/>
    <n v="13"/>
    <n v="53"/>
    <n v="1.3"/>
    <n v="0"/>
    <n v="0"/>
  </r>
  <r>
    <x v="8580"/>
    <n v="13"/>
    <n v="53"/>
    <n v="66"/>
    <n v="14"/>
    <n v="17"/>
    <x v="13"/>
    <n v="25"/>
    <n v="5"/>
    <n v="50"/>
    <n v="0.5"/>
    <n v="0"/>
    <n v="0"/>
  </r>
  <r>
    <x v="8581"/>
    <n v="5"/>
    <n v="50"/>
    <n v="55"/>
    <n v="25"/>
    <n v="20"/>
    <x v="27"/>
    <n v="12"/>
    <n v="13"/>
    <n v="55"/>
    <n v="1.3"/>
    <n v="0"/>
    <n v="0"/>
  </r>
  <r>
    <x v="8582"/>
    <n v="13"/>
    <n v="55"/>
    <n v="68"/>
    <n v="12"/>
    <n v="16"/>
    <x v="9"/>
    <n v="23"/>
    <n v="6"/>
    <n v="51"/>
    <n v="0.60000000000000009"/>
    <n v="0"/>
    <n v="0"/>
  </r>
  <r>
    <x v="8583"/>
    <n v="6"/>
    <n v="51"/>
    <n v="57"/>
    <n v="23"/>
    <n v="14"/>
    <x v="4"/>
    <n v="21"/>
    <n v="-1"/>
    <n v="60"/>
    <n v="0"/>
    <n v="1"/>
    <n v="1"/>
  </r>
  <r>
    <x v="8584"/>
    <n v="-1"/>
    <n v="60"/>
    <n v="59"/>
    <n v="21"/>
    <n v="25"/>
    <x v="32"/>
    <n v="23"/>
    <n v="1"/>
    <n v="56"/>
    <n v="0.1"/>
    <n v="0"/>
    <n v="0"/>
  </r>
  <r>
    <x v="8585"/>
    <n v="1"/>
    <n v="56"/>
    <n v="57"/>
    <n v="23"/>
    <n v="12"/>
    <x v="21"/>
    <n v="24"/>
    <n v="-11"/>
    <n v="67"/>
    <n v="0"/>
    <n v="1"/>
    <n v="11"/>
  </r>
  <r>
    <x v="8586"/>
    <n v="-11"/>
    <n v="67"/>
    <n v="56"/>
    <n v="24"/>
    <n v="23"/>
    <x v="17"/>
    <n v="24"/>
    <n v="-12"/>
    <n v="68"/>
    <n v="0"/>
    <n v="1"/>
    <n v="12"/>
  </r>
  <r>
    <x v="8587"/>
    <n v="-12"/>
    <n v="68"/>
    <n v="56"/>
    <n v="24"/>
    <n v="21"/>
    <x v="20"/>
    <n v="34"/>
    <n v="-25"/>
    <n v="71"/>
    <n v="0"/>
    <n v="1"/>
    <n v="25"/>
  </r>
  <r>
    <x v="8588"/>
    <n v="-25"/>
    <n v="71"/>
    <n v="46"/>
    <n v="34"/>
    <n v="23"/>
    <x v="19"/>
    <n v="10"/>
    <n v="-12"/>
    <n v="82"/>
    <n v="0"/>
    <n v="1"/>
    <n v="10"/>
  </r>
  <r>
    <x v="8589"/>
    <n v="-12"/>
    <n v="82"/>
    <n v="70"/>
    <n v="10"/>
    <n v="24"/>
    <x v="17"/>
    <n v="17"/>
    <n v="-5"/>
    <n v="68"/>
    <n v="0"/>
    <n v="1"/>
    <n v="5"/>
  </r>
  <r>
    <x v="8590"/>
    <n v="-5"/>
    <n v="68"/>
    <n v="63"/>
    <n v="17"/>
    <n v="24"/>
    <x v="23"/>
    <n v="17"/>
    <n v="2"/>
    <n v="61"/>
    <n v="0.2"/>
    <n v="0"/>
    <n v="0"/>
  </r>
  <r>
    <x v="8591"/>
    <n v="2"/>
    <n v="61"/>
    <n v="63"/>
    <n v="17"/>
    <n v="34"/>
    <x v="45"/>
    <n v="19"/>
    <n v="17"/>
    <n v="44"/>
    <n v="1.7000000000000002"/>
    <n v="0"/>
    <n v="0"/>
  </r>
  <r>
    <x v="8592"/>
    <n v="17"/>
    <n v="44"/>
    <n v="61"/>
    <n v="19"/>
    <n v="10"/>
    <x v="12"/>
    <n v="17"/>
    <n v="10"/>
    <n v="53"/>
    <n v="1"/>
    <n v="0"/>
    <n v="0"/>
  </r>
  <r>
    <x v="8593"/>
    <n v="10"/>
    <n v="53"/>
    <n v="63"/>
    <n v="17"/>
    <n v="17"/>
    <x v="12"/>
    <n v="23"/>
    <n v="4"/>
    <n v="53"/>
    <n v="0.4"/>
    <n v="0"/>
    <n v="0"/>
  </r>
  <r>
    <x v="8594"/>
    <n v="4"/>
    <n v="53"/>
    <n v="57"/>
    <n v="23"/>
    <n v="17"/>
    <x v="5"/>
    <n v="22"/>
    <n v="-1"/>
    <n v="59"/>
    <n v="0"/>
    <n v="1"/>
    <n v="1"/>
  </r>
  <r>
    <x v="8595"/>
    <n v="-1"/>
    <n v="59"/>
    <n v="58"/>
    <n v="22"/>
    <n v="19"/>
    <x v="33"/>
    <n v="16"/>
    <n v="2"/>
    <n v="62"/>
    <n v="0.2"/>
    <n v="0"/>
    <n v="0"/>
  </r>
  <r>
    <x v="8596"/>
    <n v="2"/>
    <n v="62"/>
    <n v="64"/>
    <n v="16"/>
    <n v="17"/>
    <x v="23"/>
    <n v="15"/>
    <n v="4"/>
    <n v="61"/>
    <n v="0.4"/>
    <n v="0"/>
    <n v="0"/>
  </r>
  <r>
    <x v="8597"/>
    <n v="4"/>
    <n v="61"/>
    <n v="65"/>
    <n v="15"/>
    <n v="23"/>
    <x v="12"/>
    <n v="8"/>
    <n v="19"/>
    <n v="53"/>
    <n v="1.9000000000000001"/>
    <n v="0"/>
    <n v="0"/>
  </r>
  <r>
    <x v="8598"/>
    <n v="19"/>
    <n v="53"/>
    <n v="72"/>
    <n v="8"/>
    <n v="22"/>
    <x v="34"/>
    <n v="5"/>
    <n v="36"/>
    <n v="39"/>
    <n v="3.6"/>
    <n v="0"/>
    <n v="0"/>
  </r>
  <r>
    <x v="8599"/>
    <n v="36"/>
    <n v="39"/>
    <n v="75"/>
    <n v="5"/>
    <n v="16"/>
    <x v="58"/>
    <n v="20"/>
    <n v="32"/>
    <n v="28"/>
    <n v="3.2"/>
    <n v="0"/>
    <n v="0"/>
  </r>
  <r>
    <x v="8600"/>
    <n v="32"/>
    <n v="28"/>
    <n v="60"/>
    <n v="20"/>
    <n v="15"/>
    <x v="59"/>
    <n v="22"/>
    <n v="25"/>
    <n v="33"/>
    <n v="2.5"/>
    <n v="0"/>
    <n v="0"/>
  </r>
  <r>
    <x v="8601"/>
    <n v="25"/>
    <n v="33"/>
    <n v="58"/>
    <n v="22"/>
    <n v="8"/>
    <x v="14"/>
    <n v="30"/>
    <n v="3"/>
    <n v="47"/>
    <n v="0.30000000000000004"/>
    <n v="0"/>
    <n v="0"/>
  </r>
  <r>
    <x v="8602"/>
    <n v="3"/>
    <n v="47"/>
    <n v="50"/>
    <n v="30"/>
    <n v="5"/>
    <x v="29"/>
    <n v="14"/>
    <n v="-6"/>
    <n v="72"/>
    <n v="0"/>
    <n v="1"/>
    <n v="6"/>
  </r>
  <r>
    <x v="8603"/>
    <n v="-6"/>
    <n v="72"/>
    <n v="66"/>
    <n v="14"/>
    <n v="20"/>
    <x v="7"/>
    <n v="20"/>
    <n v="-6"/>
    <n v="66"/>
    <n v="0"/>
    <n v="1"/>
    <n v="6"/>
  </r>
  <r>
    <x v="8604"/>
    <n v="-6"/>
    <n v="66"/>
    <n v="60"/>
    <n v="20"/>
    <n v="22"/>
    <x v="8"/>
    <n v="15"/>
    <n v="1"/>
    <n v="64"/>
    <n v="0.1"/>
    <n v="0"/>
    <n v="0"/>
  </r>
  <r>
    <x v="8605"/>
    <n v="1"/>
    <n v="64"/>
    <n v="65"/>
    <n v="15"/>
    <n v="30"/>
    <x v="10"/>
    <n v="25"/>
    <n v="6"/>
    <n v="49"/>
    <n v="0.60000000000000009"/>
    <n v="0"/>
    <n v="0"/>
  </r>
  <r>
    <x v="8606"/>
    <n v="6"/>
    <n v="49"/>
    <n v="55"/>
    <n v="25"/>
    <n v="14"/>
    <x v="4"/>
    <n v="17"/>
    <n v="3"/>
    <n v="60"/>
    <n v="0.30000000000000004"/>
    <n v="0"/>
    <n v="0"/>
  </r>
  <r>
    <x v="8607"/>
    <n v="3"/>
    <n v="60"/>
    <n v="63"/>
    <n v="17"/>
    <n v="20"/>
    <x v="24"/>
    <n v="21"/>
    <n v="2"/>
    <n v="57"/>
    <n v="0.2"/>
    <n v="0"/>
    <n v="0"/>
  </r>
  <r>
    <x v="8608"/>
    <n v="2"/>
    <n v="57"/>
    <n v="59"/>
    <n v="21"/>
    <n v="15"/>
    <x v="22"/>
    <n v="15"/>
    <n v="2"/>
    <n v="63"/>
    <n v="0.2"/>
    <n v="0"/>
    <n v="0"/>
  </r>
  <r>
    <x v="8609"/>
    <n v="2"/>
    <n v="63"/>
    <n v="65"/>
    <n v="15"/>
    <n v="25"/>
    <x v="12"/>
    <n v="28"/>
    <n v="-1"/>
    <n v="53"/>
    <n v="0"/>
    <n v="1"/>
    <n v="1"/>
  </r>
  <r>
    <x v="8610"/>
    <n v="-1"/>
    <n v="53"/>
    <n v="52"/>
    <n v="28"/>
    <n v="17"/>
    <x v="8"/>
    <n v="19"/>
    <n v="-3"/>
    <n v="64"/>
    <n v="0"/>
    <n v="1"/>
    <n v="3"/>
  </r>
  <r>
    <x v="8611"/>
    <n v="-3"/>
    <n v="64"/>
    <n v="61"/>
    <n v="19"/>
    <n v="21"/>
    <x v="33"/>
    <n v="23"/>
    <n v="-5"/>
    <n v="62"/>
    <n v="0"/>
    <n v="1"/>
    <n v="5"/>
  </r>
  <r>
    <x v="8612"/>
    <n v="-5"/>
    <n v="62"/>
    <n v="57"/>
    <n v="23"/>
    <n v="15"/>
    <x v="6"/>
    <n v="22"/>
    <n v="-12"/>
    <n v="70"/>
    <n v="0"/>
    <n v="1"/>
    <n v="12"/>
  </r>
  <r>
    <x v="8613"/>
    <n v="-12"/>
    <n v="70"/>
    <n v="58"/>
    <n v="22"/>
    <n v="28"/>
    <x v="8"/>
    <n v="16"/>
    <n v="0"/>
    <n v="64"/>
    <n v="0"/>
    <n v="0"/>
    <n v="0"/>
  </r>
  <r>
    <x v="8614"/>
    <n v="0"/>
    <n v="64"/>
    <n v="64"/>
    <n v="16"/>
    <n v="19"/>
    <x v="23"/>
    <n v="16"/>
    <n v="3"/>
    <n v="61"/>
    <n v="0.30000000000000004"/>
    <n v="0"/>
    <n v="0"/>
  </r>
  <r>
    <x v="8615"/>
    <n v="3"/>
    <n v="61"/>
    <n v="64"/>
    <n v="16"/>
    <n v="23"/>
    <x v="16"/>
    <n v="19"/>
    <n v="7"/>
    <n v="54"/>
    <n v="0.70000000000000007"/>
    <n v="0"/>
    <n v="0"/>
  </r>
  <r>
    <x v="8616"/>
    <n v="7"/>
    <n v="54"/>
    <n v="61"/>
    <n v="19"/>
    <n v="22"/>
    <x v="9"/>
    <n v="26"/>
    <n v="3"/>
    <n v="51"/>
    <n v="0.30000000000000004"/>
    <n v="0"/>
    <n v="0"/>
  </r>
  <r>
    <x v="8617"/>
    <n v="3"/>
    <n v="51"/>
    <n v="54"/>
    <n v="26"/>
    <n v="16"/>
    <x v="23"/>
    <n v="23"/>
    <n v="-4"/>
    <n v="61"/>
    <n v="0"/>
    <n v="1"/>
    <n v="4"/>
  </r>
  <r>
    <x v="8618"/>
    <n v="-4"/>
    <n v="61"/>
    <n v="57"/>
    <n v="23"/>
    <n v="16"/>
    <x v="17"/>
    <n v="16"/>
    <n v="-4"/>
    <n v="68"/>
    <n v="0"/>
    <n v="1"/>
    <n v="4"/>
  </r>
  <r>
    <x v="8619"/>
    <n v="-4"/>
    <n v="68"/>
    <n v="64"/>
    <n v="16"/>
    <n v="19"/>
    <x v="26"/>
    <n v="19"/>
    <n v="-4"/>
    <n v="65"/>
    <n v="0"/>
    <n v="1"/>
    <n v="4"/>
  </r>
  <r>
    <x v="8620"/>
    <n v="-4"/>
    <n v="65"/>
    <n v="61"/>
    <n v="19"/>
    <n v="26"/>
    <x v="28"/>
    <n v="21"/>
    <n v="1"/>
    <n v="58"/>
    <n v="0.1"/>
    <n v="0"/>
    <n v="0"/>
  </r>
  <r>
    <x v="8621"/>
    <n v="1"/>
    <n v="58"/>
    <n v="59"/>
    <n v="21"/>
    <n v="23"/>
    <x v="32"/>
    <n v="21"/>
    <n v="3"/>
    <n v="56"/>
    <n v="0.30000000000000004"/>
    <n v="0"/>
    <n v="0"/>
  </r>
  <r>
    <x v="8622"/>
    <n v="3"/>
    <n v="56"/>
    <n v="59"/>
    <n v="21"/>
    <n v="16"/>
    <x v="23"/>
    <n v="20"/>
    <n v="-1"/>
    <n v="61"/>
    <n v="0"/>
    <n v="1"/>
    <n v="1"/>
  </r>
  <r>
    <x v="8623"/>
    <n v="-1"/>
    <n v="61"/>
    <n v="60"/>
    <n v="20"/>
    <n v="19"/>
    <x v="33"/>
    <n v="19"/>
    <n v="-1"/>
    <n v="62"/>
    <n v="0"/>
    <n v="1"/>
    <n v="1"/>
  </r>
  <r>
    <x v="8624"/>
    <n v="-1"/>
    <n v="62"/>
    <n v="61"/>
    <n v="19"/>
    <n v="21"/>
    <x v="4"/>
    <n v="24"/>
    <n v="-4"/>
    <n v="60"/>
    <n v="0"/>
    <n v="1"/>
    <n v="4"/>
  </r>
  <r>
    <x v="8625"/>
    <n v="-4"/>
    <n v="60"/>
    <n v="56"/>
    <n v="24"/>
    <n v="21"/>
    <x v="22"/>
    <n v="23"/>
    <n v="-6"/>
    <n v="63"/>
    <n v="0"/>
    <n v="1"/>
    <n v="6"/>
  </r>
  <r>
    <x v="8626"/>
    <n v="-6"/>
    <n v="63"/>
    <n v="57"/>
    <n v="23"/>
    <n v="20"/>
    <x v="7"/>
    <n v="26"/>
    <n v="-12"/>
    <n v="66"/>
    <n v="0"/>
    <n v="1"/>
    <n v="12"/>
  </r>
  <r>
    <x v="8627"/>
    <n v="-12"/>
    <n v="66"/>
    <n v="54"/>
    <n v="26"/>
    <n v="19"/>
    <x v="31"/>
    <n v="27"/>
    <n v="-20"/>
    <n v="73"/>
    <n v="0"/>
    <n v="1"/>
    <n v="20"/>
  </r>
  <r>
    <x v="8628"/>
    <n v="-20"/>
    <n v="73"/>
    <n v="53"/>
    <n v="27"/>
    <n v="24"/>
    <x v="37"/>
    <n v="18"/>
    <n v="-14"/>
    <n v="76"/>
    <n v="0"/>
    <n v="1"/>
    <n v="14"/>
  </r>
  <r>
    <x v="8629"/>
    <n v="-14"/>
    <n v="76"/>
    <n v="62"/>
    <n v="18"/>
    <n v="23"/>
    <x v="20"/>
    <n v="16"/>
    <n v="-7"/>
    <n v="71"/>
    <n v="0"/>
    <n v="1"/>
    <n v="7"/>
  </r>
  <r>
    <x v="8630"/>
    <n v="-7"/>
    <n v="71"/>
    <n v="64"/>
    <n v="16"/>
    <n v="26"/>
    <x v="23"/>
    <n v="17"/>
    <n v="2"/>
    <n v="61"/>
    <n v="0.2"/>
    <n v="0"/>
    <n v="0"/>
  </r>
  <r>
    <x v="8631"/>
    <n v="2"/>
    <n v="61"/>
    <n v="63"/>
    <n v="17"/>
    <n v="27"/>
    <x v="9"/>
    <n v="16"/>
    <n v="13"/>
    <n v="51"/>
    <n v="1.3"/>
    <n v="0"/>
    <n v="0"/>
  </r>
  <r>
    <x v="8632"/>
    <n v="13"/>
    <n v="51"/>
    <n v="64"/>
    <n v="16"/>
    <n v="18"/>
    <x v="10"/>
    <n v="30"/>
    <n v="1"/>
    <n v="49"/>
    <n v="0.1"/>
    <n v="0"/>
    <n v="0"/>
  </r>
  <r>
    <x v="8633"/>
    <n v="1"/>
    <n v="49"/>
    <n v="50"/>
    <n v="30"/>
    <n v="16"/>
    <x v="22"/>
    <n v="18"/>
    <n v="-1"/>
    <n v="63"/>
    <n v="0"/>
    <n v="1"/>
    <n v="1"/>
  </r>
  <r>
    <x v="8634"/>
    <n v="-1"/>
    <n v="63"/>
    <n v="62"/>
    <n v="18"/>
    <n v="17"/>
    <x v="8"/>
    <n v="16"/>
    <n v="0"/>
    <n v="64"/>
    <n v="0"/>
    <n v="0"/>
    <n v="0"/>
  </r>
  <r>
    <x v="8635"/>
    <n v="0"/>
    <n v="64"/>
    <n v="64"/>
    <n v="16"/>
    <n v="16"/>
    <x v="8"/>
    <n v="20"/>
    <n v="-4"/>
    <n v="64"/>
    <n v="0"/>
    <n v="1"/>
    <n v="4"/>
  </r>
  <r>
    <x v="8636"/>
    <n v="-4"/>
    <n v="64"/>
    <n v="60"/>
    <n v="20"/>
    <n v="30"/>
    <x v="16"/>
    <n v="25"/>
    <n v="1"/>
    <n v="54"/>
    <n v="0.1"/>
    <n v="0"/>
    <n v="0"/>
  </r>
  <r>
    <x v="8637"/>
    <n v="1"/>
    <n v="54"/>
    <n v="55"/>
    <n v="25"/>
    <n v="18"/>
    <x v="23"/>
    <n v="19"/>
    <n v="0"/>
    <n v="61"/>
    <n v="0"/>
    <n v="0"/>
    <n v="0"/>
  </r>
  <r>
    <x v="8638"/>
    <n v="0"/>
    <n v="61"/>
    <n v="61"/>
    <n v="19"/>
    <n v="16"/>
    <x v="8"/>
    <n v="17"/>
    <n v="-1"/>
    <n v="64"/>
    <n v="0"/>
    <n v="1"/>
    <n v="1"/>
  </r>
  <r>
    <x v="8639"/>
    <n v="-1"/>
    <n v="64"/>
    <n v="63"/>
    <n v="17"/>
    <n v="20"/>
    <x v="23"/>
    <n v="11"/>
    <n v="8"/>
    <n v="61"/>
    <n v="0.8"/>
    <n v="0"/>
    <n v="0"/>
  </r>
  <r>
    <x v="8640"/>
    <n v="8"/>
    <n v="61"/>
    <n v="69"/>
    <n v="11"/>
    <n v="25"/>
    <x v="14"/>
    <n v="20"/>
    <n v="13"/>
    <n v="47"/>
    <n v="1.3"/>
    <n v="0"/>
    <n v="0"/>
  </r>
  <r>
    <x v="8641"/>
    <n v="13"/>
    <n v="47"/>
    <n v="60"/>
    <n v="20"/>
    <n v="19"/>
    <x v="15"/>
    <n v="19"/>
    <n v="13"/>
    <n v="48"/>
    <n v="1.3"/>
    <n v="0"/>
    <n v="0"/>
  </r>
  <r>
    <x v="8642"/>
    <n v="13"/>
    <n v="48"/>
    <n v="61"/>
    <n v="19"/>
    <n v="17"/>
    <x v="13"/>
    <n v="21"/>
    <n v="9"/>
    <n v="50"/>
    <n v="0.9"/>
    <n v="0"/>
    <n v="0"/>
  </r>
  <r>
    <x v="8643"/>
    <n v="9"/>
    <n v="50"/>
    <n v="59"/>
    <n v="21"/>
    <n v="11"/>
    <x v="4"/>
    <n v="23"/>
    <n v="-3"/>
    <n v="60"/>
    <n v="0"/>
    <n v="1"/>
    <n v="3"/>
  </r>
  <r>
    <x v="8644"/>
    <n v="-3"/>
    <n v="60"/>
    <n v="57"/>
    <n v="23"/>
    <n v="20"/>
    <x v="22"/>
    <n v="17"/>
    <n v="0"/>
    <n v="63"/>
    <n v="0"/>
    <n v="0"/>
    <n v="0"/>
  </r>
  <r>
    <x v="8645"/>
    <n v="0"/>
    <n v="63"/>
    <n v="63"/>
    <n v="17"/>
    <n v="19"/>
    <x v="23"/>
    <n v="16"/>
    <n v="3"/>
    <n v="61"/>
    <n v="0.30000000000000004"/>
    <n v="0"/>
    <n v="0"/>
  </r>
  <r>
    <x v="8646"/>
    <n v="3"/>
    <n v="61"/>
    <n v="64"/>
    <n v="16"/>
    <n v="21"/>
    <x v="32"/>
    <n v="20"/>
    <n v="4"/>
    <n v="56"/>
    <n v="0.4"/>
    <n v="0"/>
    <n v="0"/>
  </r>
  <r>
    <x v="8647"/>
    <n v="4"/>
    <n v="56"/>
    <n v="60"/>
    <n v="20"/>
    <n v="23"/>
    <x v="12"/>
    <n v="30"/>
    <n v="-3"/>
    <n v="53"/>
    <n v="0"/>
    <n v="1"/>
    <n v="3"/>
  </r>
  <r>
    <x v="8648"/>
    <n v="-3"/>
    <n v="53"/>
    <n v="50"/>
    <n v="30"/>
    <n v="17"/>
    <x v="7"/>
    <n v="17"/>
    <n v="-3"/>
    <n v="66"/>
    <n v="0"/>
    <n v="1"/>
    <n v="3"/>
  </r>
  <r>
    <x v="8649"/>
    <n v="-3"/>
    <n v="66"/>
    <n v="63"/>
    <n v="17"/>
    <n v="16"/>
    <x v="21"/>
    <n v="22"/>
    <n v="-9"/>
    <n v="67"/>
    <n v="0"/>
    <n v="1"/>
    <n v="9"/>
  </r>
  <r>
    <x v="8650"/>
    <n v="-9"/>
    <n v="67"/>
    <n v="58"/>
    <n v="22"/>
    <n v="20"/>
    <x v="30"/>
    <n v="27"/>
    <n v="-16"/>
    <n v="69"/>
    <n v="0"/>
    <n v="1"/>
    <n v="16"/>
  </r>
  <r>
    <x v="8651"/>
    <n v="-16"/>
    <n v="69"/>
    <n v="53"/>
    <n v="27"/>
    <n v="30"/>
    <x v="7"/>
    <n v="18"/>
    <n v="-4"/>
    <n v="66"/>
    <n v="0"/>
    <n v="1"/>
    <n v="4"/>
  </r>
  <r>
    <x v="8652"/>
    <n v="-4"/>
    <n v="66"/>
    <n v="62"/>
    <n v="18"/>
    <n v="17"/>
    <x v="21"/>
    <n v="19"/>
    <n v="-6"/>
    <n v="67"/>
    <n v="0"/>
    <n v="1"/>
    <n v="6"/>
  </r>
  <r>
    <x v="8653"/>
    <n v="-6"/>
    <n v="67"/>
    <n v="61"/>
    <n v="19"/>
    <n v="22"/>
    <x v="8"/>
    <n v="14"/>
    <n v="2"/>
    <n v="64"/>
    <n v="0.2"/>
    <n v="0"/>
    <n v="0"/>
  </r>
  <r>
    <x v="8654"/>
    <n v="2"/>
    <n v="64"/>
    <n v="66"/>
    <n v="14"/>
    <n v="27"/>
    <x v="9"/>
    <n v="21"/>
    <n v="8"/>
    <n v="51"/>
    <n v="0.8"/>
    <n v="0"/>
    <n v="0"/>
  </r>
  <r>
    <x v="8655"/>
    <n v="8"/>
    <n v="51"/>
    <n v="59"/>
    <n v="21"/>
    <n v="18"/>
    <x v="16"/>
    <n v="24"/>
    <n v="2"/>
    <n v="54"/>
    <n v="0.2"/>
    <n v="0"/>
    <n v="0"/>
  </r>
  <r>
    <x v="8656"/>
    <n v="2"/>
    <n v="54"/>
    <n v="56"/>
    <n v="24"/>
    <n v="19"/>
    <x v="5"/>
    <n v="25"/>
    <n v="-4"/>
    <n v="59"/>
    <n v="0"/>
    <n v="1"/>
    <n v="4"/>
  </r>
  <r>
    <x v="8657"/>
    <n v="-4"/>
    <n v="59"/>
    <n v="55"/>
    <n v="25"/>
    <n v="14"/>
    <x v="6"/>
    <n v="22"/>
    <n v="-12"/>
    <n v="70"/>
    <n v="0"/>
    <n v="1"/>
    <n v="12"/>
  </r>
  <r>
    <x v="8658"/>
    <n v="-12"/>
    <n v="70"/>
    <n v="58"/>
    <n v="22"/>
    <n v="21"/>
    <x v="20"/>
    <n v="12"/>
    <n v="-3"/>
    <n v="71"/>
    <n v="0"/>
    <n v="1"/>
    <n v="3"/>
  </r>
  <r>
    <x v="8659"/>
    <n v="-3"/>
    <n v="71"/>
    <n v="68"/>
    <n v="12"/>
    <n v="24"/>
    <x v="5"/>
    <n v="24"/>
    <n v="-3"/>
    <n v="59"/>
    <n v="0"/>
    <n v="1"/>
    <n v="3"/>
  </r>
  <r>
    <x v="8660"/>
    <n v="-3"/>
    <n v="59"/>
    <n v="56"/>
    <n v="24"/>
    <n v="25"/>
    <x v="28"/>
    <n v="11"/>
    <n v="11"/>
    <n v="58"/>
    <n v="1.1000000000000001"/>
    <n v="0"/>
    <n v="0"/>
  </r>
  <r>
    <x v="8661"/>
    <n v="11"/>
    <n v="58"/>
    <n v="69"/>
    <n v="11"/>
    <n v="22"/>
    <x v="14"/>
    <n v="28"/>
    <n v="5"/>
    <n v="47"/>
    <n v="0.5"/>
    <n v="0"/>
    <n v="0"/>
  </r>
  <r>
    <x v="8662"/>
    <n v="5"/>
    <n v="47"/>
    <n v="52"/>
    <n v="28"/>
    <n v="12"/>
    <x v="22"/>
    <n v="14"/>
    <n v="3"/>
    <n v="63"/>
    <n v="0.30000000000000004"/>
    <n v="0"/>
    <n v="0"/>
  </r>
  <r>
    <x v="8663"/>
    <n v="3"/>
    <n v="63"/>
    <n v="66"/>
    <n v="14"/>
    <n v="24"/>
    <x v="12"/>
    <n v="16"/>
    <n v="11"/>
    <n v="53"/>
    <n v="1.1000000000000001"/>
    <n v="0"/>
    <n v="0"/>
  </r>
  <r>
    <x v="8664"/>
    <n v="11"/>
    <n v="53"/>
    <n v="64"/>
    <n v="16"/>
    <n v="11"/>
    <x v="28"/>
    <n v="21"/>
    <n v="1"/>
    <n v="58"/>
    <n v="0.1"/>
    <n v="0"/>
    <n v="0"/>
  </r>
  <r>
    <x v="8665"/>
    <n v="1"/>
    <n v="58"/>
    <n v="59"/>
    <n v="21"/>
    <n v="28"/>
    <x v="9"/>
    <n v="19"/>
    <n v="10"/>
    <n v="51"/>
    <n v="1"/>
    <n v="0"/>
    <n v="0"/>
  </r>
  <r>
    <x v="8666"/>
    <n v="10"/>
    <n v="51"/>
    <n v="61"/>
    <n v="19"/>
    <n v="14"/>
    <x v="32"/>
    <n v="19"/>
    <n v="5"/>
    <n v="56"/>
    <n v="0.5"/>
    <n v="0"/>
    <n v="0"/>
  </r>
  <r>
    <x v="8667"/>
    <n v="5"/>
    <n v="56"/>
    <n v="61"/>
    <n v="19"/>
    <n v="16"/>
    <x v="5"/>
    <n v="18"/>
    <n v="3"/>
    <n v="59"/>
    <n v="0.30000000000000004"/>
    <n v="0"/>
    <n v="0"/>
  </r>
  <r>
    <x v="8668"/>
    <n v="3"/>
    <n v="59"/>
    <n v="62"/>
    <n v="18"/>
    <n v="21"/>
    <x v="32"/>
    <n v="14"/>
    <n v="10"/>
    <n v="56"/>
    <n v="1"/>
    <n v="0"/>
    <n v="0"/>
  </r>
  <r>
    <x v="8669"/>
    <n v="10"/>
    <n v="56"/>
    <n v="66"/>
    <n v="14"/>
    <n v="19"/>
    <x v="9"/>
    <n v="16"/>
    <n v="13"/>
    <n v="51"/>
    <n v="1.3"/>
    <n v="0"/>
    <n v="0"/>
  </r>
  <r>
    <x v="8670"/>
    <n v="13"/>
    <n v="51"/>
    <n v="64"/>
    <n v="16"/>
    <n v="19"/>
    <x v="15"/>
    <n v="26"/>
    <n v="6"/>
    <n v="48"/>
    <n v="0.60000000000000009"/>
    <n v="0"/>
    <n v="0"/>
  </r>
  <r>
    <x v="8671"/>
    <n v="6"/>
    <n v="48"/>
    <n v="54"/>
    <n v="26"/>
    <n v="18"/>
    <x v="32"/>
    <n v="20"/>
    <n v="4"/>
    <n v="56"/>
    <n v="0.4"/>
    <n v="0"/>
    <n v="0"/>
  </r>
  <r>
    <x v="8672"/>
    <n v="4"/>
    <n v="56"/>
    <n v="60"/>
    <n v="20"/>
    <n v="14"/>
    <x v="33"/>
    <n v="23"/>
    <n v="-5"/>
    <n v="62"/>
    <n v="0"/>
    <n v="1"/>
    <n v="5"/>
  </r>
  <r>
    <x v="8673"/>
    <n v="-5"/>
    <n v="62"/>
    <n v="57"/>
    <n v="23"/>
    <n v="16"/>
    <x v="30"/>
    <n v="21"/>
    <n v="-10"/>
    <n v="69"/>
    <n v="0"/>
    <n v="1"/>
    <n v="10"/>
  </r>
  <r>
    <x v="8674"/>
    <n v="-10"/>
    <n v="69"/>
    <n v="59"/>
    <n v="21"/>
    <n v="26"/>
    <x v="8"/>
    <n v="25"/>
    <n v="-9"/>
    <n v="64"/>
    <n v="0"/>
    <n v="1"/>
    <n v="9"/>
  </r>
  <r>
    <x v="8675"/>
    <n v="-9"/>
    <n v="64"/>
    <n v="55"/>
    <n v="25"/>
    <n v="20"/>
    <x v="30"/>
    <n v="15"/>
    <n v="-4"/>
    <n v="69"/>
    <n v="0"/>
    <n v="1"/>
    <n v="4"/>
  </r>
  <r>
    <x v="8676"/>
    <n v="-4"/>
    <n v="69"/>
    <n v="65"/>
    <n v="15"/>
    <n v="23"/>
    <x v="23"/>
    <n v="23"/>
    <n v="-4"/>
    <n v="61"/>
    <n v="0"/>
    <n v="1"/>
    <n v="4"/>
  </r>
  <r>
    <x v="8677"/>
    <n v="-4"/>
    <n v="61"/>
    <n v="57"/>
    <n v="23"/>
    <n v="21"/>
    <x v="22"/>
    <n v="21"/>
    <n v="-4"/>
    <n v="63"/>
    <n v="0"/>
    <n v="1"/>
    <n v="4"/>
  </r>
  <r>
    <x v="8678"/>
    <n v="-4"/>
    <n v="63"/>
    <n v="59"/>
    <n v="21"/>
    <n v="25"/>
    <x v="5"/>
    <n v="19"/>
    <n v="2"/>
    <n v="59"/>
    <n v="0.2"/>
    <n v="0"/>
    <n v="0"/>
  </r>
  <r>
    <x v="8679"/>
    <n v="2"/>
    <n v="59"/>
    <n v="61"/>
    <n v="19"/>
    <n v="15"/>
    <x v="22"/>
    <n v="18"/>
    <n v="-1"/>
    <n v="63"/>
    <n v="0"/>
    <n v="1"/>
    <n v="1"/>
  </r>
  <r>
    <x v="8680"/>
    <n v="-1"/>
    <n v="63"/>
    <n v="62"/>
    <n v="18"/>
    <n v="23"/>
    <x v="28"/>
    <n v="21"/>
    <n v="1"/>
    <n v="58"/>
    <n v="0.1"/>
    <n v="0"/>
    <n v="0"/>
  </r>
  <r>
    <x v="8681"/>
    <n v="1"/>
    <n v="58"/>
    <n v="59"/>
    <n v="21"/>
    <n v="21"/>
    <x v="28"/>
    <n v="30"/>
    <n v="-8"/>
    <n v="58"/>
    <n v="0"/>
    <n v="1"/>
    <n v="8"/>
  </r>
  <r>
    <x v="8682"/>
    <n v="-8"/>
    <n v="58"/>
    <n v="50"/>
    <n v="30"/>
    <n v="19"/>
    <x v="30"/>
    <n v="17"/>
    <n v="-6"/>
    <n v="69"/>
    <n v="0"/>
    <n v="1"/>
    <n v="6"/>
  </r>
  <r>
    <x v="8683"/>
    <n v="-6"/>
    <n v="69"/>
    <n v="63"/>
    <n v="17"/>
    <n v="18"/>
    <x v="17"/>
    <n v="29"/>
    <n v="-17"/>
    <n v="68"/>
    <n v="0"/>
    <n v="1"/>
    <n v="17"/>
  </r>
  <r>
    <x v="8684"/>
    <n v="-17"/>
    <n v="68"/>
    <n v="51"/>
    <n v="29"/>
    <n v="21"/>
    <x v="37"/>
    <n v="21"/>
    <n v="-17"/>
    <n v="76"/>
    <n v="0"/>
    <n v="1"/>
    <n v="17"/>
  </r>
  <r>
    <x v="8685"/>
    <n v="-17"/>
    <n v="76"/>
    <n v="59"/>
    <n v="21"/>
    <n v="30"/>
    <x v="21"/>
    <n v="16"/>
    <n v="-3"/>
    <n v="67"/>
    <n v="0"/>
    <n v="1"/>
    <n v="3"/>
  </r>
  <r>
    <x v="8686"/>
    <n v="-3"/>
    <n v="67"/>
    <n v="64"/>
    <n v="16"/>
    <n v="17"/>
    <x v="7"/>
    <n v="22"/>
    <n v="-8"/>
    <n v="66"/>
    <n v="0"/>
    <n v="1"/>
    <n v="8"/>
  </r>
  <r>
    <x v="8687"/>
    <n v="-8"/>
    <n v="66"/>
    <n v="58"/>
    <n v="22"/>
    <n v="29"/>
    <x v="5"/>
    <n v="18"/>
    <n v="3"/>
    <n v="59"/>
    <n v="0.30000000000000004"/>
    <n v="0"/>
    <n v="0"/>
  </r>
  <r>
    <x v="8688"/>
    <n v="3"/>
    <n v="59"/>
    <n v="62"/>
    <n v="18"/>
    <n v="21"/>
    <x v="32"/>
    <n v="26"/>
    <n v="-2"/>
    <n v="56"/>
    <n v="0"/>
    <n v="1"/>
    <n v="2"/>
  </r>
  <r>
    <x v="8689"/>
    <n v="-2"/>
    <n v="56"/>
    <n v="54"/>
    <n v="26"/>
    <n v="16"/>
    <x v="7"/>
    <n v="23"/>
    <n v="-9"/>
    <n v="66"/>
    <n v="0"/>
    <n v="1"/>
    <n v="9"/>
  </r>
  <r>
    <x v="8690"/>
    <n v="-9"/>
    <n v="66"/>
    <n v="57"/>
    <n v="23"/>
    <n v="22"/>
    <x v="21"/>
    <n v="16"/>
    <n v="-3"/>
    <n v="67"/>
    <n v="0"/>
    <n v="1"/>
    <n v="3"/>
  </r>
  <r>
    <x v="8691"/>
    <n v="-3"/>
    <n v="67"/>
    <n v="64"/>
    <n v="16"/>
    <n v="18"/>
    <x v="26"/>
    <n v="17"/>
    <n v="-2"/>
    <n v="65"/>
    <n v="0"/>
    <n v="1"/>
    <n v="2"/>
  </r>
  <r>
    <x v="8692"/>
    <n v="-2"/>
    <n v="65"/>
    <n v="63"/>
    <n v="17"/>
    <n v="26"/>
    <x v="32"/>
    <n v="26"/>
    <n v="-2"/>
    <n v="56"/>
    <n v="0"/>
    <n v="1"/>
    <n v="2"/>
  </r>
  <r>
    <x v="8693"/>
    <n v="-2"/>
    <n v="56"/>
    <n v="54"/>
    <n v="26"/>
    <n v="23"/>
    <x v="5"/>
    <n v="33"/>
    <n v="-12"/>
    <n v="59"/>
    <n v="0"/>
    <n v="1"/>
    <n v="12"/>
  </r>
  <r>
    <x v="8694"/>
    <n v="-12"/>
    <n v="59"/>
    <n v="47"/>
    <n v="33"/>
    <n v="16"/>
    <x v="37"/>
    <n v="28"/>
    <n v="-24"/>
    <n v="76"/>
    <n v="0"/>
    <n v="1"/>
    <n v="24"/>
  </r>
  <r>
    <x v="8695"/>
    <n v="-24"/>
    <n v="76"/>
    <n v="52"/>
    <n v="28"/>
    <n v="17"/>
    <x v="50"/>
    <n v="16"/>
    <n v="-23"/>
    <n v="87"/>
    <n v="0"/>
    <n v="1"/>
    <n v="16"/>
  </r>
  <r>
    <x v="8696"/>
    <n v="-23"/>
    <n v="87"/>
    <n v="64"/>
    <n v="16"/>
    <n v="26"/>
    <x v="18"/>
    <n v="19"/>
    <n v="-16"/>
    <n v="77"/>
    <n v="0"/>
    <n v="1"/>
    <n v="16"/>
  </r>
  <r>
    <x v="8697"/>
    <n v="-16"/>
    <n v="77"/>
    <n v="61"/>
    <n v="19"/>
    <n v="33"/>
    <x v="22"/>
    <n v="26"/>
    <n v="-9"/>
    <n v="63"/>
    <n v="0"/>
    <n v="1"/>
    <n v="9"/>
  </r>
  <r>
    <x v="8698"/>
    <n v="-9"/>
    <n v="63"/>
    <n v="54"/>
    <n v="26"/>
    <n v="28"/>
    <x v="23"/>
    <n v="18"/>
    <n v="1"/>
    <n v="61"/>
    <n v="0.1"/>
    <n v="0"/>
    <n v="0"/>
  </r>
  <r>
    <x v="8699"/>
    <n v="1"/>
    <n v="61"/>
    <n v="62"/>
    <n v="18"/>
    <n v="16"/>
    <x v="22"/>
    <n v="14"/>
    <n v="3"/>
    <n v="63"/>
    <n v="0.30000000000000004"/>
    <n v="0"/>
    <n v="0"/>
  </r>
  <r>
    <x v="8700"/>
    <n v="3"/>
    <n v="63"/>
    <n v="66"/>
    <n v="14"/>
    <n v="19"/>
    <x v="28"/>
    <n v="18"/>
    <n v="4"/>
    <n v="58"/>
    <n v="0.4"/>
    <n v="0"/>
    <n v="0"/>
  </r>
  <r>
    <x v="8701"/>
    <n v="4"/>
    <n v="58"/>
    <n v="62"/>
    <n v="18"/>
    <n v="26"/>
    <x v="13"/>
    <n v="25"/>
    <n v="5"/>
    <n v="50"/>
    <n v="0.5"/>
    <n v="0"/>
    <n v="0"/>
  </r>
  <r>
    <x v="8702"/>
    <n v="5"/>
    <n v="50"/>
    <n v="55"/>
    <n v="25"/>
    <n v="18"/>
    <x v="24"/>
    <n v="22"/>
    <n v="1"/>
    <n v="57"/>
    <n v="0.1"/>
    <n v="0"/>
    <n v="0"/>
  </r>
  <r>
    <x v="8703"/>
    <n v="1"/>
    <n v="57"/>
    <n v="58"/>
    <n v="22"/>
    <n v="14"/>
    <x v="26"/>
    <n v="10"/>
    <n v="5"/>
    <n v="65"/>
    <n v="0.5"/>
    <n v="0"/>
    <n v="0"/>
  </r>
  <r>
    <x v="8704"/>
    <n v="5"/>
    <n v="65"/>
    <n v="70"/>
    <n v="10"/>
    <n v="18"/>
    <x v="24"/>
    <n v="11"/>
    <n v="12"/>
    <n v="57"/>
    <n v="1.2000000000000002"/>
    <n v="0"/>
    <n v="0"/>
  </r>
  <r>
    <x v="8705"/>
    <n v="12"/>
    <n v="57"/>
    <n v="69"/>
    <n v="11"/>
    <n v="25"/>
    <x v="51"/>
    <n v="19"/>
    <n v="18"/>
    <n v="43"/>
    <n v="1.8"/>
    <n v="0"/>
    <n v="0"/>
  </r>
  <r>
    <x v="8706"/>
    <n v="18"/>
    <n v="43"/>
    <n v="61"/>
    <n v="19"/>
    <n v="22"/>
    <x v="46"/>
    <n v="23"/>
    <n v="17"/>
    <n v="40"/>
    <n v="1.7000000000000002"/>
    <n v="0"/>
    <n v="0"/>
  </r>
  <r>
    <x v="8707"/>
    <n v="17"/>
    <n v="40"/>
    <n v="57"/>
    <n v="23"/>
    <n v="10"/>
    <x v="12"/>
    <n v="15"/>
    <n v="12"/>
    <n v="53"/>
    <n v="1.2000000000000002"/>
    <n v="0"/>
    <n v="0"/>
  </r>
  <r>
    <x v="8708"/>
    <n v="12"/>
    <n v="53"/>
    <n v="65"/>
    <n v="15"/>
    <n v="11"/>
    <x v="24"/>
    <n v="16"/>
    <n v="7"/>
    <n v="57"/>
    <n v="0.70000000000000007"/>
    <n v="0"/>
    <n v="0"/>
  </r>
  <r>
    <x v="8709"/>
    <n v="7"/>
    <n v="57"/>
    <n v="64"/>
    <n v="16"/>
    <n v="19"/>
    <x v="16"/>
    <n v="21"/>
    <n v="5"/>
    <n v="54"/>
    <n v="0.5"/>
    <n v="0"/>
    <n v="0"/>
  </r>
  <r>
    <x v="8710"/>
    <n v="5"/>
    <n v="54"/>
    <n v="59"/>
    <n v="21"/>
    <n v="23"/>
    <x v="25"/>
    <n v="16"/>
    <n v="12"/>
    <n v="52"/>
    <n v="1.2000000000000002"/>
    <n v="0"/>
    <n v="0"/>
  </r>
  <r>
    <x v="8711"/>
    <n v="12"/>
    <n v="52"/>
    <n v="64"/>
    <n v="16"/>
    <n v="15"/>
    <x v="12"/>
    <n v="16"/>
    <n v="11"/>
    <n v="53"/>
    <n v="1.1000000000000001"/>
    <n v="0"/>
    <n v="0"/>
  </r>
  <r>
    <x v="8712"/>
    <n v="11"/>
    <n v="53"/>
    <n v="64"/>
    <n v="16"/>
    <n v="16"/>
    <x v="12"/>
    <n v="17"/>
    <n v="10"/>
    <n v="53"/>
    <n v="1"/>
    <n v="0"/>
    <n v="0"/>
  </r>
  <r>
    <x v="8713"/>
    <n v="10"/>
    <n v="53"/>
    <n v="63"/>
    <n v="17"/>
    <n v="21"/>
    <x v="10"/>
    <n v="28"/>
    <n v="3"/>
    <n v="49"/>
    <n v="0.30000000000000004"/>
    <n v="0"/>
    <n v="0"/>
  </r>
  <r>
    <x v="8714"/>
    <n v="3"/>
    <n v="49"/>
    <n v="52"/>
    <n v="28"/>
    <n v="16"/>
    <x v="23"/>
    <n v="19"/>
    <n v="0"/>
    <n v="61"/>
    <n v="0"/>
    <n v="0"/>
    <n v="0"/>
  </r>
  <r>
    <x v="8715"/>
    <n v="0"/>
    <n v="61"/>
    <n v="61"/>
    <n v="19"/>
    <n v="16"/>
    <x v="8"/>
    <n v="25"/>
    <n v="-9"/>
    <n v="64"/>
    <n v="0"/>
    <n v="1"/>
    <n v="9"/>
  </r>
  <r>
    <x v="8716"/>
    <n v="-9"/>
    <n v="64"/>
    <n v="55"/>
    <n v="25"/>
    <n v="17"/>
    <x v="29"/>
    <n v="24"/>
    <n v="-16"/>
    <n v="72"/>
    <n v="0"/>
    <n v="1"/>
    <n v="16"/>
  </r>
  <r>
    <x v="8717"/>
    <n v="-16"/>
    <n v="72"/>
    <n v="56"/>
    <n v="24"/>
    <n v="28"/>
    <x v="17"/>
    <n v="20"/>
    <n v="-8"/>
    <n v="68"/>
    <n v="0"/>
    <n v="1"/>
    <n v="8"/>
  </r>
  <r>
    <x v="8718"/>
    <n v="-8"/>
    <n v="68"/>
    <n v="60"/>
    <n v="20"/>
    <n v="19"/>
    <x v="30"/>
    <n v="21"/>
    <n v="-10"/>
    <n v="69"/>
    <n v="0"/>
    <n v="1"/>
    <n v="10"/>
  </r>
  <r>
    <x v="8719"/>
    <n v="-10"/>
    <n v="69"/>
    <n v="59"/>
    <n v="21"/>
    <n v="25"/>
    <x v="26"/>
    <n v="24"/>
    <n v="-9"/>
    <n v="65"/>
    <n v="0"/>
    <n v="1"/>
    <n v="9"/>
  </r>
  <r>
    <x v="8720"/>
    <n v="-9"/>
    <n v="65"/>
    <n v="56"/>
    <n v="24"/>
    <n v="24"/>
    <x v="26"/>
    <n v="16"/>
    <n v="-1"/>
    <n v="65"/>
    <n v="0"/>
    <n v="1"/>
    <n v="1"/>
  </r>
  <r>
    <x v="8721"/>
    <n v="-1"/>
    <n v="65"/>
    <n v="64"/>
    <n v="16"/>
    <n v="20"/>
    <x v="23"/>
    <n v="20"/>
    <n v="-1"/>
    <n v="61"/>
    <n v="0"/>
    <n v="1"/>
    <n v="1"/>
  </r>
  <r>
    <x v="8722"/>
    <n v="-1"/>
    <n v="61"/>
    <n v="60"/>
    <n v="20"/>
    <n v="21"/>
    <x v="4"/>
    <n v="14"/>
    <n v="6"/>
    <n v="60"/>
    <n v="0.60000000000000009"/>
    <n v="0"/>
    <n v="0"/>
  </r>
  <r>
    <x v="8723"/>
    <n v="6"/>
    <n v="60"/>
    <n v="66"/>
    <n v="14"/>
    <n v="24"/>
    <x v="13"/>
    <n v="12"/>
    <n v="18"/>
    <n v="50"/>
    <n v="1.8"/>
    <n v="0"/>
    <n v="0"/>
  </r>
  <r>
    <x v="8724"/>
    <n v="18"/>
    <n v="50"/>
    <n v="68"/>
    <n v="12"/>
    <n v="16"/>
    <x v="38"/>
    <n v="19"/>
    <n v="15"/>
    <n v="46"/>
    <n v="1.5"/>
    <n v="0"/>
    <n v="0"/>
  </r>
  <r>
    <x v="8725"/>
    <n v="15"/>
    <n v="46"/>
    <n v="61"/>
    <n v="19"/>
    <n v="20"/>
    <x v="11"/>
    <n v="24"/>
    <n v="11"/>
    <n v="45"/>
    <n v="1.1000000000000001"/>
    <n v="0"/>
    <n v="0"/>
  </r>
  <r>
    <x v="8726"/>
    <n v="11"/>
    <n v="45"/>
    <n v="56"/>
    <n v="24"/>
    <n v="14"/>
    <x v="27"/>
    <n v="13"/>
    <n v="12"/>
    <n v="55"/>
    <n v="1.2000000000000002"/>
    <n v="0"/>
    <n v="0"/>
  </r>
  <r>
    <x v="8727"/>
    <n v="12"/>
    <n v="55"/>
    <n v="67"/>
    <n v="13"/>
    <n v="12"/>
    <x v="32"/>
    <n v="21"/>
    <n v="3"/>
    <n v="56"/>
    <n v="0.30000000000000004"/>
    <n v="0"/>
    <n v="0"/>
  </r>
  <r>
    <x v="8728"/>
    <n v="3"/>
    <n v="56"/>
    <n v="59"/>
    <n v="21"/>
    <n v="19"/>
    <x v="28"/>
    <n v="24"/>
    <n v="-2"/>
    <n v="58"/>
    <n v="0"/>
    <n v="1"/>
    <n v="2"/>
  </r>
  <r>
    <x v="8729"/>
    <n v="-2"/>
    <n v="58"/>
    <n v="56"/>
    <n v="24"/>
    <n v="24"/>
    <x v="28"/>
    <n v="30"/>
    <n v="-8"/>
    <n v="58"/>
    <n v="0"/>
    <n v="1"/>
    <n v="8"/>
  </r>
  <r>
    <x v="8730"/>
    <n v="-8"/>
    <n v="58"/>
    <n v="50"/>
    <n v="30"/>
    <n v="13"/>
    <x v="44"/>
    <n v="26"/>
    <n v="-21"/>
    <n v="75"/>
    <n v="0"/>
    <n v="1"/>
    <n v="21"/>
  </r>
  <r>
    <x v="8731"/>
    <n v="-21"/>
    <n v="75"/>
    <n v="54"/>
    <n v="26"/>
    <n v="21"/>
    <x v="0"/>
    <n v="23"/>
    <n v="-23"/>
    <n v="80"/>
    <n v="0"/>
    <n v="1"/>
    <n v="23"/>
  </r>
  <r>
    <x v="8732"/>
    <n v="-23"/>
    <n v="80"/>
    <n v="57"/>
    <n v="23"/>
    <n v="24"/>
    <x v="43"/>
    <n v="13"/>
    <n v="-12"/>
    <n v="79"/>
    <n v="0"/>
    <n v="1"/>
    <n v="12"/>
  </r>
  <r>
    <x v="8733"/>
    <n v="-12"/>
    <n v="79"/>
    <n v="67"/>
    <n v="13"/>
    <n v="30"/>
    <x v="33"/>
    <n v="20"/>
    <n v="-2"/>
    <n v="62"/>
    <n v="0"/>
    <n v="1"/>
    <n v="2"/>
  </r>
  <r>
    <x v="8734"/>
    <n v="-2"/>
    <n v="62"/>
    <n v="60"/>
    <n v="20"/>
    <n v="26"/>
    <x v="32"/>
    <n v="20"/>
    <n v="4"/>
    <n v="56"/>
    <n v="0.4"/>
    <n v="0"/>
    <n v="0"/>
  </r>
  <r>
    <x v="8735"/>
    <n v="4"/>
    <n v="56"/>
    <n v="60"/>
    <n v="20"/>
    <n v="23"/>
    <x v="12"/>
    <n v="24"/>
    <n v="3"/>
    <n v="53"/>
    <n v="0.30000000000000004"/>
    <n v="0"/>
    <n v="0"/>
  </r>
  <r>
    <x v="8736"/>
    <n v="3"/>
    <n v="53"/>
    <n v="56"/>
    <n v="24"/>
    <n v="13"/>
    <x v="8"/>
    <n v="30"/>
    <n v="-14"/>
    <n v="64"/>
    <n v="0"/>
    <n v="1"/>
    <n v="14"/>
  </r>
  <r>
    <x v="8737"/>
    <n v="-14"/>
    <n v="64"/>
    <n v="50"/>
    <n v="30"/>
    <n v="20"/>
    <x v="39"/>
    <n v="21"/>
    <n v="-15"/>
    <n v="74"/>
    <n v="0"/>
    <n v="1"/>
    <n v="15"/>
  </r>
  <r>
    <x v="8738"/>
    <n v="-15"/>
    <n v="74"/>
    <n v="59"/>
    <n v="21"/>
    <n v="20"/>
    <x v="44"/>
    <n v="18"/>
    <n v="-13"/>
    <n v="75"/>
    <n v="0"/>
    <n v="1"/>
    <n v="13"/>
  </r>
  <r>
    <x v="8739"/>
    <n v="-13"/>
    <n v="75"/>
    <n v="62"/>
    <n v="18"/>
    <n v="24"/>
    <x v="30"/>
    <n v="13"/>
    <n v="-2"/>
    <n v="69"/>
    <n v="0"/>
    <n v="1"/>
    <n v="2"/>
  </r>
  <r>
    <x v="8740"/>
    <n v="-2"/>
    <n v="69"/>
    <n v="67"/>
    <n v="13"/>
    <n v="30"/>
    <x v="25"/>
    <n v="18"/>
    <n v="10"/>
    <n v="52"/>
    <n v="1"/>
    <n v="0"/>
    <n v="0"/>
  </r>
  <r>
    <x v="8741"/>
    <n v="10"/>
    <n v="52"/>
    <n v="62"/>
    <n v="18"/>
    <n v="21"/>
    <x v="10"/>
    <n v="25"/>
    <n v="6"/>
    <n v="49"/>
    <n v="0.60000000000000009"/>
    <n v="0"/>
    <n v="0"/>
  </r>
  <r>
    <x v="8742"/>
    <n v="6"/>
    <n v="49"/>
    <n v="55"/>
    <n v="25"/>
    <n v="18"/>
    <x v="32"/>
    <n v="25"/>
    <n v="-1"/>
    <n v="56"/>
    <n v="0"/>
    <n v="1"/>
    <n v="1"/>
  </r>
  <r>
    <x v="8743"/>
    <n v="-1"/>
    <n v="56"/>
    <n v="55"/>
    <n v="25"/>
    <n v="13"/>
    <x v="17"/>
    <n v="20"/>
    <n v="-8"/>
    <n v="68"/>
    <n v="0"/>
    <n v="1"/>
    <n v="8"/>
  </r>
  <r>
    <x v="8744"/>
    <n v="-8"/>
    <n v="68"/>
    <n v="60"/>
    <n v="20"/>
    <n v="18"/>
    <x v="6"/>
    <n v="26"/>
    <n v="-16"/>
    <n v="70"/>
    <n v="0"/>
    <n v="1"/>
    <n v="16"/>
  </r>
  <r>
    <x v="8745"/>
    <n v="-16"/>
    <n v="70"/>
    <n v="54"/>
    <n v="26"/>
    <n v="25"/>
    <x v="20"/>
    <n v="19"/>
    <n v="-10"/>
    <n v="71"/>
    <n v="0"/>
    <n v="1"/>
    <n v="10"/>
  </r>
  <r>
    <x v="8746"/>
    <n v="-10"/>
    <n v="71"/>
    <n v="61"/>
    <n v="19"/>
    <n v="25"/>
    <x v="26"/>
    <n v="21"/>
    <n v="-6"/>
    <n v="65"/>
    <n v="0"/>
    <n v="1"/>
    <n v="6"/>
  </r>
  <r>
    <x v="8747"/>
    <n v="-6"/>
    <n v="65"/>
    <n v="59"/>
    <n v="21"/>
    <n v="20"/>
    <x v="7"/>
    <n v="18"/>
    <n v="-4"/>
    <n v="66"/>
    <n v="0"/>
    <n v="1"/>
    <n v="4"/>
  </r>
  <r>
    <x v="8748"/>
    <n v="-4"/>
    <n v="66"/>
    <n v="62"/>
    <n v="18"/>
    <n v="26"/>
    <x v="28"/>
    <n v="20"/>
    <n v="2"/>
    <n v="58"/>
    <n v="0.2"/>
    <n v="0"/>
    <n v="0"/>
  </r>
  <r>
    <x v="8749"/>
    <n v="2"/>
    <n v="58"/>
    <n v="60"/>
    <n v="20"/>
    <n v="19"/>
    <x v="5"/>
    <n v="26"/>
    <n v="-5"/>
    <n v="59"/>
    <n v="0"/>
    <n v="1"/>
    <n v="5"/>
  </r>
  <r>
    <x v="8750"/>
    <n v="-5"/>
    <n v="59"/>
    <n v="54"/>
    <n v="26"/>
    <n v="21"/>
    <x v="8"/>
    <n v="25"/>
    <n v="-9"/>
    <n v="64"/>
    <n v="0"/>
    <n v="1"/>
    <n v="9"/>
  </r>
  <r>
    <x v="8751"/>
    <n v="-9"/>
    <n v="64"/>
    <n v="55"/>
    <n v="25"/>
    <n v="18"/>
    <x v="20"/>
    <n v="18"/>
    <n v="-9"/>
    <n v="71"/>
    <n v="0"/>
    <n v="1"/>
    <n v="9"/>
  </r>
  <r>
    <x v="8752"/>
    <n v="-9"/>
    <n v="71"/>
    <n v="62"/>
    <n v="18"/>
    <n v="20"/>
    <x v="30"/>
    <n v="25"/>
    <n v="-14"/>
    <n v="69"/>
    <n v="0"/>
    <n v="1"/>
    <n v="14"/>
  </r>
  <r>
    <x v="8753"/>
    <n v="-14"/>
    <n v="69"/>
    <n v="55"/>
    <n v="25"/>
    <n v="26"/>
    <x v="17"/>
    <n v="21"/>
    <n v="-9"/>
    <n v="68"/>
    <n v="0"/>
    <n v="1"/>
    <n v="9"/>
  </r>
  <r>
    <x v="8754"/>
    <n v="-9"/>
    <n v="68"/>
    <n v="59"/>
    <n v="21"/>
    <n v="25"/>
    <x v="8"/>
    <n v="20"/>
    <n v="-4"/>
    <n v="64"/>
    <n v="0"/>
    <n v="1"/>
    <n v="4"/>
  </r>
  <r>
    <x v="8755"/>
    <n v="-4"/>
    <n v="64"/>
    <n v="60"/>
    <n v="20"/>
    <n v="18"/>
    <x v="7"/>
    <n v="24"/>
    <n v="-10"/>
    <n v="66"/>
    <n v="0"/>
    <n v="1"/>
    <n v="10"/>
  </r>
  <r>
    <x v="8756"/>
    <n v="-10"/>
    <n v="66"/>
    <n v="56"/>
    <n v="24"/>
    <n v="25"/>
    <x v="26"/>
    <n v="11"/>
    <n v="4"/>
    <n v="65"/>
    <n v="0.4"/>
    <n v="0"/>
    <n v="0"/>
  </r>
  <r>
    <x v="8757"/>
    <n v="4"/>
    <n v="65"/>
    <n v="69"/>
    <n v="11"/>
    <n v="21"/>
    <x v="27"/>
    <n v="20"/>
    <n v="5"/>
    <n v="55"/>
    <n v="0.5"/>
    <n v="0"/>
    <n v="0"/>
  </r>
  <r>
    <x v="8758"/>
    <n v="5"/>
    <n v="55"/>
    <n v="60"/>
    <n v="20"/>
    <n v="20"/>
    <x v="27"/>
    <n v="27"/>
    <n v="-2"/>
    <n v="55"/>
    <n v="0"/>
    <n v="1"/>
    <n v="2"/>
  </r>
  <r>
    <x v="8759"/>
    <n v="-2"/>
    <n v="55"/>
    <n v="53"/>
    <n v="27"/>
    <n v="24"/>
    <x v="28"/>
    <n v="26"/>
    <n v="-4"/>
    <n v="58"/>
    <n v="0"/>
    <n v="1"/>
    <n v="4"/>
  </r>
  <r>
    <x v="8760"/>
    <n v="-4"/>
    <n v="58"/>
    <n v="54"/>
    <n v="26"/>
    <n v="11"/>
    <x v="31"/>
    <n v="22"/>
    <n v="-15"/>
    <n v="73"/>
    <n v="0"/>
    <n v="1"/>
    <n v="15"/>
  </r>
  <r>
    <x v="8761"/>
    <n v="-15"/>
    <n v="73"/>
    <n v="58"/>
    <n v="22"/>
    <n v="20"/>
    <x v="44"/>
    <n v="16"/>
    <n v="-11"/>
    <n v="75"/>
    <n v="0"/>
    <n v="1"/>
    <n v="11"/>
  </r>
  <r>
    <x v="8762"/>
    <n v="-11"/>
    <n v="75"/>
    <n v="64"/>
    <n v="16"/>
    <n v="27"/>
    <x v="8"/>
    <n v="15"/>
    <n v="1"/>
    <n v="64"/>
    <n v="0.1"/>
    <n v="0"/>
    <n v="0"/>
  </r>
  <r>
    <x v="8763"/>
    <n v="1"/>
    <n v="64"/>
    <n v="65"/>
    <n v="15"/>
    <n v="26"/>
    <x v="12"/>
    <n v="25"/>
    <n v="2"/>
    <n v="53"/>
    <n v="0.2"/>
    <n v="0"/>
    <n v="0"/>
  </r>
  <r>
    <x v="8764"/>
    <n v="2"/>
    <n v="53"/>
    <n v="55"/>
    <n v="25"/>
    <n v="22"/>
    <x v="32"/>
    <n v="15"/>
    <n v="9"/>
    <n v="56"/>
    <n v="0.9"/>
    <n v="0"/>
    <n v="0"/>
  </r>
  <r>
    <x v="8765"/>
    <n v="9"/>
    <n v="56"/>
    <n v="65"/>
    <n v="15"/>
    <n v="16"/>
    <x v="27"/>
    <n v="25"/>
    <n v="0"/>
    <n v="55"/>
    <n v="0"/>
    <n v="0"/>
    <n v="0"/>
  </r>
  <r>
    <x v="8766"/>
    <n v="0"/>
    <n v="55"/>
    <n v="55"/>
    <n v="25"/>
    <n v="15"/>
    <x v="26"/>
    <n v="23"/>
    <n v="-8"/>
    <n v="65"/>
    <n v="0"/>
    <n v="1"/>
    <n v="8"/>
  </r>
  <r>
    <x v="8767"/>
    <n v="-8"/>
    <n v="65"/>
    <n v="57"/>
    <n v="23"/>
    <n v="25"/>
    <x v="22"/>
    <n v="20"/>
    <n v="-3"/>
    <n v="63"/>
    <n v="0"/>
    <n v="1"/>
    <n v="3"/>
  </r>
  <r>
    <x v="8768"/>
    <n v="-3"/>
    <n v="63"/>
    <n v="60"/>
    <n v="20"/>
    <n v="15"/>
    <x v="17"/>
    <n v="22"/>
    <n v="-10"/>
    <n v="68"/>
    <n v="0"/>
    <n v="1"/>
    <n v="10"/>
  </r>
  <r>
    <x v="8769"/>
    <n v="-10"/>
    <n v="68"/>
    <n v="58"/>
    <n v="22"/>
    <n v="25"/>
    <x v="26"/>
    <n v="15"/>
    <n v="0"/>
    <n v="65"/>
    <n v="0"/>
    <n v="0"/>
    <n v="0"/>
  </r>
  <r>
    <x v="8770"/>
    <n v="0"/>
    <n v="65"/>
    <n v="65"/>
    <n v="15"/>
    <n v="23"/>
    <x v="24"/>
    <n v="21"/>
    <n v="2"/>
    <n v="57"/>
    <n v="0.2"/>
    <n v="0"/>
    <n v="0"/>
  </r>
  <r>
    <x v="8771"/>
    <n v="2"/>
    <n v="57"/>
    <n v="59"/>
    <n v="21"/>
    <n v="20"/>
    <x v="28"/>
    <n v="21"/>
    <n v="1"/>
    <n v="58"/>
    <n v="0.1"/>
    <n v="0"/>
    <n v="0"/>
  </r>
  <r>
    <x v="8772"/>
    <n v="1"/>
    <n v="58"/>
    <n v="59"/>
    <n v="21"/>
    <n v="22"/>
    <x v="24"/>
    <n v="23"/>
    <n v="0"/>
    <n v="57"/>
    <n v="0"/>
    <n v="0"/>
    <n v="0"/>
  </r>
  <r>
    <x v="8773"/>
    <n v="0"/>
    <n v="57"/>
    <n v="57"/>
    <n v="23"/>
    <n v="15"/>
    <x v="26"/>
    <n v="28"/>
    <n v="-13"/>
    <n v="65"/>
    <n v="0"/>
    <n v="1"/>
    <n v="13"/>
  </r>
  <r>
    <x v="8774"/>
    <n v="-13"/>
    <n v="65"/>
    <n v="52"/>
    <n v="28"/>
    <n v="21"/>
    <x v="29"/>
    <n v="21"/>
    <n v="-13"/>
    <n v="72"/>
    <n v="0"/>
    <n v="1"/>
    <n v="13"/>
  </r>
  <r>
    <x v="8775"/>
    <n v="-13"/>
    <n v="72"/>
    <n v="59"/>
    <n v="21"/>
    <n v="21"/>
    <x v="29"/>
    <n v="20"/>
    <n v="-12"/>
    <n v="72"/>
    <n v="0"/>
    <n v="1"/>
    <n v="12"/>
  </r>
  <r>
    <x v="8776"/>
    <n v="-12"/>
    <n v="72"/>
    <n v="60"/>
    <n v="20"/>
    <n v="23"/>
    <x v="30"/>
    <n v="17"/>
    <n v="-6"/>
    <n v="69"/>
    <n v="0"/>
    <n v="1"/>
    <n v="6"/>
  </r>
  <r>
    <x v="8777"/>
    <n v="-6"/>
    <n v="69"/>
    <n v="63"/>
    <n v="17"/>
    <n v="28"/>
    <x v="28"/>
    <n v="13"/>
    <n v="9"/>
    <n v="58"/>
    <n v="0.9"/>
    <n v="0"/>
    <n v="0"/>
  </r>
  <r>
    <x v="8778"/>
    <n v="9"/>
    <n v="58"/>
    <n v="67"/>
    <n v="13"/>
    <n v="21"/>
    <x v="13"/>
    <n v="19"/>
    <n v="11"/>
    <n v="50"/>
    <n v="1.1000000000000001"/>
    <n v="0"/>
    <n v="0"/>
  </r>
  <r>
    <x v="8779"/>
    <n v="11"/>
    <n v="50"/>
    <n v="61"/>
    <n v="19"/>
    <n v="20"/>
    <x v="10"/>
    <n v="16"/>
    <n v="15"/>
    <n v="49"/>
    <n v="1.5"/>
    <n v="0"/>
    <n v="0"/>
  </r>
  <r>
    <x v="8780"/>
    <n v="15"/>
    <n v="49"/>
    <n v="64"/>
    <n v="16"/>
    <n v="17"/>
    <x v="15"/>
    <n v="12"/>
    <n v="20"/>
    <n v="48"/>
    <n v="2"/>
    <n v="0"/>
    <n v="0"/>
  </r>
  <r>
    <x v="8781"/>
    <n v="20"/>
    <n v="48"/>
    <n v="68"/>
    <n v="12"/>
    <n v="13"/>
    <x v="14"/>
    <n v="21"/>
    <n v="12"/>
    <n v="47"/>
    <n v="1.2000000000000002"/>
    <n v="0"/>
    <n v="0"/>
  </r>
  <r>
    <x v="8782"/>
    <n v="12"/>
    <n v="47"/>
    <n v="59"/>
    <n v="21"/>
    <n v="19"/>
    <x v="10"/>
    <n v="23"/>
    <n v="8"/>
    <n v="49"/>
    <n v="0.8"/>
    <n v="0"/>
    <n v="0"/>
  </r>
  <r>
    <x v="8783"/>
    <n v="8"/>
    <n v="49"/>
    <n v="57"/>
    <n v="23"/>
    <n v="16"/>
    <x v="32"/>
    <n v="13"/>
    <n v="11"/>
    <n v="56"/>
    <n v="1.1000000000000001"/>
    <n v="0"/>
    <n v="0"/>
  </r>
  <r>
    <x v="8784"/>
    <n v="11"/>
    <n v="56"/>
    <n v="67"/>
    <n v="13"/>
    <n v="12"/>
    <x v="24"/>
    <n v="20"/>
    <n v="3"/>
    <n v="57"/>
    <n v="0.30000000000000004"/>
    <n v="0"/>
    <n v="0"/>
  </r>
  <r>
    <x v="8785"/>
    <n v="3"/>
    <n v="57"/>
    <n v="60"/>
    <n v="20"/>
    <n v="21"/>
    <x v="32"/>
    <n v="25"/>
    <n v="-1"/>
    <n v="56"/>
    <n v="0"/>
    <n v="1"/>
    <n v="1"/>
  </r>
  <r>
    <x v="8786"/>
    <n v="-1"/>
    <n v="56"/>
    <n v="55"/>
    <n v="25"/>
    <n v="23"/>
    <x v="28"/>
    <n v="21"/>
    <n v="1"/>
    <n v="58"/>
    <n v="0.1"/>
    <n v="0"/>
    <n v="0"/>
  </r>
  <r>
    <x v="8787"/>
    <n v="1"/>
    <n v="58"/>
    <n v="59"/>
    <n v="21"/>
    <n v="13"/>
    <x v="7"/>
    <n v="26"/>
    <n v="-12"/>
    <n v="66"/>
    <n v="0"/>
    <n v="1"/>
    <n v="12"/>
  </r>
  <r>
    <x v="8788"/>
    <n v="-12"/>
    <n v="66"/>
    <n v="54"/>
    <n v="26"/>
    <n v="20"/>
    <x v="29"/>
    <n v="25"/>
    <n v="-17"/>
    <n v="72"/>
    <n v="0"/>
    <n v="1"/>
    <n v="17"/>
  </r>
  <r>
    <x v="8789"/>
    <n v="-17"/>
    <n v="72"/>
    <n v="55"/>
    <n v="25"/>
    <n v="25"/>
    <x v="29"/>
    <n v="20"/>
    <n v="-12"/>
    <n v="72"/>
    <n v="0"/>
    <n v="1"/>
    <n v="12"/>
  </r>
  <r>
    <x v="8790"/>
    <n v="-12"/>
    <n v="72"/>
    <n v="60"/>
    <n v="20"/>
    <n v="21"/>
    <x v="20"/>
    <n v="12"/>
    <n v="-3"/>
    <n v="71"/>
    <n v="0"/>
    <n v="1"/>
    <n v="3"/>
  </r>
  <r>
    <x v="8791"/>
    <n v="-3"/>
    <n v="71"/>
    <n v="68"/>
    <n v="12"/>
    <n v="26"/>
    <x v="24"/>
    <n v="19"/>
    <n v="4"/>
    <n v="57"/>
    <n v="0.4"/>
    <n v="0"/>
    <n v="0"/>
  </r>
  <r>
    <x v="8792"/>
    <n v="4"/>
    <n v="57"/>
    <n v="61"/>
    <n v="19"/>
    <n v="25"/>
    <x v="9"/>
    <n v="18"/>
    <n v="11"/>
    <n v="51"/>
    <n v="1.1000000000000001"/>
    <n v="0"/>
    <n v="0"/>
  </r>
  <r>
    <x v="8793"/>
    <n v="11"/>
    <n v="51"/>
    <n v="62"/>
    <n v="18"/>
    <n v="20"/>
    <x v="10"/>
    <n v="19"/>
    <n v="12"/>
    <n v="49"/>
    <n v="1.2000000000000002"/>
    <n v="0"/>
    <n v="0"/>
  </r>
  <r>
    <x v="8794"/>
    <n v="12"/>
    <n v="49"/>
    <n v="61"/>
    <n v="19"/>
    <n v="12"/>
    <x v="32"/>
    <n v="17"/>
    <n v="7"/>
    <n v="56"/>
    <n v="0.70000000000000007"/>
    <n v="0"/>
    <n v="0"/>
  </r>
  <r>
    <x v="8795"/>
    <n v="7"/>
    <n v="56"/>
    <n v="63"/>
    <n v="17"/>
    <n v="19"/>
    <x v="16"/>
    <n v="18"/>
    <n v="8"/>
    <n v="54"/>
    <n v="0.8"/>
    <n v="0"/>
    <n v="0"/>
  </r>
  <r>
    <x v="8796"/>
    <n v="8"/>
    <n v="54"/>
    <n v="62"/>
    <n v="18"/>
    <n v="18"/>
    <x v="16"/>
    <n v="17"/>
    <n v="9"/>
    <n v="54"/>
    <n v="0.9"/>
    <n v="0"/>
    <n v="0"/>
  </r>
  <r>
    <x v="8797"/>
    <n v="9"/>
    <n v="54"/>
    <n v="63"/>
    <n v="17"/>
    <n v="19"/>
    <x v="25"/>
    <n v="13"/>
    <n v="15"/>
    <n v="52"/>
    <n v="1.5"/>
    <n v="0"/>
    <n v="0"/>
  </r>
  <r>
    <x v="8798"/>
    <n v="15"/>
    <n v="52"/>
    <n v="67"/>
    <n v="13"/>
    <n v="17"/>
    <x v="15"/>
    <n v="21"/>
    <n v="11"/>
    <n v="48"/>
    <n v="1.1000000000000001"/>
    <n v="0"/>
    <n v="0"/>
  </r>
  <r>
    <x v="8799"/>
    <n v="11"/>
    <n v="48"/>
    <n v="59"/>
    <n v="21"/>
    <n v="18"/>
    <x v="9"/>
    <n v="24"/>
    <n v="5"/>
    <n v="51"/>
    <n v="0.5"/>
    <n v="0"/>
    <n v="0"/>
  </r>
  <r>
    <x v="8800"/>
    <n v="5"/>
    <n v="51"/>
    <n v="56"/>
    <n v="24"/>
    <n v="17"/>
    <x v="28"/>
    <n v="14"/>
    <n v="8"/>
    <n v="58"/>
    <n v="0.8"/>
    <n v="0"/>
    <n v="0"/>
  </r>
  <r>
    <x v="8801"/>
    <n v="8"/>
    <n v="58"/>
    <n v="66"/>
    <n v="14"/>
    <n v="13"/>
    <x v="5"/>
    <n v="23"/>
    <n v="-2"/>
    <n v="59"/>
    <n v="0"/>
    <n v="1"/>
    <n v="2"/>
  </r>
  <r>
    <x v="8802"/>
    <n v="-2"/>
    <n v="59"/>
    <n v="57"/>
    <n v="23"/>
    <n v="21"/>
    <x v="23"/>
    <n v="19"/>
    <n v="0"/>
    <n v="61"/>
    <n v="0"/>
    <n v="0"/>
    <n v="0"/>
  </r>
  <r>
    <x v="8803"/>
    <n v="0"/>
    <n v="61"/>
    <n v="61"/>
    <n v="19"/>
    <n v="24"/>
    <x v="32"/>
    <n v="22"/>
    <n v="2"/>
    <n v="56"/>
    <n v="0.2"/>
    <n v="0"/>
    <n v="0"/>
  </r>
  <r>
    <x v="8804"/>
    <n v="2"/>
    <n v="56"/>
    <n v="58"/>
    <n v="22"/>
    <n v="14"/>
    <x v="8"/>
    <n v="16"/>
    <n v="0"/>
    <n v="64"/>
    <n v="0"/>
    <n v="0"/>
    <n v="0"/>
  </r>
  <r>
    <x v="8805"/>
    <n v="0"/>
    <n v="64"/>
    <n v="64"/>
    <n v="16"/>
    <n v="23"/>
    <x v="24"/>
    <n v="21"/>
    <n v="2"/>
    <n v="57"/>
    <n v="0.2"/>
    <n v="0"/>
    <n v="0"/>
  </r>
  <r>
    <x v="8806"/>
    <n v="2"/>
    <n v="57"/>
    <n v="59"/>
    <n v="21"/>
    <n v="19"/>
    <x v="5"/>
    <n v="19"/>
    <n v="2"/>
    <n v="59"/>
    <n v="0.2"/>
    <n v="0"/>
    <n v="0"/>
  </r>
  <r>
    <x v="8807"/>
    <n v="2"/>
    <n v="59"/>
    <n v="61"/>
    <n v="19"/>
    <n v="22"/>
    <x v="32"/>
    <n v="15"/>
    <n v="9"/>
    <n v="56"/>
    <n v="0.9"/>
    <n v="0"/>
    <n v="0"/>
  </r>
  <r>
    <x v="8808"/>
    <n v="9"/>
    <n v="56"/>
    <n v="65"/>
    <n v="15"/>
    <n v="16"/>
    <x v="27"/>
    <n v="20"/>
    <n v="5"/>
    <n v="55"/>
    <n v="0.5"/>
    <n v="0"/>
    <n v="0"/>
  </r>
  <r>
    <x v="8809"/>
    <n v="5"/>
    <n v="55"/>
    <n v="60"/>
    <n v="20"/>
    <n v="21"/>
    <x v="16"/>
    <n v="16"/>
    <n v="10"/>
    <n v="54"/>
    <n v="1"/>
    <n v="0"/>
    <n v="0"/>
  </r>
  <r>
    <x v="8810"/>
    <n v="10"/>
    <n v="54"/>
    <n v="64"/>
    <n v="16"/>
    <n v="19"/>
    <x v="9"/>
    <n v="20"/>
    <n v="9"/>
    <n v="51"/>
    <n v="0.9"/>
    <n v="0"/>
    <n v="0"/>
  </r>
  <r>
    <x v="8811"/>
    <n v="9"/>
    <n v="51"/>
    <n v="60"/>
    <n v="20"/>
    <n v="15"/>
    <x v="32"/>
    <n v="15"/>
    <n v="9"/>
    <n v="56"/>
    <n v="0.9"/>
    <n v="0"/>
    <n v="0"/>
  </r>
  <r>
    <x v="8812"/>
    <n v="9"/>
    <n v="56"/>
    <n v="65"/>
    <n v="15"/>
    <n v="20"/>
    <x v="9"/>
    <n v="24"/>
    <n v="5"/>
    <n v="51"/>
    <n v="0.5"/>
    <n v="0"/>
    <n v="0"/>
  </r>
  <r>
    <x v="8813"/>
    <n v="5"/>
    <n v="51"/>
    <n v="56"/>
    <n v="24"/>
    <n v="16"/>
    <x v="5"/>
    <n v="22"/>
    <n v="-1"/>
    <n v="59"/>
    <n v="0"/>
    <n v="1"/>
    <n v="1"/>
  </r>
  <r>
    <x v="8814"/>
    <n v="-1"/>
    <n v="59"/>
    <n v="58"/>
    <n v="22"/>
    <n v="20"/>
    <x v="23"/>
    <n v="22"/>
    <n v="-3"/>
    <n v="61"/>
    <n v="0"/>
    <n v="1"/>
    <n v="3"/>
  </r>
  <r>
    <x v="8815"/>
    <n v="-3"/>
    <n v="61"/>
    <n v="58"/>
    <n v="22"/>
    <n v="15"/>
    <x v="17"/>
    <n v="24"/>
    <n v="-12"/>
    <n v="68"/>
    <n v="0"/>
    <n v="1"/>
    <n v="12"/>
  </r>
  <r>
    <x v="8816"/>
    <n v="-12"/>
    <n v="68"/>
    <n v="56"/>
    <n v="24"/>
    <n v="24"/>
    <x v="17"/>
    <n v="18"/>
    <n v="-6"/>
    <n v="68"/>
    <n v="0"/>
    <n v="1"/>
    <n v="6"/>
  </r>
  <r>
    <x v="8817"/>
    <n v="-6"/>
    <n v="68"/>
    <n v="62"/>
    <n v="18"/>
    <n v="22"/>
    <x v="8"/>
    <n v="19"/>
    <n v="-3"/>
    <n v="64"/>
    <n v="0"/>
    <n v="1"/>
    <n v="3"/>
  </r>
  <r>
    <x v="8818"/>
    <n v="-3"/>
    <n v="64"/>
    <n v="61"/>
    <n v="19"/>
    <n v="22"/>
    <x v="23"/>
    <n v="17"/>
    <n v="2"/>
    <n v="61"/>
    <n v="0.2"/>
    <n v="0"/>
    <n v="0"/>
  </r>
  <r>
    <x v="8819"/>
    <n v="2"/>
    <n v="61"/>
    <n v="63"/>
    <n v="17"/>
    <n v="24"/>
    <x v="16"/>
    <n v="24"/>
    <n v="2"/>
    <n v="54"/>
    <n v="0.2"/>
    <n v="0"/>
    <n v="0"/>
  </r>
  <r>
    <x v="8820"/>
    <n v="2"/>
    <n v="54"/>
    <n v="56"/>
    <n v="24"/>
    <n v="18"/>
    <x v="4"/>
    <n v="14"/>
    <n v="6"/>
    <n v="60"/>
    <n v="0.60000000000000009"/>
    <n v="0"/>
    <n v="0"/>
  </r>
  <r>
    <x v="8821"/>
    <n v="6"/>
    <n v="60"/>
    <n v="66"/>
    <n v="14"/>
    <n v="19"/>
    <x v="27"/>
    <n v="22"/>
    <n v="3"/>
    <n v="55"/>
    <n v="0.30000000000000004"/>
    <n v="0"/>
    <n v="0"/>
  </r>
  <r>
    <x v="8822"/>
    <n v="3"/>
    <n v="55"/>
    <n v="58"/>
    <n v="22"/>
    <n v="17"/>
    <x v="4"/>
    <n v="19"/>
    <n v="1"/>
    <n v="60"/>
    <n v="0.1"/>
    <n v="0"/>
    <n v="0"/>
  </r>
  <r>
    <x v="8823"/>
    <n v="1"/>
    <n v="60"/>
    <n v="61"/>
    <n v="19"/>
    <n v="24"/>
    <x v="27"/>
    <n v="25"/>
    <n v="0"/>
    <n v="55"/>
    <n v="0"/>
    <n v="0"/>
    <n v="0"/>
  </r>
  <r>
    <x v="8824"/>
    <n v="0"/>
    <n v="55"/>
    <n v="55"/>
    <n v="25"/>
    <n v="14"/>
    <x v="7"/>
    <n v="20"/>
    <n v="-6"/>
    <n v="66"/>
    <n v="0"/>
    <n v="1"/>
    <n v="6"/>
  </r>
  <r>
    <x v="8825"/>
    <n v="-6"/>
    <n v="66"/>
    <n v="60"/>
    <n v="20"/>
    <n v="22"/>
    <x v="8"/>
    <n v="17"/>
    <n v="-1"/>
    <n v="64"/>
    <n v="0"/>
    <n v="1"/>
    <n v="1"/>
  </r>
  <r>
    <x v="8826"/>
    <n v="-1"/>
    <n v="64"/>
    <n v="63"/>
    <n v="17"/>
    <n v="19"/>
    <x v="33"/>
    <n v="24"/>
    <n v="-6"/>
    <n v="62"/>
    <n v="0"/>
    <n v="1"/>
    <n v="6"/>
  </r>
  <r>
    <x v="8827"/>
    <n v="-6"/>
    <n v="62"/>
    <n v="56"/>
    <n v="24"/>
    <n v="25"/>
    <x v="23"/>
    <n v="23"/>
    <n v="-4"/>
    <n v="61"/>
    <n v="0"/>
    <n v="1"/>
    <n v="4"/>
  </r>
  <r>
    <x v="8828"/>
    <n v="-4"/>
    <n v="61"/>
    <n v="57"/>
    <n v="23"/>
    <n v="20"/>
    <x v="8"/>
    <n v="17"/>
    <n v="-1"/>
    <n v="64"/>
    <n v="0"/>
    <n v="1"/>
    <n v="1"/>
  </r>
  <r>
    <x v="8829"/>
    <n v="-1"/>
    <n v="64"/>
    <n v="63"/>
    <n v="17"/>
    <n v="17"/>
    <x v="8"/>
    <n v="20"/>
    <n v="-4"/>
    <n v="64"/>
    <n v="0"/>
    <n v="1"/>
    <n v="4"/>
  </r>
  <r>
    <x v="8830"/>
    <n v="-4"/>
    <n v="64"/>
    <n v="60"/>
    <n v="20"/>
    <n v="24"/>
    <x v="4"/>
    <n v="10"/>
    <n v="10"/>
    <n v="60"/>
    <n v="1"/>
    <n v="0"/>
    <n v="0"/>
  </r>
  <r>
    <x v="8831"/>
    <n v="10"/>
    <n v="60"/>
    <n v="70"/>
    <n v="10"/>
    <n v="23"/>
    <x v="14"/>
    <n v="21"/>
    <n v="12"/>
    <n v="47"/>
    <n v="1.2000000000000002"/>
    <n v="0"/>
    <n v="0"/>
  </r>
  <r>
    <x v="8832"/>
    <n v="12"/>
    <n v="47"/>
    <n v="59"/>
    <n v="21"/>
    <n v="17"/>
    <x v="9"/>
    <n v="27"/>
    <n v="2"/>
    <n v="51"/>
    <n v="0.2"/>
    <n v="0"/>
    <n v="0"/>
  </r>
  <r>
    <x v="8833"/>
    <n v="2"/>
    <n v="51"/>
    <n v="53"/>
    <n v="27"/>
    <n v="20"/>
    <x v="28"/>
    <n v="23"/>
    <n v="-1"/>
    <n v="58"/>
    <n v="0"/>
    <n v="1"/>
    <n v="1"/>
  </r>
  <r>
    <x v="8834"/>
    <n v="-1"/>
    <n v="58"/>
    <n v="57"/>
    <n v="23"/>
    <n v="10"/>
    <x v="20"/>
    <n v="17"/>
    <n v="-8"/>
    <n v="71"/>
    <n v="0"/>
    <n v="1"/>
    <n v="8"/>
  </r>
  <r>
    <x v="8835"/>
    <n v="-8"/>
    <n v="71"/>
    <n v="63"/>
    <n v="17"/>
    <n v="21"/>
    <x v="21"/>
    <n v="12"/>
    <n v="1"/>
    <n v="67"/>
    <n v="0.1"/>
    <n v="0"/>
    <n v="0"/>
  </r>
  <r>
    <x v="8836"/>
    <n v="1"/>
    <n v="67"/>
    <n v="68"/>
    <n v="12"/>
    <n v="27"/>
    <x v="25"/>
    <n v="19"/>
    <n v="9"/>
    <n v="52"/>
    <n v="0.9"/>
    <n v="0"/>
    <n v="0"/>
  </r>
  <r>
    <x v="8837"/>
    <n v="9"/>
    <n v="52"/>
    <n v="61"/>
    <n v="19"/>
    <n v="23"/>
    <x v="15"/>
    <n v="21"/>
    <n v="11"/>
    <n v="48"/>
    <n v="1.1000000000000001"/>
    <n v="0"/>
    <n v="0"/>
  </r>
  <r>
    <x v="8838"/>
    <n v="11"/>
    <n v="48"/>
    <n v="59"/>
    <n v="21"/>
    <n v="17"/>
    <x v="25"/>
    <n v="22"/>
    <n v="6"/>
    <n v="52"/>
    <n v="0.60000000000000009"/>
    <n v="0"/>
    <n v="0"/>
  </r>
  <r>
    <x v="8839"/>
    <n v="6"/>
    <n v="52"/>
    <n v="58"/>
    <n v="22"/>
    <n v="12"/>
    <x v="33"/>
    <n v="31"/>
    <n v="-13"/>
    <n v="62"/>
    <n v="0"/>
    <n v="1"/>
    <n v="13"/>
  </r>
  <r>
    <x v="8840"/>
    <n v="-13"/>
    <n v="62"/>
    <n v="49"/>
    <n v="31"/>
    <n v="19"/>
    <x v="39"/>
    <n v="23"/>
    <n v="-17"/>
    <n v="74"/>
    <n v="0"/>
    <n v="1"/>
    <n v="17"/>
  </r>
  <r>
    <x v="8841"/>
    <n v="-17"/>
    <n v="74"/>
    <n v="57"/>
    <n v="23"/>
    <n v="21"/>
    <x v="37"/>
    <n v="26"/>
    <n v="-22"/>
    <n v="76"/>
    <n v="0"/>
    <n v="1"/>
    <n v="22"/>
  </r>
  <r>
    <x v="8842"/>
    <n v="-22"/>
    <n v="76"/>
    <n v="54"/>
    <n v="26"/>
    <n v="22"/>
    <x v="0"/>
    <n v="18"/>
    <n v="-18"/>
    <n v="80"/>
    <n v="0"/>
    <n v="1"/>
    <n v="18"/>
  </r>
  <r>
    <x v="8843"/>
    <n v="-18"/>
    <n v="80"/>
    <n v="62"/>
    <n v="18"/>
    <n v="31"/>
    <x v="21"/>
    <n v="23"/>
    <n v="-10"/>
    <n v="67"/>
    <n v="0"/>
    <n v="1"/>
    <n v="10"/>
  </r>
  <r>
    <x v="8844"/>
    <n v="-10"/>
    <n v="67"/>
    <n v="57"/>
    <n v="23"/>
    <n v="23"/>
    <x v="21"/>
    <n v="15"/>
    <n v="-2"/>
    <n v="67"/>
    <n v="0"/>
    <n v="1"/>
    <n v="2"/>
  </r>
  <r>
    <x v="8845"/>
    <n v="-2"/>
    <n v="67"/>
    <n v="65"/>
    <n v="15"/>
    <n v="26"/>
    <x v="32"/>
    <n v="23"/>
    <n v="1"/>
    <n v="56"/>
    <n v="0.1"/>
    <n v="0"/>
    <n v="0"/>
  </r>
  <r>
    <x v="8846"/>
    <n v="1"/>
    <n v="56"/>
    <n v="57"/>
    <n v="23"/>
    <n v="18"/>
    <x v="23"/>
    <n v="14"/>
    <n v="5"/>
    <n v="61"/>
    <n v="0.5"/>
    <n v="0"/>
    <n v="0"/>
  </r>
  <r>
    <x v="8847"/>
    <n v="5"/>
    <n v="61"/>
    <n v="66"/>
    <n v="14"/>
    <n v="23"/>
    <x v="25"/>
    <n v="18"/>
    <n v="10"/>
    <n v="52"/>
    <n v="1"/>
    <n v="0"/>
    <n v="0"/>
  </r>
  <r>
    <x v="8848"/>
    <n v="10"/>
    <n v="52"/>
    <n v="62"/>
    <n v="18"/>
    <n v="15"/>
    <x v="27"/>
    <n v="19"/>
    <n v="6"/>
    <n v="55"/>
    <n v="0.60000000000000009"/>
    <n v="0"/>
    <n v="0"/>
  </r>
  <r>
    <x v="8849"/>
    <n v="6"/>
    <n v="55"/>
    <n v="61"/>
    <n v="19"/>
    <n v="23"/>
    <x v="9"/>
    <n v="19"/>
    <n v="10"/>
    <n v="51"/>
    <n v="1"/>
    <n v="0"/>
    <n v="0"/>
  </r>
  <r>
    <x v="8850"/>
    <n v="10"/>
    <n v="51"/>
    <n v="61"/>
    <n v="19"/>
    <n v="14"/>
    <x v="32"/>
    <n v="21"/>
    <n v="3"/>
    <n v="56"/>
    <n v="0.30000000000000004"/>
    <n v="0"/>
    <n v="0"/>
  </r>
  <r>
    <x v="8851"/>
    <n v="3"/>
    <n v="56"/>
    <n v="59"/>
    <n v="21"/>
    <n v="18"/>
    <x v="5"/>
    <n v="11"/>
    <n v="10"/>
    <n v="59"/>
    <n v="1"/>
    <n v="0"/>
    <n v="0"/>
  </r>
  <r>
    <x v="8852"/>
    <n v="10"/>
    <n v="59"/>
    <n v="69"/>
    <n v="11"/>
    <n v="19"/>
    <x v="9"/>
    <n v="19"/>
    <n v="10"/>
    <n v="51"/>
    <n v="1"/>
    <n v="0"/>
    <n v="0"/>
  </r>
  <r>
    <x v="8853"/>
    <n v="10"/>
    <n v="51"/>
    <n v="61"/>
    <n v="19"/>
    <n v="19"/>
    <x v="9"/>
    <n v="23"/>
    <n v="6"/>
    <n v="51"/>
    <n v="0.60000000000000009"/>
    <n v="0"/>
    <n v="0"/>
  </r>
  <r>
    <x v="8854"/>
    <n v="6"/>
    <n v="51"/>
    <n v="57"/>
    <n v="23"/>
    <n v="21"/>
    <x v="12"/>
    <n v="14"/>
    <n v="13"/>
    <n v="53"/>
    <n v="1.3"/>
    <n v="0"/>
    <n v="0"/>
  </r>
  <r>
    <x v="8855"/>
    <n v="13"/>
    <n v="53"/>
    <n v="66"/>
    <n v="14"/>
    <n v="11"/>
    <x v="32"/>
    <n v="18"/>
    <n v="6"/>
    <n v="56"/>
    <n v="0.60000000000000009"/>
    <n v="0"/>
    <n v="0"/>
  </r>
  <r>
    <x v="8856"/>
    <n v="6"/>
    <n v="56"/>
    <n v="62"/>
    <n v="18"/>
    <n v="19"/>
    <x v="27"/>
    <n v="17"/>
    <n v="8"/>
    <n v="55"/>
    <n v="0.8"/>
    <n v="0"/>
    <n v="0"/>
  </r>
  <r>
    <x v="8857"/>
    <n v="8"/>
    <n v="55"/>
    <n v="63"/>
    <n v="17"/>
    <n v="23"/>
    <x v="10"/>
    <n v="17"/>
    <n v="14"/>
    <n v="49"/>
    <n v="1.4000000000000001"/>
    <n v="0"/>
    <n v="0"/>
  </r>
  <r>
    <x v="8858"/>
    <n v="14"/>
    <n v="49"/>
    <n v="63"/>
    <n v="17"/>
    <n v="14"/>
    <x v="25"/>
    <n v="13"/>
    <n v="15"/>
    <n v="52"/>
    <n v="1.5"/>
    <n v="0"/>
    <n v="0"/>
  </r>
  <r>
    <x v="8859"/>
    <n v="15"/>
    <n v="52"/>
    <n v="67"/>
    <n v="13"/>
    <n v="18"/>
    <x v="14"/>
    <n v="20"/>
    <n v="13"/>
    <n v="47"/>
    <n v="1.3"/>
    <n v="0"/>
    <n v="0"/>
  </r>
  <r>
    <x v="8860"/>
    <n v="13"/>
    <n v="47"/>
    <n v="60"/>
    <n v="20"/>
    <n v="17"/>
    <x v="13"/>
    <n v="26"/>
    <n v="4"/>
    <n v="50"/>
    <n v="0.4"/>
    <n v="0"/>
    <n v="0"/>
  </r>
  <r>
    <x v="8861"/>
    <n v="4"/>
    <n v="50"/>
    <n v="54"/>
    <n v="26"/>
    <n v="17"/>
    <x v="5"/>
    <n v="24"/>
    <n v="-3"/>
    <n v="59"/>
    <n v="0"/>
    <n v="1"/>
    <n v="3"/>
  </r>
  <r>
    <x v="8862"/>
    <n v="-3"/>
    <n v="59"/>
    <n v="56"/>
    <n v="24"/>
    <n v="13"/>
    <x v="6"/>
    <n v="16"/>
    <n v="-6"/>
    <n v="70"/>
    <n v="0"/>
    <n v="1"/>
    <n v="6"/>
  </r>
  <r>
    <x v="8863"/>
    <n v="-6"/>
    <n v="70"/>
    <n v="64"/>
    <n v="16"/>
    <n v="20"/>
    <x v="7"/>
    <n v="20"/>
    <n v="-6"/>
    <n v="66"/>
    <n v="0"/>
    <n v="1"/>
    <n v="6"/>
  </r>
  <r>
    <x v="8864"/>
    <n v="-6"/>
    <n v="66"/>
    <n v="60"/>
    <n v="20"/>
    <n v="26"/>
    <x v="4"/>
    <n v="27"/>
    <n v="-7"/>
    <n v="60"/>
    <n v="0"/>
    <n v="1"/>
    <n v="7"/>
  </r>
  <r>
    <x v="8865"/>
    <n v="-7"/>
    <n v="60"/>
    <n v="53"/>
    <n v="27"/>
    <n v="24"/>
    <x v="22"/>
    <n v="18"/>
    <n v="-1"/>
    <n v="63"/>
    <n v="0"/>
    <n v="1"/>
    <n v="1"/>
  </r>
  <r>
    <x v="8866"/>
    <n v="-1"/>
    <n v="63"/>
    <n v="62"/>
    <n v="18"/>
    <n v="16"/>
    <x v="26"/>
    <n v="20"/>
    <n v="-5"/>
    <n v="65"/>
    <n v="0"/>
    <n v="1"/>
    <n v="5"/>
  </r>
  <r>
    <x v="8867"/>
    <n v="-5"/>
    <n v="65"/>
    <n v="60"/>
    <n v="20"/>
    <n v="20"/>
    <x v="26"/>
    <n v="19"/>
    <n v="-4"/>
    <n v="65"/>
    <n v="0"/>
    <n v="1"/>
    <n v="4"/>
  </r>
  <r>
    <x v="8868"/>
    <n v="-4"/>
    <n v="65"/>
    <n v="61"/>
    <n v="19"/>
    <n v="27"/>
    <x v="24"/>
    <n v="23"/>
    <n v="0"/>
    <n v="57"/>
    <n v="0"/>
    <n v="0"/>
    <n v="0"/>
  </r>
  <r>
    <x v="8869"/>
    <n v="0"/>
    <n v="57"/>
    <n v="57"/>
    <n v="23"/>
    <n v="18"/>
    <x v="33"/>
    <n v="20"/>
    <n v="-2"/>
    <n v="62"/>
    <n v="0"/>
    <n v="1"/>
    <n v="2"/>
  </r>
  <r>
    <x v="8870"/>
    <n v="-2"/>
    <n v="62"/>
    <n v="60"/>
    <n v="20"/>
    <n v="20"/>
    <x v="33"/>
    <n v="29"/>
    <n v="-11"/>
    <n v="62"/>
    <n v="0"/>
    <n v="1"/>
    <n v="11"/>
  </r>
  <r>
    <x v="8871"/>
    <n v="-11"/>
    <n v="62"/>
    <n v="51"/>
    <n v="29"/>
    <n v="19"/>
    <x v="29"/>
    <n v="13"/>
    <n v="-5"/>
    <n v="72"/>
    <n v="0"/>
    <n v="1"/>
    <n v="5"/>
  </r>
  <r>
    <x v="8872"/>
    <n v="-5"/>
    <n v="72"/>
    <n v="67"/>
    <n v="13"/>
    <n v="23"/>
    <x v="33"/>
    <n v="17"/>
    <n v="1"/>
    <n v="62"/>
    <n v="0.1"/>
    <n v="0"/>
    <n v="0"/>
  </r>
  <r>
    <x v="8873"/>
    <n v="1"/>
    <n v="62"/>
    <n v="63"/>
    <n v="17"/>
    <n v="20"/>
    <x v="5"/>
    <n v="23"/>
    <n v="-2"/>
    <n v="59"/>
    <n v="0"/>
    <n v="1"/>
    <n v="2"/>
  </r>
  <r>
    <x v="8874"/>
    <n v="-2"/>
    <n v="59"/>
    <n v="57"/>
    <n v="23"/>
    <n v="29"/>
    <x v="12"/>
    <n v="18"/>
    <n v="9"/>
    <n v="53"/>
    <n v="0.9"/>
    <n v="0"/>
    <n v="0"/>
  </r>
  <r>
    <x v="8875"/>
    <n v="9"/>
    <n v="53"/>
    <n v="62"/>
    <n v="18"/>
    <n v="13"/>
    <x v="28"/>
    <n v="16"/>
    <n v="6"/>
    <n v="58"/>
    <n v="0.60000000000000009"/>
    <n v="0"/>
    <n v="0"/>
  </r>
  <r>
    <x v="8876"/>
    <n v="6"/>
    <n v="58"/>
    <n v="64"/>
    <n v="16"/>
    <n v="17"/>
    <x v="24"/>
    <n v="15"/>
    <n v="8"/>
    <n v="57"/>
    <n v="0.8"/>
    <n v="0"/>
    <n v="0"/>
  </r>
  <r>
    <x v="8877"/>
    <n v="8"/>
    <n v="57"/>
    <n v="65"/>
    <n v="15"/>
    <n v="23"/>
    <x v="10"/>
    <n v="11"/>
    <n v="20"/>
    <n v="49"/>
    <n v="2"/>
    <n v="0"/>
    <n v="0"/>
  </r>
  <r>
    <x v="8878"/>
    <n v="20"/>
    <n v="49"/>
    <n v="69"/>
    <n v="11"/>
    <n v="18"/>
    <x v="40"/>
    <n v="20"/>
    <n v="18"/>
    <n v="42"/>
    <n v="1.8"/>
    <n v="0"/>
    <n v="0"/>
  </r>
  <r>
    <x v="8879"/>
    <n v="18"/>
    <n v="42"/>
    <n v="60"/>
    <n v="20"/>
    <n v="16"/>
    <x v="38"/>
    <n v="20"/>
    <n v="14"/>
    <n v="46"/>
    <n v="1.4000000000000001"/>
    <n v="0"/>
    <n v="0"/>
  </r>
  <r>
    <x v="8880"/>
    <n v="14"/>
    <n v="46"/>
    <n v="60"/>
    <n v="20"/>
    <n v="15"/>
    <x v="9"/>
    <n v="19"/>
    <n v="10"/>
    <n v="51"/>
    <n v="1"/>
    <n v="0"/>
    <n v="0"/>
  </r>
  <r>
    <x v="8881"/>
    <n v="10"/>
    <n v="51"/>
    <n v="61"/>
    <n v="19"/>
    <n v="11"/>
    <x v="5"/>
    <n v="23"/>
    <n v="-2"/>
    <n v="59"/>
    <n v="0"/>
    <n v="1"/>
    <n v="2"/>
  </r>
  <r>
    <x v="8882"/>
    <n v="-2"/>
    <n v="59"/>
    <n v="57"/>
    <n v="23"/>
    <n v="20"/>
    <x v="33"/>
    <n v="18"/>
    <n v="0"/>
    <n v="62"/>
    <n v="0"/>
    <n v="0"/>
    <n v="0"/>
  </r>
  <r>
    <x v="8883"/>
    <n v="0"/>
    <n v="62"/>
    <n v="62"/>
    <n v="18"/>
    <n v="20"/>
    <x v="4"/>
    <n v="23"/>
    <n v="-3"/>
    <n v="60"/>
    <n v="0"/>
    <n v="1"/>
    <n v="3"/>
  </r>
  <r>
    <x v="8884"/>
    <n v="-3"/>
    <n v="60"/>
    <n v="57"/>
    <n v="23"/>
    <n v="19"/>
    <x v="8"/>
    <n v="27"/>
    <n v="-11"/>
    <n v="64"/>
    <n v="0"/>
    <n v="1"/>
    <n v="11"/>
  </r>
  <r>
    <x v="8885"/>
    <n v="-11"/>
    <n v="64"/>
    <n v="53"/>
    <n v="27"/>
    <n v="23"/>
    <x v="17"/>
    <n v="21"/>
    <n v="-9"/>
    <n v="68"/>
    <n v="0"/>
    <n v="1"/>
    <n v="9"/>
  </r>
  <r>
    <x v="8886"/>
    <n v="-9"/>
    <n v="68"/>
    <n v="59"/>
    <n v="21"/>
    <n v="18"/>
    <x v="20"/>
    <n v="24"/>
    <n v="-15"/>
    <n v="71"/>
    <n v="0"/>
    <n v="1"/>
    <n v="15"/>
  </r>
  <r>
    <x v="8887"/>
    <n v="-15"/>
    <n v="71"/>
    <n v="56"/>
    <n v="24"/>
    <n v="23"/>
    <x v="29"/>
    <n v="27"/>
    <n v="-19"/>
    <n v="72"/>
    <n v="0"/>
    <n v="1"/>
    <n v="19"/>
  </r>
  <r>
    <x v="8888"/>
    <n v="-19"/>
    <n v="72"/>
    <n v="53"/>
    <n v="27"/>
    <n v="27"/>
    <x v="29"/>
    <n v="21"/>
    <n v="-13"/>
    <n v="72"/>
    <n v="0"/>
    <n v="1"/>
    <n v="13"/>
  </r>
  <r>
    <x v="8889"/>
    <n v="-13"/>
    <n v="72"/>
    <n v="59"/>
    <n v="21"/>
    <n v="21"/>
    <x v="29"/>
    <n v="22"/>
    <n v="-14"/>
    <n v="72"/>
    <n v="0"/>
    <n v="1"/>
    <n v="14"/>
  </r>
  <r>
    <x v="8890"/>
    <n v="-14"/>
    <n v="72"/>
    <n v="58"/>
    <n v="22"/>
    <n v="24"/>
    <x v="6"/>
    <n v="14"/>
    <n v="-4"/>
    <n v="70"/>
    <n v="0"/>
    <n v="1"/>
    <n v="4"/>
  </r>
  <r>
    <x v="8891"/>
    <n v="-4"/>
    <n v="70"/>
    <n v="66"/>
    <n v="14"/>
    <n v="27"/>
    <x v="24"/>
    <n v="14"/>
    <n v="9"/>
    <n v="57"/>
    <n v="0.9"/>
    <n v="0"/>
    <n v="0"/>
  </r>
  <r>
    <x v="8892"/>
    <n v="9"/>
    <n v="57"/>
    <n v="66"/>
    <n v="14"/>
    <n v="21"/>
    <x v="13"/>
    <n v="20"/>
    <n v="10"/>
    <n v="50"/>
    <n v="1"/>
    <n v="0"/>
    <n v="0"/>
  </r>
  <r>
    <x v="8893"/>
    <n v="10"/>
    <n v="50"/>
    <n v="60"/>
    <n v="20"/>
    <n v="22"/>
    <x v="15"/>
    <n v="23"/>
    <n v="9"/>
    <n v="48"/>
    <n v="0.9"/>
    <n v="0"/>
    <n v="0"/>
  </r>
  <r>
    <x v="8894"/>
    <n v="9"/>
    <n v="48"/>
    <n v="57"/>
    <n v="23"/>
    <n v="14"/>
    <x v="24"/>
    <n v="18"/>
    <n v="5"/>
    <n v="57"/>
    <n v="0.5"/>
    <n v="0"/>
    <n v="0"/>
  </r>
  <r>
    <x v="8895"/>
    <n v="5"/>
    <n v="57"/>
    <n v="62"/>
    <n v="18"/>
    <n v="14"/>
    <x v="23"/>
    <n v="19"/>
    <n v="0"/>
    <n v="61"/>
    <n v="0"/>
    <n v="0"/>
    <n v="0"/>
  </r>
  <r>
    <x v="8896"/>
    <n v="0"/>
    <n v="61"/>
    <n v="61"/>
    <n v="19"/>
    <n v="20"/>
    <x v="4"/>
    <n v="22"/>
    <n v="-2"/>
    <n v="60"/>
    <n v="0"/>
    <n v="1"/>
    <n v="2"/>
  </r>
  <r>
    <x v="8897"/>
    <n v="-2"/>
    <n v="60"/>
    <n v="58"/>
    <n v="22"/>
    <n v="23"/>
    <x v="5"/>
    <n v="21"/>
    <n v="0"/>
    <n v="59"/>
    <n v="0"/>
    <n v="0"/>
    <n v="0"/>
  </r>
  <r>
    <x v="8898"/>
    <n v="0"/>
    <n v="59"/>
    <n v="59"/>
    <n v="21"/>
    <n v="18"/>
    <x v="33"/>
    <n v="21"/>
    <n v="-3"/>
    <n v="62"/>
    <n v="0"/>
    <n v="1"/>
    <n v="3"/>
  </r>
  <r>
    <x v="8899"/>
    <n v="-3"/>
    <n v="62"/>
    <n v="59"/>
    <n v="21"/>
    <n v="19"/>
    <x v="8"/>
    <n v="20"/>
    <n v="-4"/>
    <n v="64"/>
    <n v="0"/>
    <n v="1"/>
    <n v="4"/>
  </r>
  <r>
    <x v="8900"/>
    <n v="-4"/>
    <n v="64"/>
    <n v="60"/>
    <n v="20"/>
    <n v="22"/>
    <x v="33"/>
    <n v="19"/>
    <n v="-1"/>
    <n v="62"/>
    <n v="0"/>
    <n v="1"/>
    <n v="1"/>
  </r>
  <r>
    <x v="8901"/>
    <n v="-1"/>
    <n v="62"/>
    <n v="61"/>
    <n v="19"/>
    <n v="21"/>
    <x v="4"/>
    <n v="16"/>
    <n v="4"/>
    <n v="60"/>
    <n v="0.4"/>
    <n v="0"/>
    <n v="0"/>
  </r>
  <r>
    <x v="8902"/>
    <n v="4"/>
    <n v="60"/>
    <n v="64"/>
    <n v="16"/>
    <n v="21"/>
    <x v="27"/>
    <n v="17"/>
    <n v="8"/>
    <n v="55"/>
    <n v="0.8"/>
    <n v="0"/>
    <n v="0"/>
  </r>
  <r>
    <x v="8903"/>
    <n v="8"/>
    <n v="55"/>
    <n v="63"/>
    <n v="17"/>
    <n v="20"/>
    <x v="25"/>
    <n v="20"/>
    <n v="8"/>
    <n v="52"/>
    <n v="0.8"/>
    <n v="0"/>
    <n v="0"/>
  </r>
  <r>
    <x v="8904"/>
    <n v="8"/>
    <n v="52"/>
    <n v="60"/>
    <n v="20"/>
    <n v="19"/>
    <x v="12"/>
    <n v="25"/>
    <n v="2"/>
    <n v="53"/>
    <n v="0.2"/>
    <n v="0"/>
    <n v="0"/>
  </r>
  <r>
    <x v="8905"/>
    <n v="2"/>
    <n v="53"/>
    <n v="55"/>
    <n v="25"/>
    <n v="16"/>
    <x v="33"/>
    <n v="21"/>
    <n v="-3"/>
    <n v="62"/>
    <n v="0"/>
    <n v="1"/>
    <n v="3"/>
  </r>
  <r>
    <x v="8906"/>
    <n v="-3"/>
    <n v="62"/>
    <n v="59"/>
    <n v="21"/>
    <n v="17"/>
    <x v="7"/>
    <n v="23"/>
    <n v="-9"/>
    <n v="66"/>
    <n v="0"/>
    <n v="1"/>
    <n v="9"/>
  </r>
  <r>
    <x v="8907"/>
    <n v="-9"/>
    <n v="66"/>
    <n v="57"/>
    <n v="23"/>
    <n v="20"/>
    <x v="30"/>
    <n v="18"/>
    <n v="-7"/>
    <n v="69"/>
    <n v="0"/>
    <n v="1"/>
    <n v="7"/>
  </r>
  <r>
    <x v="8908"/>
    <n v="-7"/>
    <n v="69"/>
    <n v="62"/>
    <n v="18"/>
    <n v="25"/>
    <x v="33"/>
    <n v="30"/>
    <n v="-12"/>
    <n v="62"/>
    <n v="0"/>
    <n v="1"/>
    <n v="12"/>
  </r>
  <r>
    <x v="8909"/>
    <n v="-12"/>
    <n v="62"/>
    <n v="50"/>
    <n v="30"/>
    <n v="21"/>
    <x v="20"/>
    <n v="19"/>
    <n v="-10"/>
    <n v="71"/>
    <n v="0"/>
    <n v="1"/>
    <n v="10"/>
  </r>
  <r>
    <x v="8910"/>
    <n v="-10"/>
    <n v="71"/>
    <n v="61"/>
    <n v="19"/>
    <n v="23"/>
    <x v="21"/>
    <n v="27"/>
    <n v="-14"/>
    <n v="67"/>
    <n v="0"/>
    <n v="1"/>
    <n v="14"/>
  </r>
  <r>
    <x v="8911"/>
    <n v="-14"/>
    <n v="67"/>
    <n v="53"/>
    <n v="27"/>
    <n v="18"/>
    <x v="37"/>
    <n v="33"/>
    <n v="-29"/>
    <n v="76"/>
    <n v="0"/>
    <n v="1"/>
    <n v="29"/>
  </r>
  <r>
    <x v="8912"/>
    <n v="-29"/>
    <n v="76"/>
    <n v="47"/>
    <n v="33"/>
    <n v="30"/>
    <x v="43"/>
    <n v="18"/>
    <n v="-17"/>
    <n v="79"/>
    <n v="0"/>
    <n v="1"/>
    <n v="17"/>
  </r>
  <r>
    <x v="8913"/>
    <n v="-17"/>
    <n v="79"/>
    <n v="62"/>
    <n v="18"/>
    <n v="19"/>
    <x v="35"/>
    <n v="16"/>
    <n v="-14"/>
    <n v="78"/>
    <n v="0"/>
    <n v="1"/>
    <n v="14"/>
  </r>
  <r>
    <x v="8914"/>
    <n v="-14"/>
    <n v="78"/>
    <n v="64"/>
    <n v="16"/>
    <n v="27"/>
    <x v="21"/>
    <n v="24"/>
    <n v="-11"/>
    <n v="67"/>
    <n v="0"/>
    <n v="1"/>
    <n v="11"/>
  </r>
  <r>
    <x v="8915"/>
    <n v="-11"/>
    <n v="67"/>
    <n v="56"/>
    <n v="24"/>
    <n v="33"/>
    <x v="28"/>
    <n v="15"/>
    <n v="7"/>
    <n v="58"/>
    <n v="0.70000000000000007"/>
    <n v="0"/>
    <n v="0"/>
  </r>
  <r>
    <x v="8916"/>
    <n v="7"/>
    <n v="58"/>
    <n v="65"/>
    <n v="15"/>
    <n v="18"/>
    <x v="27"/>
    <n v="16"/>
    <n v="9"/>
    <n v="55"/>
    <n v="0.9"/>
    <n v="0"/>
    <n v="0"/>
  </r>
  <r>
    <x v="8917"/>
    <n v="9"/>
    <n v="55"/>
    <n v="64"/>
    <n v="16"/>
    <n v="16"/>
    <x v="27"/>
    <n v="22"/>
    <n v="3"/>
    <n v="55"/>
    <n v="0.30000000000000004"/>
    <n v="0"/>
    <n v="0"/>
  </r>
  <r>
    <x v="8918"/>
    <n v="3"/>
    <n v="55"/>
    <n v="58"/>
    <n v="22"/>
    <n v="24"/>
    <x v="12"/>
    <n v="20"/>
    <n v="7"/>
    <n v="53"/>
    <n v="0.70000000000000007"/>
    <n v="0"/>
    <n v="0"/>
  </r>
  <r>
    <x v="8919"/>
    <n v="7"/>
    <n v="53"/>
    <n v="60"/>
    <n v="20"/>
    <n v="15"/>
    <x v="28"/>
    <n v="19"/>
    <n v="3"/>
    <n v="58"/>
    <n v="0.30000000000000004"/>
    <n v="0"/>
    <n v="0"/>
  </r>
  <r>
    <x v="8920"/>
    <n v="3"/>
    <n v="58"/>
    <n v="61"/>
    <n v="19"/>
    <n v="16"/>
    <x v="23"/>
    <n v="14"/>
    <n v="5"/>
    <n v="61"/>
    <n v="0.5"/>
    <n v="0"/>
    <n v="0"/>
  </r>
  <r>
    <x v="8921"/>
    <n v="5"/>
    <n v="61"/>
    <n v="66"/>
    <n v="14"/>
    <n v="22"/>
    <x v="12"/>
    <n v="19"/>
    <n v="8"/>
    <n v="53"/>
    <n v="0.8"/>
    <n v="0"/>
    <n v="0"/>
  </r>
  <r>
    <x v="8922"/>
    <n v="8"/>
    <n v="53"/>
    <n v="61"/>
    <n v="19"/>
    <n v="20"/>
    <x v="25"/>
    <n v="13"/>
    <n v="15"/>
    <n v="52"/>
    <n v="1.5"/>
    <n v="0"/>
    <n v="0"/>
  </r>
  <r>
    <x v="8923"/>
    <n v="15"/>
    <n v="52"/>
    <n v="67"/>
    <n v="13"/>
    <n v="19"/>
    <x v="38"/>
    <n v="27"/>
    <n v="7"/>
    <n v="46"/>
    <n v="0.70000000000000007"/>
    <n v="0"/>
    <n v="0"/>
  </r>
  <r>
    <x v="8924"/>
    <n v="7"/>
    <n v="46"/>
    <n v="53"/>
    <n v="27"/>
    <n v="14"/>
    <x v="5"/>
    <n v="26"/>
    <n v="-5"/>
    <n v="59"/>
    <n v="0"/>
    <n v="1"/>
    <n v="5"/>
  </r>
  <r>
    <x v="8925"/>
    <n v="-5"/>
    <n v="59"/>
    <n v="54"/>
    <n v="26"/>
    <n v="19"/>
    <x v="7"/>
    <n v="23"/>
    <n v="-9"/>
    <n v="66"/>
    <n v="0"/>
    <n v="1"/>
    <n v="9"/>
  </r>
  <r>
    <x v="8926"/>
    <n v="-9"/>
    <n v="66"/>
    <n v="57"/>
    <n v="23"/>
    <n v="13"/>
    <x v="37"/>
    <n v="25"/>
    <n v="-21"/>
    <n v="76"/>
    <n v="0"/>
    <n v="1"/>
    <n v="21"/>
  </r>
  <r>
    <x v="8927"/>
    <n v="-21"/>
    <n v="76"/>
    <n v="55"/>
    <n v="25"/>
    <n v="27"/>
    <x v="39"/>
    <n v="19"/>
    <n v="-13"/>
    <n v="74"/>
    <n v="0"/>
    <n v="1"/>
    <n v="13"/>
  </r>
  <r>
    <x v="8928"/>
    <n v="-13"/>
    <n v="74"/>
    <n v="61"/>
    <n v="19"/>
    <n v="26"/>
    <x v="21"/>
    <n v="17"/>
    <n v="-4"/>
    <n v="67"/>
    <n v="0"/>
    <n v="1"/>
    <n v="4"/>
  </r>
  <r>
    <x v="8929"/>
    <n v="-4"/>
    <n v="67"/>
    <n v="63"/>
    <n v="17"/>
    <n v="23"/>
    <x v="23"/>
    <n v="23"/>
    <n v="-4"/>
    <n v="61"/>
    <n v="0"/>
    <n v="1"/>
    <n v="4"/>
  </r>
  <r>
    <x v="8930"/>
    <n v="-4"/>
    <n v="61"/>
    <n v="57"/>
    <n v="23"/>
    <n v="25"/>
    <x v="5"/>
    <n v="21"/>
    <n v="0"/>
    <n v="59"/>
    <n v="0"/>
    <n v="0"/>
    <n v="0"/>
  </r>
  <r>
    <x v="8931"/>
    <n v="0"/>
    <n v="59"/>
    <n v="59"/>
    <n v="21"/>
    <n v="19"/>
    <x v="23"/>
    <n v="27"/>
    <n v="-8"/>
    <n v="61"/>
    <n v="0"/>
    <n v="1"/>
    <n v="8"/>
  </r>
  <r>
    <x v="8932"/>
    <n v="-8"/>
    <n v="61"/>
    <n v="53"/>
    <n v="27"/>
    <n v="17"/>
    <x v="20"/>
    <n v="19"/>
    <n v="-10"/>
    <n v="71"/>
    <n v="0"/>
    <n v="1"/>
    <n v="10"/>
  </r>
  <r>
    <x v="8933"/>
    <n v="-10"/>
    <n v="71"/>
    <n v="61"/>
    <n v="19"/>
    <n v="23"/>
    <x v="21"/>
    <n v="21"/>
    <n v="-8"/>
    <n v="67"/>
    <n v="0"/>
    <n v="1"/>
    <n v="8"/>
  </r>
  <r>
    <x v="8934"/>
    <n v="-8"/>
    <n v="67"/>
    <n v="59"/>
    <n v="21"/>
    <n v="21"/>
    <x v="21"/>
    <n v="14"/>
    <n v="-1"/>
    <n v="67"/>
    <n v="0"/>
    <n v="1"/>
    <n v="1"/>
  </r>
  <r>
    <x v="8935"/>
    <n v="-1"/>
    <n v="67"/>
    <n v="66"/>
    <n v="14"/>
    <n v="27"/>
    <x v="16"/>
    <n v="22"/>
    <n v="4"/>
    <n v="54"/>
    <n v="0.4"/>
    <n v="0"/>
    <n v="0"/>
  </r>
  <r>
    <x v="8936"/>
    <n v="4"/>
    <n v="54"/>
    <n v="58"/>
    <n v="22"/>
    <n v="19"/>
    <x v="24"/>
    <n v="22"/>
    <n v="1"/>
    <n v="57"/>
    <n v="0.1"/>
    <n v="0"/>
    <n v="0"/>
  </r>
  <r>
    <x v="8937"/>
    <n v="1"/>
    <n v="57"/>
    <n v="58"/>
    <n v="22"/>
    <n v="21"/>
    <x v="28"/>
    <n v="25"/>
    <n v="-3"/>
    <n v="58"/>
    <n v="0"/>
    <n v="1"/>
    <n v="3"/>
  </r>
  <r>
    <x v="8938"/>
    <n v="-3"/>
    <n v="58"/>
    <n v="55"/>
    <n v="25"/>
    <n v="14"/>
    <x v="30"/>
    <n v="19"/>
    <n v="-8"/>
    <n v="69"/>
    <n v="0"/>
    <n v="1"/>
    <n v="8"/>
  </r>
  <r>
    <x v="8939"/>
    <n v="-8"/>
    <n v="69"/>
    <n v="61"/>
    <n v="19"/>
    <n v="22"/>
    <x v="7"/>
    <n v="22"/>
    <n v="-8"/>
    <n v="66"/>
    <n v="0"/>
    <n v="1"/>
    <n v="8"/>
  </r>
  <r>
    <x v="8940"/>
    <n v="-8"/>
    <n v="66"/>
    <n v="58"/>
    <n v="22"/>
    <n v="22"/>
    <x v="7"/>
    <n v="16"/>
    <n v="-2"/>
    <n v="66"/>
    <n v="0"/>
    <n v="1"/>
    <n v="2"/>
  </r>
  <r>
    <x v="8941"/>
    <n v="-2"/>
    <n v="66"/>
    <n v="64"/>
    <n v="16"/>
    <n v="25"/>
    <x v="24"/>
    <n v="20"/>
    <n v="3"/>
    <n v="57"/>
    <n v="0.30000000000000004"/>
    <n v="0"/>
    <n v="0"/>
  </r>
  <r>
    <x v="8942"/>
    <n v="3"/>
    <n v="57"/>
    <n v="60"/>
    <n v="20"/>
    <n v="19"/>
    <x v="28"/>
    <n v="28"/>
    <n v="-6"/>
    <n v="58"/>
    <n v="0"/>
    <n v="1"/>
    <n v="6"/>
  </r>
  <r>
    <x v="8943"/>
    <n v="-6"/>
    <n v="58"/>
    <n v="52"/>
    <n v="28"/>
    <n v="22"/>
    <x v="8"/>
    <n v="16"/>
    <n v="0"/>
    <n v="64"/>
    <n v="0"/>
    <n v="0"/>
    <n v="0"/>
  </r>
  <r>
    <x v="8944"/>
    <n v="0"/>
    <n v="64"/>
    <n v="64"/>
    <n v="16"/>
    <n v="16"/>
    <x v="8"/>
    <n v="17"/>
    <n v="-1"/>
    <n v="64"/>
    <n v="0"/>
    <n v="1"/>
    <n v="1"/>
  </r>
  <r>
    <x v="8945"/>
    <n v="-1"/>
    <n v="64"/>
    <n v="63"/>
    <n v="17"/>
    <n v="20"/>
    <x v="23"/>
    <n v="13"/>
    <n v="6"/>
    <n v="61"/>
    <n v="0.60000000000000009"/>
    <n v="0"/>
    <n v="0"/>
  </r>
  <r>
    <x v="8946"/>
    <n v="6"/>
    <n v="61"/>
    <n v="67"/>
    <n v="13"/>
    <n v="28"/>
    <x v="38"/>
    <n v="18"/>
    <n v="16"/>
    <n v="46"/>
    <n v="1.6"/>
    <n v="0"/>
    <n v="0"/>
  </r>
  <r>
    <x v="8947"/>
    <n v="16"/>
    <n v="46"/>
    <n v="62"/>
    <n v="18"/>
    <n v="16"/>
    <x v="15"/>
    <n v="24"/>
    <n v="8"/>
    <n v="48"/>
    <n v="0.8"/>
    <n v="0"/>
    <n v="0"/>
  </r>
  <r>
    <x v="8948"/>
    <n v="8"/>
    <n v="48"/>
    <n v="56"/>
    <n v="24"/>
    <n v="17"/>
    <x v="27"/>
    <n v="14"/>
    <n v="11"/>
    <n v="55"/>
    <n v="1.1000000000000001"/>
    <n v="0"/>
    <n v="0"/>
  </r>
  <r>
    <x v="8949"/>
    <n v="11"/>
    <n v="55"/>
    <n v="66"/>
    <n v="14"/>
    <n v="13"/>
    <x v="32"/>
    <n v="17"/>
    <n v="7"/>
    <n v="56"/>
    <n v="0.70000000000000007"/>
    <n v="0"/>
    <n v="0"/>
  </r>
  <r>
    <x v="8950"/>
    <n v="7"/>
    <n v="56"/>
    <n v="63"/>
    <n v="17"/>
    <n v="18"/>
    <x v="27"/>
    <n v="19"/>
    <n v="6"/>
    <n v="55"/>
    <n v="0.60000000000000009"/>
    <n v="0"/>
    <n v="0"/>
  </r>
  <r>
    <x v="8951"/>
    <n v="6"/>
    <n v="55"/>
    <n v="61"/>
    <n v="19"/>
    <n v="24"/>
    <x v="13"/>
    <n v="20"/>
    <n v="10"/>
    <n v="50"/>
    <n v="1"/>
    <n v="0"/>
    <n v="0"/>
  </r>
  <r>
    <x v="8952"/>
    <n v="10"/>
    <n v="50"/>
    <n v="60"/>
    <n v="20"/>
    <n v="14"/>
    <x v="32"/>
    <n v="22"/>
    <n v="2"/>
    <n v="56"/>
    <n v="0.2"/>
    <n v="0"/>
    <n v="0"/>
  </r>
  <r>
    <x v="8953"/>
    <n v="2"/>
    <n v="56"/>
    <n v="58"/>
    <n v="22"/>
    <n v="17"/>
    <x v="23"/>
    <n v="22"/>
    <n v="-3"/>
    <n v="61"/>
    <n v="0"/>
    <n v="1"/>
    <n v="3"/>
  </r>
  <r>
    <x v="8954"/>
    <n v="-3"/>
    <n v="61"/>
    <n v="58"/>
    <n v="22"/>
    <n v="19"/>
    <x v="8"/>
    <n v="16"/>
    <n v="0"/>
    <n v="64"/>
    <n v="0"/>
    <n v="0"/>
    <n v="0"/>
  </r>
  <r>
    <x v="8955"/>
    <n v="0"/>
    <n v="64"/>
    <n v="64"/>
    <n v="16"/>
    <n v="20"/>
    <x v="4"/>
    <n v="19"/>
    <n v="1"/>
    <n v="60"/>
    <n v="0.1"/>
    <n v="0"/>
    <n v="0"/>
  </r>
  <r>
    <x v="8956"/>
    <n v="1"/>
    <n v="60"/>
    <n v="61"/>
    <n v="19"/>
    <n v="22"/>
    <x v="24"/>
    <n v="25"/>
    <n v="-2"/>
    <n v="57"/>
    <n v="0"/>
    <n v="1"/>
    <n v="2"/>
  </r>
  <r>
    <x v="8957"/>
    <n v="-2"/>
    <n v="57"/>
    <n v="55"/>
    <n v="25"/>
    <n v="22"/>
    <x v="4"/>
    <n v="18"/>
    <n v="2"/>
    <n v="60"/>
    <n v="0.2"/>
    <n v="0"/>
    <n v="0"/>
  </r>
  <r>
    <x v="8958"/>
    <n v="2"/>
    <n v="60"/>
    <n v="62"/>
    <n v="18"/>
    <n v="16"/>
    <x v="33"/>
    <n v="23"/>
    <n v="-5"/>
    <n v="62"/>
    <n v="0"/>
    <n v="1"/>
    <n v="5"/>
  </r>
  <r>
    <x v="8959"/>
    <n v="-5"/>
    <n v="62"/>
    <n v="57"/>
    <n v="23"/>
    <n v="19"/>
    <x v="7"/>
    <n v="22"/>
    <n v="-8"/>
    <n v="66"/>
    <n v="0"/>
    <n v="1"/>
    <n v="8"/>
  </r>
  <r>
    <x v="8960"/>
    <n v="-8"/>
    <n v="66"/>
    <n v="58"/>
    <n v="22"/>
    <n v="25"/>
    <x v="22"/>
    <n v="21"/>
    <n v="-4"/>
    <n v="63"/>
    <n v="0"/>
    <n v="1"/>
    <n v="4"/>
  </r>
  <r>
    <x v="8961"/>
    <n v="-4"/>
    <n v="63"/>
    <n v="59"/>
    <n v="21"/>
    <n v="18"/>
    <x v="7"/>
    <n v="23"/>
    <n v="-9"/>
    <n v="66"/>
    <n v="0"/>
    <n v="1"/>
    <n v="9"/>
  </r>
  <r>
    <x v="8962"/>
    <n v="-9"/>
    <n v="66"/>
    <n v="57"/>
    <n v="23"/>
    <n v="23"/>
    <x v="7"/>
    <n v="25"/>
    <n v="-11"/>
    <n v="66"/>
    <n v="0"/>
    <n v="1"/>
    <n v="11"/>
  </r>
  <r>
    <x v="8963"/>
    <n v="-11"/>
    <n v="66"/>
    <n v="55"/>
    <n v="25"/>
    <n v="22"/>
    <x v="30"/>
    <n v="20"/>
    <n v="-9"/>
    <n v="69"/>
    <n v="0"/>
    <n v="1"/>
    <n v="9"/>
  </r>
  <r>
    <x v="8964"/>
    <n v="-9"/>
    <n v="69"/>
    <n v="60"/>
    <n v="20"/>
    <n v="21"/>
    <x v="17"/>
    <n v="16"/>
    <n v="-4"/>
    <n v="68"/>
    <n v="0"/>
    <n v="1"/>
    <n v="4"/>
  </r>
  <r>
    <x v="8965"/>
    <n v="-4"/>
    <n v="68"/>
    <n v="64"/>
    <n v="16"/>
    <n v="23"/>
    <x v="23"/>
    <n v="16"/>
    <n v="3"/>
    <n v="61"/>
    <n v="0.30000000000000004"/>
    <n v="0"/>
    <n v="0"/>
  </r>
  <r>
    <x v="8966"/>
    <n v="3"/>
    <n v="61"/>
    <n v="64"/>
    <n v="16"/>
    <n v="25"/>
    <x v="25"/>
    <n v="23"/>
    <n v="5"/>
    <n v="52"/>
    <n v="0.5"/>
    <n v="0"/>
    <n v="0"/>
  </r>
  <r>
    <x v="8967"/>
    <n v="5"/>
    <n v="52"/>
    <n v="57"/>
    <n v="23"/>
    <n v="20"/>
    <x v="27"/>
    <n v="21"/>
    <n v="4"/>
    <n v="55"/>
    <n v="0.4"/>
    <n v="0"/>
    <n v="0"/>
  </r>
  <r>
    <x v="8968"/>
    <n v="4"/>
    <n v="55"/>
    <n v="59"/>
    <n v="21"/>
    <n v="16"/>
    <x v="4"/>
    <n v="17"/>
    <n v="3"/>
    <n v="60"/>
    <n v="0.30000000000000004"/>
    <n v="0"/>
    <n v="0"/>
  </r>
  <r>
    <x v="8969"/>
    <n v="3"/>
    <n v="60"/>
    <n v="63"/>
    <n v="17"/>
    <n v="16"/>
    <x v="23"/>
    <n v="26"/>
    <n v="-7"/>
    <n v="61"/>
    <n v="0"/>
    <n v="1"/>
    <n v="7"/>
  </r>
  <r>
    <x v="8970"/>
    <n v="-7"/>
    <n v="61"/>
    <n v="54"/>
    <n v="26"/>
    <n v="23"/>
    <x v="8"/>
    <n v="23"/>
    <n v="-7"/>
    <n v="64"/>
    <n v="0"/>
    <n v="1"/>
    <n v="7"/>
  </r>
  <r>
    <x v="8971"/>
    <n v="-7"/>
    <n v="64"/>
    <n v="57"/>
    <n v="23"/>
    <n v="21"/>
    <x v="7"/>
    <n v="24"/>
    <n v="-10"/>
    <n v="66"/>
    <n v="0"/>
    <n v="1"/>
    <n v="10"/>
  </r>
  <r>
    <x v="8972"/>
    <n v="-10"/>
    <n v="66"/>
    <n v="56"/>
    <n v="24"/>
    <n v="17"/>
    <x v="31"/>
    <n v="19"/>
    <n v="-12"/>
    <n v="73"/>
    <n v="0"/>
    <n v="1"/>
    <n v="12"/>
  </r>
  <r>
    <x v="8973"/>
    <n v="-12"/>
    <n v="73"/>
    <n v="61"/>
    <n v="19"/>
    <n v="26"/>
    <x v="7"/>
    <n v="13"/>
    <n v="1"/>
    <n v="66"/>
    <n v="0.1"/>
    <n v="0"/>
    <n v="0"/>
  </r>
  <r>
    <x v="8974"/>
    <n v="1"/>
    <n v="66"/>
    <n v="67"/>
    <n v="13"/>
    <n v="23"/>
    <x v="32"/>
    <n v="16"/>
    <n v="8"/>
    <n v="56"/>
    <n v="0.8"/>
    <n v="0"/>
    <n v="0"/>
  </r>
  <r>
    <x v="8975"/>
    <n v="8"/>
    <n v="56"/>
    <n v="64"/>
    <n v="16"/>
    <n v="24"/>
    <x v="15"/>
    <n v="17"/>
    <n v="15"/>
    <n v="48"/>
    <n v="1.5"/>
    <n v="0"/>
    <n v="0"/>
  </r>
  <r>
    <x v="8976"/>
    <n v="15"/>
    <n v="48"/>
    <n v="63"/>
    <n v="17"/>
    <n v="19"/>
    <x v="38"/>
    <n v="16"/>
    <n v="18"/>
    <n v="46"/>
    <n v="1.8"/>
    <n v="0"/>
    <n v="0"/>
  </r>
  <r>
    <x v="8977"/>
    <n v="18"/>
    <n v="46"/>
    <n v="64"/>
    <n v="16"/>
    <n v="13"/>
    <x v="10"/>
    <n v="27"/>
    <n v="4"/>
    <n v="49"/>
    <n v="0.4"/>
    <n v="0"/>
    <n v="0"/>
  </r>
  <r>
    <x v="8978"/>
    <n v="4"/>
    <n v="49"/>
    <n v="53"/>
    <n v="27"/>
    <n v="16"/>
    <x v="4"/>
    <n v="19"/>
    <n v="1"/>
    <n v="60"/>
    <n v="0.1"/>
    <n v="0"/>
    <n v="0"/>
  </r>
  <r>
    <x v="8979"/>
    <n v="1"/>
    <n v="60"/>
    <n v="61"/>
    <n v="19"/>
    <n v="17"/>
    <x v="33"/>
    <n v="24"/>
    <n v="-6"/>
    <n v="62"/>
    <n v="0"/>
    <n v="1"/>
    <n v="6"/>
  </r>
  <r>
    <x v="8980"/>
    <n v="-6"/>
    <n v="62"/>
    <n v="56"/>
    <n v="24"/>
    <n v="16"/>
    <x v="6"/>
    <n v="12"/>
    <n v="-2"/>
    <n v="70"/>
    <n v="0"/>
    <n v="1"/>
    <n v="2"/>
  </r>
  <r>
    <x v="8981"/>
    <n v="-2"/>
    <n v="70"/>
    <n v="68"/>
    <n v="12"/>
    <n v="27"/>
    <x v="27"/>
    <n v="24"/>
    <n v="1"/>
    <n v="55"/>
    <n v="0.1"/>
    <n v="0"/>
    <n v="0"/>
  </r>
  <r>
    <x v="8982"/>
    <n v="1"/>
    <n v="55"/>
    <n v="56"/>
    <n v="24"/>
    <n v="19"/>
    <x v="4"/>
    <n v="25"/>
    <n v="-5"/>
    <n v="60"/>
    <n v="0"/>
    <n v="1"/>
    <n v="5"/>
  </r>
  <r>
    <x v="8983"/>
    <n v="-5"/>
    <n v="60"/>
    <n v="55"/>
    <n v="25"/>
    <n v="24"/>
    <x v="23"/>
    <n v="28"/>
    <n v="-9"/>
    <n v="61"/>
    <n v="0"/>
    <n v="1"/>
    <n v="9"/>
  </r>
  <r>
    <x v="8984"/>
    <n v="-9"/>
    <n v="61"/>
    <n v="52"/>
    <n v="28"/>
    <n v="12"/>
    <x v="18"/>
    <n v="29"/>
    <n v="-26"/>
    <n v="77"/>
    <n v="0"/>
    <n v="1"/>
    <n v="26"/>
  </r>
  <r>
    <x v="8985"/>
    <n v="-26"/>
    <n v="77"/>
    <n v="51"/>
    <n v="29"/>
    <n v="24"/>
    <x v="19"/>
    <n v="13"/>
    <n v="-15"/>
    <n v="82"/>
    <n v="0"/>
    <n v="1"/>
    <n v="13"/>
  </r>
  <r>
    <x v="8986"/>
    <n v="-15"/>
    <n v="82"/>
    <n v="67"/>
    <n v="13"/>
    <n v="25"/>
    <x v="6"/>
    <n v="21"/>
    <n v="-11"/>
    <n v="70"/>
    <n v="0"/>
    <n v="1"/>
    <n v="11"/>
  </r>
  <r>
    <x v="8987"/>
    <n v="-11"/>
    <n v="70"/>
    <n v="59"/>
    <n v="21"/>
    <n v="28"/>
    <x v="22"/>
    <n v="16"/>
    <n v="1"/>
    <n v="63"/>
    <n v="0.1"/>
    <n v="0"/>
    <n v="0"/>
  </r>
  <r>
    <x v="8988"/>
    <n v="1"/>
    <n v="63"/>
    <n v="64"/>
    <n v="16"/>
    <n v="29"/>
    <x v="13"/>
    <n v="19"/>
    <n v="11"/>
    <n v="50"/>
    <n v="1.1000000000000001"/>
    <n v="0"/>
    <n v="0"/>
  </r>
  <r>
    <x v="8989"/>
    <n v="11"/>
    <n v="50"/>
    <n v="61"/>
    <n v="19"/>
    <n v="13"/>
    <x v="32"/>
    <n v="13"/>
    <n v="11"/>
    <n v="56"/>
    <n v="1.1000000000000001"/>
    <n v="0"/>
    <n v="0"/>
  </r>
  <r>
    <x v="8990"/>
    <n v="11"/>
    <n v="56"/>
    <n v="67"/>
    <n v="13"/>
    <n v="21"/>
    <x v="15"/>
    <n v="14"/>
    <n v="18"/>
    <n v="48"/>
    <n v="1.8"/>
    <n v="0"/>
    <n v="0"/>
  </r>
  <r>
    <x v="8991"/>
    <n v="18"/>
    <n v="48"/>
    <n v="66"/>
    <n v="14"/>
    <n v="16"/>
    <x v="38"/>
    <n v="27"/>
    <n v="7"/>
    <n v="46"/>
    <n v="0.70000000000000007"/>
    <n v="0"/>
    <n v="0"/>
  </r>
  <r>
    <x v="8992"/>
    <n v="7"/>
    <n v="46"/>
    <n v="53"/>
    <n v="27"/>
    <n v="19"/>
    <x v="16"/>
    <n v="19"/>
    <n v="7"/>
    <n v="54"/>
    <n v="0.70000000000000007"/>
    <n v="0"/>
    <n v="0"/>
  </r>
  <r>
    <x v="8993"/>
    <n v="7"/>
    <n v="54"/>
    <n v="61"/>
    <n v="19"/>
    <n v="13"/>
    <x v="4"/>
    <n v="21"/>
    <n v="-1"/>
    <n v="60"/>
    <n v="0"/>
    <n v="1"/>
    <n v="1"/>
  </r>
  <r>
    <x v="8994"/>
    <n v="-1"/>
    <n v="60"/>
    <n v="59"/>
    <n v="21"/>
    <n v="14"/>
    <x v="21"/>
    <n v="19"/>
    <n v="-6"/>
    <n v="67"/>
    <n v="0"/>
    <n v="1"/>
    <n v="6"/>
  </r>
  <r>
    <x v="8995"/>
    <n v="-6"/>
    <n v="67"/>
    <n v="61"/>
    <n v="19"/>
    <n v="27"/>
    <x v="5"/>
    <n v="10"/>
    <n v="11"/>
    <n v="59"/>
    <n v="1.1000000000000001"/>
    <n v="0"/>
    <n v="0"/>
  </r>
  <r>
    <x v="8996"/>
    <n v="11"/>
    <n v="59"/>
    <n v="70"/>
    <n v="10"/>
    <n v="19"/>
    <x v="13"/>
    <n v="19"/>
    <n v="11"/>
    <n v="50"/>
    <n v="1.1000000000000001"/>
    <n v="0"/>
    <n v="0"/>
  </r>
  <r>
    <x v="8997"/>
    <n v="11"/>
    <n v="50"/>
    <n v="61"/>
    <n v="19"/>
    <n v="21"/>
    <x v="15"/>
    <n v="16"/>
    <n v="16"/>
    <n v="48"/>
    <n v="1.6"/>
    <n v="0"/>
    <n v="0"/>
  </r>
  <r>
    <x v="8998"/>
    <n v="16"/>
    <n v="48"/>
    <n v="64"/>
    <n v="16"/>
    <n v="19"/>
    <x v="11"/>
    <n v="20"/>
    <n v="15"/>
    <n v="45"/>
    <n v="1.5"/>
    <n v="0"/>
    <n v="0"/>
  </r>
  <r>
    <x v="8999"/>
    <n v="15"/>
    <n v="45"/>
    <n v="60"/>
    <n v="20"/>
    <n v="10"/>
    <x v="27"/>
    <n v="17"/>
    <n v="8"/>
    <n v="55"/>
    <n v="0.8"/>
    <n v="0"/>
    <n v="0"/>
  </r>
  <r>
    <x v="9000"/>
    <n v="8"/>
    <n v="55"/>
    <n v="63"/>
    <n v="17"/>
    <n v="19"/>
    <x v="12"/>
    <n v="24"/>
    <n v="3"/>
    <n v="53"/>
    <n v="0.30000000000000004"/>
    <n v="0"/>
    <n v="0"/>
  </r>
  <r>
    <x v="9001"/>
    <n v="3"/>
    <n v="53"/>
    <n v="56"/>
    <n v="24"/>
    <n v="16"/>
    <x v="23"/>
    <n v="17"/>
    <n v="2"/>
    <n v="61"/>
    <n v="0.2"/>
    <n v="0"/>
    <n v="0"/>
  </r>
  <r>
    <x v="9002"/>
    <n v="2"/>
    <n v="61"/>
    <n v="63"/>
    <n v="17"/>
    <n v="20"/>
    <x v="28"/>
    <n v="22"/>
    <n v="0"/>
    <n v="58"/>
    <n v="0"/>
    <n v="0"/>
    <n v="0"/>
  </r>
  <r>
    <x v="9003"/>
    <n v="0"/>
    <n v="58"/>
    <n v="58"/>
    <n v="22"/>
    <n v="17"/>
    <x v="22"/>
    <n v="18"/>
    <n v="-1"/>
    <n v="63"/>
    <n v="0"/>
    <n v="1"/>
    <n v="1"/>
  </r>
  <r>
    <x v="9004"/>
    <n v="-1"/>
    <n v="63"/>
    <n v="62"/>
    <n v="18"/>
    <n v="24"/>
    <x v="24"/>
    <n v="24"/>
    <n v="-1"/>
    <n v="57"/>
    <n v="0"/>
    <n v="1"/>
    <n v="1"/>
  </r>
  <r>
    <x v="9005"/>
    <n v="-1"/>
    <n v="57"/>
    <n v="56"/>
    <n v="24"/>
    <n v="17"/>
    <x v="8"/>
    <n v="22"/>
    <n v="-6"/>
    <n v="64"/>
    <n v="0"/>
    <n v="1"/>
    <n v="6"/>
  </r>
  <r>
    <x v="9006"/>
    <n v="-6"/>
    <n v="64"/>
    <n v="58"/>
    <n v="22"/>
    <n v="22"/>
    <x v="8"/>
    <n v="16"/>
    <n v="0"/>
    <n v="64"/>
    <n v="0"/>
    <n v="0"/>
    <n v="0"/>
  </r>
  <r>
    <x v="9007"/>
    <n v="0"/>
    <n v="64"/>
    <n v="64"/>
    <n v="16"/>
    <n v="18"/>
    <x v="33"/>
    <n v="11"/>
    <n v="7"/>
    <n v="62"/>
    <n v="0.70000000000000007"/>
    <n v="0"/>
    <n v="0"/>
  </r>
  <r>
    <x v="9008"/>
    <n v="7"/>
    <n v="62"/>
    <n v="69"/>
    <n v="11"/>
    <n v="24"/>
    <x v="10"/>
    <n v="22"/>
    <n v="9"/>
    <n v="49"/>
    <n v="0.9"/>
    <n v="0"/>
    <n v="0"/>
  </r>
  <r>
    <x v="9009"/>
    <n v="9"/>
    <n v="49"/>
    <n v="58"/>
    <n v="22"/>
    <n v="22"/>
    <x v="10"/>
    <n v="28"/>
    <n v="3"/>
    <n v="49"/>
    <n v="0.30000000000000004"/>
    <n v="0"/>
    <n v="0"/>
  </r>
  <r>
    <x v="9010"/>
    <n v="3"/>
    <n v="49"/>
    <n v="52"/>
    <n v="28"/>
    <n v="16"/>
    <x v="23"/>
    <n v="19"/>
    <n v="0"/>
    <n v="61"/>
    <n v="0"/>
    <n v="0"/>
    <n v="0"/>
  </r>
  <r>
    <x v="9011"/>
    <n v="0"/>
    <n v="61"/>
    <n v="61"/>
    <n v="19"/>
    <n v="11"/>
    <x v="30"/>
    <n v="18"/>
    <n v="-7"/>
    <n v="69"/>
    <n v="0"/>
    <n v="1"/>
    <n v="7"/>
  </r>
  <r>
    <x v="9012"/>
    <n v="-7"/>
    <n v="69"/>
    <n v="62"/>
    <n v="18"/>
    <n v="22"/>
    <x v="26"/>
    <n v="22"/>
    <n v="-7"/>
    <n v="65"/>
    <n v="0"/>
    <n v="1"/>
    <n v="7"/>
  </r>
  <r>
    <x v="9013"/>
    <n v="-7"/>
    <n v="65"/>
    <n v="58"/>
    <n v="22"/>
    <n v="28"/>
    <x v="5"/>
    <n v="15"/>
    <n v="6"/>
    <n v="59"/>
    <n v="0.60000000000000009"/>
    <n v="0"/>
    <n v="0"/>
  </r>
  <r>
    <x v="9014"/>
    <n v="6"/>
    <n v="59"/>
    <n v="65"/>
    <n v="15"/>
    <n v="19"/>
    <x v="27"/>
    <n v="25"/>
    <n v="0"/>
    <n v="55"/>
    <n v="0"/>
    <n v="0"/>
    <n v="0"/>
  </r>
  <r>
    <x v="9015"/>
    <n v="0"/>
    <n v="55"/>
    <n v="55"/>
    <n v="25"/>
    <n v="18"/>
    <x v="33"/>
    <n v="17"/>
    <n v="1"/>
    <n v="62"/>
    <n v="0.1"/>
    <n v="0"/>
    <n v="0"/>
  </r>
  <r>
    <x v="9016"/>
    <n v="1"/>
    <n v="62"/>
    <n v="63"/>
    <n v="17"/>
    <n v="22"/>
    <x v="24"/>
    <n v="20"/>
    <n v="3"/>
    <n v="57"/>
    <n v="0.30000000000000004"/>
    <n v="0"/>
    <n v="0"/>
  </r>
  <r>
    <x v="9017"/>
    <n v="3"/>
    <n v="57"/>
    <n v="60"/>
    <n v="20"/>
    <n v="15"/>
    <x v="33"/>
    <n v="22"/>
    <n v="-4"/>
    <n v="62"/>
    <n v="0"/>
    <n v="1"/>
    <n v="4"/>
  </r>
  <r>
    <x v="9018"/>
    <n v="-4"/>
    <n v="62"/>
    <n v="58"/>
    <n v="22"/>
    <n v="25"/>
    <x v="5"/>
    <n v="18"/>
    <n v="3"/>
    <n v="59"/>
    <n v="0.30000000000000004"/>
    <n v="0"/>
    <n v="0"/>
  </r>
  <r>
    <x v="9019"/>
    <n v="3"/>
    <n v="59"/>
    <n v="62"/>
    <n v="18"/>
    <n v="17"/>
    <x v="4"/>
    <n v="15"/>
    <n v="5"/>
    <n v="60"/>
    <n v="0.5"/>
    <n v="0"/>
    <n v="0"/>
  </r>
  <r>
    <x v="9020"/>
    <n v="5"/>
    <n v="60"/>
    <n v="65"/>
    <n v="15"/>
    <n v="20"/>
    <x v="27"/>
    <n v="19"/>
    <n v="6"/>
    <n v="55"/>
    <n v="0.60000000000000009"/>
    <n v="0"/>
    <n v="0"/>
  </r>
  <r>
    <x v="9021"/>
    <n v="6"/>
    <n v="55"/>
    <n v="61"/>
    <n v="19"/>
    <n v="22"/>
    <x v="25"/>
    <n v="30"/>
    <n v="-2"/>
    <n v="52"/>
    <n v="0"/>
    <n v="1"/>
    <n v="2"/>
  </r>
  <r>
    <x v="9022"/>
    <n v="-2"/>
    <n v="52"/>
    <n v="50"/>
    <n v="30"/>
    <n v="18"/>
    <x v="8"/>
    <n v="17"/>
    <n v="-1"/>
    <n v="64"/>
    <n v="0"/>
    <n v="1"/>
    <n v="1"/>
  </r>
  <r>
    <x v="9023"/>
    <n v="-1"/>
    <n v="64"/>
    <n v="63"/>
    <n v="17"/>
    <n v="15"/>
    <x v="7"/>
    <n v="22"/>
    <n v="-8"/>
    <n v="66"/>
    <n v="0"/>
    <n v="1"/>
    <n v="8"/>
  </r>
  <r>
    <x v="9024"/>
    <n v="-8"/>
    <n v="66"/>
    <n v="58"/>
    <n v="22"/>
    <n v="19"/>
    <x v="30"/>
    <n v="25"/>
    <n v="-14"/>
    <n v="69"/>
    <n v="0"/>
    <n v="1"/>
    <n v="14"/>
  </r>
  <r>
    <x v="9025"/>
    <n v="-14"/>
    <n v="69"/>
    <n v="55"/>
    <n v="25"/>
    <n v="30"/>
    <x v="8"/>
    <n v="18"/>
    <n v="-2"/>
    <n v="64"/>
    <n v="0"/>
    <n v="1"/>
    <n v="2"/>
  </r>
  <r>
    <x v="9026"/>
    <n v="-2"/>
    <n v="64"/>
    <n v="62"/>
    <n v="18"/>
    <n v="17"/>
    <x v="26"/>
    <n v="23"/>
    <n v="-8"/>
    <n v="65"/>
    <n v="0"/>
    <n v="1"/>
    <n v="8"/>
  </r>
  <r>
    <x v="9027"/>
    <n v="-8"/>
    <n v="65"/>
    <n v="57"/>
    <n v="23"/>
    <n v="22"/>
    <x v="7"/>
    <n v="18"/>
    <n v="-4"/>
    <n v="66"/>
    <n v="0"/>
    <n v="1"/>
    <n v="4"/>
  </r>
  <r>
    <x v="9028"/>
    <n v="-4"/>
    <n v="66"/>
    <n v="62"/>
    <n v="18"/>
    <n v="25"/>
    <x v="5"/>
    <n v="26"/>
    <n v="-5"/>
    <n v="59"/>
    <n v="0"/>
    <n v="1"/>
    <n v="5"/>
  </r>
  <r>
    <x v="9029"/>
    <n v="-5"/>
    <n v="59"/>
    <n v="54"/>
    <n v="26"/>
    <n v="18"/>
    <x v="21"/>
    <n v="19"/>
    <n v="-6"/>
    <n v="67"/>
    <n v="0"/>
    <n v="1"/>
    <n v="6"/>
  </r>
  <r>
    <x v="9030"/>
    <n v="-6"/>
    <n v="67"/>
    <n v="61"/>
    <n v="19"/>
    <n v="23"/>
    <x v="22"/>
    <n v="18"/>
    <n v="-1"/>
    <n v="63"/>
    <n v="0"/>
    <n v="1"/>
    <n v="1"/>
  </r>
  <r>
    <x v="9031"/>
    <n v="-1"/>
    <n v="63"/>
    <n v="62"/>
    <n v="18"/>
    <n v="18"/>
    <x v="22"/>
    <n v="20"/>
    <n v="-3"/>
    <n v="63"/>
    <n v="0"/>
    <n v="1"/>
    <n v="3"/>
  </r>
  <r>
    <x v="9032"/>
    <n v="-3"/>
    <n v="63"/>
    <n v="60"/>
    <n v="20"/>
    <n v="26"/>
    <x v="24"/>
    <n v="14"/>
    <n v="9"/>
    <n v="57"/>
    <n v="0.9"/>
    <n v="0"/>
    <n v="0"/>
  </r>
  <r>
    <x v="9033"/>
    <n v="9"/>
    <n v="57"/>
    <n v="66"/>
    <n v="14"/>
    <n v="19"/>
    <x v="25"/>
    <n v="23"/>
    <n v="5"/>
    <n v="52"/>
    <n v="0.5"/>
    <n v="0"/>
    <n v="0"/>
  </r>
  <r>
    <x v="9034"/>
    <n v="5"/>
    <n v="52"/>
    <n v="57"/>
    <n v="23"/>
    <n v="18"/>
    <x v="24"/>
    <n v="26"/>
    <n v="-3"/>
    <n v="57"/>
    <n v="0"/>
    <n v="1"/>
    <n v="3"/>
  </r>
  <r>
    <x v="9035"/>
    <n v="-3"/>
    <n v="57"/>
    <n v="54"/>
    <n v="26"/>
    <n v="20"/>
    <x v="22"/>
    <n v="24"/>
    <n v="-7"/>
    <n v="63"/>
    <n v="0"/>
    <n v="1"/>
    <n v="7"/>
  </r>
  <r>
    <x v="9036"/>
    <n v="-7"/>
    <n v="63"/>
    <n v="56"/>
    <n v="24"/>
    <n v="14"/>
    <x v="31"/>
    <n v="22"/>
    <n v="-15"/>
    <n v="73"/>
    <n v="0"/>
    <n v="1"/>
    <n v="15"/>
  </r>
  <r>
    <x v="9037"/>
    <n v="-15"/>
    <n v="73"/>
    <n v="58"/>
    <n v="22"/>
    <n v="23"/>
    <x v="29"/>
    <n v="16"/>
    <n v="-8"/>
    <n v="72"/>
    <n v="0"/>
    <n v="1"/>
    <n v="8"/>
  </r>
  <r>
    <x v="9038"/>
    <n v="-8"/>
    <n v="72"/>
    <n v="64"/>
    <n v="16"/>
    <n v="26"/>
    <x v="33"/>
    <n v="15"/>
    <n v="3"/>
    <n v="62"/>
    <n v="0.30000000000000004"/>
    <n v="0"/>
    <n v="0"/>
  </r>
  <r>
    <x v="9039"/>
    <n v="3"/>
    <n v="62"/>
    <n v="65"/>
    <n v="15"/>
    <n v="24"/>
    <x v="12"/>
    <n v="14"/>
    <n v="13"/>
    <n v="53"/>
    <n v="1.3"/>
    <n v="0"/>
    <n v="0"/>
  </r>
  <r>
    <x v="9040"/>
    <n v="13"/>
    <n v="53"/>
    <n v="66"/>
    <n v="14"/>
    <n v="22"/>
    <x v="11"/>
    <n v="28"/>
    <n v="7"/>
    <n v="45"/>
    <n v="0.70000000000000007"/>
    <n v="0"/>
    <n v="0"/>
  </r>
  <r>
    <x v="9041"/>
    <n v="7"/>
    <n v="45"/>
    <n v="52"/>
    <n v="28"/>
    <n v="16"/>
    <x v="24"/>
    <n v="19"/>
    <n v="4"/>
    <n v="57"/>
    <n v="0.4"/>
    <n v="0"/>
    <n v="0"/>
  </r>
  <r>
    <x v="9042"/>
    <n v="4"/>
    <n v="57"/>
    <n v="61"/>
    <n v="19"/>
    <n v="15"/>
    <x v="23"/>
    <n v="18"/>
    <n v="1"/>
    <n v="61"/>
    <n v="0.1"/>
    <n v="0"/>
    <n v="0"/>
  </r>
  <r>
    <x v="9043"/>
    <n v="1"/>
    <n v="61"/>
    <n v="62"/>
    <n v="18"/>
    <n v="14"/>
    <x v="26"/>
    <n v="25"/>
    <n v="-10"/>
    <n v="65"/>
    <n v="0"/>
    <n v="1"/>
    <n v="10"/>
  </r>
  <r>
    <x v="9044"/>
    <n v="-10"/>
    <n v="65"/>
    <n v="55"/>
    <n v="25"/>
    <n v="28"/>
    <x v="33"/>
    <n v="25"/>
    <n v="-7"/>
    <n v="62"/>
    <n v="0"/>
    <n v="1"/>
    <n v="7"/>
  </r>
  <r>
    <x v="9045"/>
    <n v="-7"/>
    <n v="62"/>
    <n v="55"/>
    <n v="25"/>
    <n v="19"/>
    <x v="17"/>
    <n v="24"/>
    <n v="-12"/>
    <n v="68"/>
    <n v="0"/>
    <n v="1"/>
    <n v="12"/>
  </r>
  <r>
    <x v="9046"/>
    <n v="-12"/>
    <n v="68"/>
    <n v="56"/>
    <n v="24"/>
    <n v="18"/>
    <x v="39"/>
    <n v="21"/>
    <n v="-15"/>
    <n v="74"/>
    <n v="0"/>
    <n v="1"/>
    <n v="15"/>
  </r>
  <r>
    <x v="9047"/>
    <n v="-15"/>
    <n v="74"/>
    <n v="59"/>
    <n v="21"/>
    <n v="25"/>
    <x v="6"/>
    <n v="20"/>
    <n v="-10"/>
    <n v="70"/>
    <n v="0"/>
    <n v="1"/>
    <n v="10"/>
  </r>
  <r>
    <x v="9048"/>
    <n v="-10"/>
    <n v="70"/>
    <n v="60"/>
    <n v="20"/>
    <n v="25"/>
    <x v="26"/>
    <n v="16"/>
    <n v="-1"/>
    <n v="65"/>
    <n v="0"/>
    <n v="1"/>
    <n v="1"/>
  </r>
  <r>
    <x v="9049"/>
    <n v="-1"/>
    <n v="65"/>
    <n v="64"/>
    <n v="16"/>
    <n v="24"/>
    <x v="24"/>
    <n v="20"/>
    <n v="3"/>
    <n v="57"/>
    <n v="0.30000000000000004"/>
    <n v="0"/>
    <n v="0"/>
  </r>
  <r>
    <x v="9050"/>
    <n v="3"/>
    <n v="57"/>
    <n v="60"/>
    <n v="20"/>
    <n v="21"/>
    <x v="32"/>
    <n v="19"/>
    <n v="5"/>
    <n v="56"/>
    <n v="0.5"/>
    <n v="0"/>
    <n v="0"/>
  </r>
  <r>
    <x v="9051"/>
    <n v="5"/>
    <n v="56"/>
    <n v="61"/>
    <n v="19"/>
    <n v="20"/>
    <x v="27"/>
    <n v="23"/>
    <n v="2"/>
    <n v="55"/>
    <n v="0.2"/>
    <n v="0"/>
    <n v="0"/>
  </r>
  <r>
    <x v="9052"/>
    <n v="2"/>
    <n v="55"/>
    <n v="57"/>
    <n v="23"/>
    <n v="16"/>
    <x v="33"/>
    <n v="21"/>
    <n v="-3"/>
    <n v="62"/>
    <n v="0"/>
    <n v="1"/>
    <n v="3"/>
  </r>
  <r>
    <x v="9053"/>
    <n v="-3"/>
    <n v="62"/>
    <n v="59"/>
    <n v="21"/>
    <n v="20"/>
    <x v="22"/>
    <n v="19"/>
    <n v="-2"/>
    <n v="63"/>
    <n v="0"/>
    <n v="1"/>
    <n v="2"/>
  </r>
  <r>
    <x v="9054"/>
    <n v="-2"/>
    <n v="63"/>
    <n v="61"/>
    <n v="19"/>
    <n v="19"/>
    <x v="22"/>
    <n v="19"/>
    <n v="-2"/>
    <n v="63"/>
    <n v="0"/>
    <n v="1"/>
    <n v="2"/>
  </r>
  <r>
    <x v="9055"/>
    <n v="-2"/>
    <n v="63"/>
    <n v="61"/>
    <n v="19"/>
    <n v="23"/>
    <x v="5"/>
    <n v="16"/>
    <n v="5"/>
    <n v="59"/>
    <n v="0.5"/>
    <n v="0"/>
    <n v="0"/>
  </r>
  <r>
    <x v="9056"/>
    <n v="5"/>
    <n v="59"/>
    <n v="64"/>
    <n v="16"/>
    <n v="21"/>
    <x v="16"/>
    <n v="22"/>
    <n v="4"/>
    <n v="54"/>
    <n v="0.4"/>
    <n v="0"/>
    <n v="0"/>
  </r>
  <r>
    <x v="9057"/>
    <n v="4"/>
    <n v="54"/>
    <n v="58"/>
    <n v="22"/>
    <n v="19"/>
    <x v="24"/>
    <n v="20"/>
    <n v="3"/>
    <n v="57"/>
    <n v="0.30000000000000004"/>
    <n v="0"/>
    <n v="0"/>
  </r>
  <r>
    <x v="9058"/>
    <n v="3"/>
    <n v="57"/>
    <n v="60"/>
    <n v="20"/>
    <n v="19"/>
    <x v="28"/>
    <n v="26"/>
    <n v="-4"/>
    <n v="58"/>
    <n v="0"/>
    <n v="1"/>
    <n v="4"/>
  </r>
  <r>
    <x v="9059"/>
    <n v="-4"/>
    <n v="58"/>
    <n v="54"/>
    <n v="26"/>
    <n v="16"/>
    <x v="17"/>
    <n v="27"/>
    <n v="-15"/>
    <n v="68"/>
    <n v="0"/>
    <n v="1"/>
    <n v="15"/>
  </r>
  <r>
    <x v="9060"/>
    <n v="-15"/>
    <n v="68"/>
    <n v="53"/>
    <n v="27"/>
    <n v="22"/>
    <x v="31"/>
    <n v="24"/>
    <n v="-17"/>
    <n v="73"/>
    <n v="0"/>
    <n v="1"/>
    <n v="17"/>
  </r>
  <r>
    <x v="9061"/>
    <n v="-17"/>
    <n v="73"/>
    <n v="56"/>
    <n v="24"/>
    <n v="20"/>
    <x v="18"/>
    <n v="19"/>
    <n v="-16"/>
    <n v="77"/>
    <n v="0"/>
    <n v="1"/>
    <n v="16"/>
  </r>
  <r>
    <x v="9062"/>
    <n v="-16"/>
    <n v="77"/>
    <n v="61"/>
    <n v="19"/>
    <n v="26"/>
    <x v="6"/>
    <n v="18"/>
    <n v="-8"/>
    <n v="70"/>
    <n v="0"/>
    <n v="1"/>
    <n v="8"/>
  </r>
  <r>
    <x v="9063"/>
    <n v="-8"/>
    <n v="70"/>
    <n v="62"/>
    <n v="18"/>
    <n v="27"/>
    <x v="23"/>
    <n v="13"/>
    <n v="6"/>
    <n v="61"/>
    <n v="0.60000000000000009"/>
    <n v="0"/>
    <n v="0"/>
  </r>
  <r>
    <x v="9064"/>
    <n v="6"/>
    <n v="61"/>
    <n v="67"/>
    <n v="13"/>
    <n v="24"/>
    <x v="13"/>
    <n v="27"/>
    <n v="3"/>
    <n v="50"/>
    <n v="0.30000000000000004"/>
    <n v="0"/>
    <n v="0"/>
  </r>
  <r>
    <x v="9065"/>
    <n v="3"/>
    <n v="50"/>
    <n v="53"/>
    <n v="27"/>
    <n v="19"/>
    <x v="28"/>
    <n v="22"/>
    <n v="0"/>
    <n v="58"/>
    <n v="0"/>
    <n v="0"/>
    <n v="0"/>
  </r>
  <r>
    <x v="9066"/>
    <n v="0"/>
    <n v="58"/>
    <n v="58"/>
    <n v="22"/>
    <n v="18"/>
    <x v="33"/>
    <n v="19"/>
    <n v="-1"/>
    <n v="62"/>
    <n v="0"/>
    <n v="1"/>
    <n v="1"/>
  </r>
  <r>
    <x v="9067"/>
    <n v="-1"/>
    <n v="62"/>
    <n v="61"/>
    <n v="19"/>
    <n v="13"/>
    <x v="17"/>
    <n v="17"/>
    <n v="-5"/>
    <n v="68"/>
    <n v="0"/>
    <n v="1"/>
    <n v="5"/>
  </r>
  <r>
    <x v="9068"/>
    <n v="-5"/>
    <n v="68"/>
    <n v="63"/>
    <n v="17"/>
    <n v="27"/>
    <x v="28"/>
    <n v="23"/>
    <n v="-1"/>
    <n v="58"/>
    <n v="0"/>
    <n v="1"/>
    <n v="1"/>
  </r>
  <r>
    <x v="9069"/>
    <n v="-1"/>
    <n v="58"/>
    <n v="57"/>
    <n v="23"/>
    <n v="22"/>
    <x v="5"/>
    <n v="22"/>
    <n v="-1"/>
    <n v="59"/>
    <n v="0"/>
    <n v="1"/>
    <n v="1"/>
  </r>
  <r>
    <x v="9070"/>
    <n v="-1"/>
    <n v="59"/>
    <n v="58"/>
    <n v="22"/>
    <n v="19"/>
    <x v="33"/>
    <n v="20"/>
    <n v="-2"/>
    <n v="62"/>
    <n v="0"/>
    <n v="1"/>
    <n v="2"/>
  </r>
  <r>
    <x v="9071"/>
    <n v="-2"/>
    <n v="62"/>
    <n v="60"/>
    <n v="20"/>
    <n v="17"/>
    <x v="26"/>
    <n v="26"/>
    <n v="-11"/>
    <n v="65"/>
    <n v="0"/>
    <n v="1"/>
    <n v="11"/>
  </r>
  <r>
    <x v="9072"/>
    <n v="-11"/>
    <n v="65"/>
    <n v="54"/>
    <n v="26"/>
    <n v="23"/>
    <x v="17"/>
    <n v="26"/>
    <n v="-14"/>
    <n v="68"/>
    <n v="0"/>
    <n v="1"/>
    <n v="14"/>
  </r>
  <r>
    <x v="9073"/>
    <n v="-14"/>
    <n v="68"/>
    <n v="54"/>
    <n v="26"/>
    <n v="22"/>
    <x v="29"/>
    <n v="13"/>
    <n v="-5"/>
    <n v="72"/>
    <n v="0"/>
    <n v="1"/>
    <n v="5"/>
  </r>
  <r>
    <x v="9074"/>
    <n v="-5"/>
    <n v="72"/>
    <n v="67"/>
    <n v="13"/>
    <n v="20"/>
    <x v="26"/>
    <n v="23"/>
    <n v="-8"/>
    <n v="65"/>
    <n v="0"/>
    <n v="1"/>
    <n v="8"/>
  </r>
  <r>
    <x v="9075"/>
    <n v="-8"/>
    <n v="65"/>
    <n v="57"/>
    <n v="23"/>
    <n v="26"/>
    <x v="33"/>
    <n v="17"/>
    <n v="1"/>
    <n v="62"/>
    <n v="0.1"/>
    <n v="0"/>
    <n v="0"/>
  </r>
  <r>
    <x v="9076"/>
    <n v="1"/>
    <n v="62"/>
    <n v="63"/>
    <n v="17"/>
    <n v="26"/>
    <x v="12"/>
    <n v="23"/>
    <n v="4"/>
    <n v="53"/>
    <n v="0.4"/>
    <n v="0"/>
    <n v="0"/>
  </r>
  <r>
    <x v="9077"/>
    <n v="4"/>
    <n v="53"/>
    <n v="57"/>
    <n v="23"/>
    <n v="13"/>
    <x v="22"/>
    <n v="20"/>
    <n v="-3"/>
    <n v="63"/>
    <n v="0"/>
    <n v="1"/>
    <n v="3"/>
  </r>
  <r>
    <x v="9078"/>
    <n v="-3"/>
    <n v="63"/>
    <n v="60"/>
    <n v="20"/>
    <n v="23"/>
    <x v="4"/>
    <n v="17"/>
    <n v="3"/>
    <n v="60"/>
    <n v="0.30000000000000004"/>
    <n v="0"/>
    <n v="0"/>
  </r>
  <r>
    <x v="9079"/>
    <n v="3"/>
    <n v="60"/>
    <n v="63"/>
    <n v="17"/>
    <n v="17"/>
    <x v="4"/>
    <n v="26"/>
    <n v="-6"/>
    <n v="60"/>
    <n v="0"/>
    <n v="1"/>
    <n v="6"/>
  </r>
  <r>
    <x v="9080"/>
    <n v="-6"/>
    <n v="60"/>
    <n v="54"/>
    <n v="26"/>
    <n v="23"/>
    <x v="22"/>
    <n v="19"/>
    <n v="-2"/>
    <n v="63"/>
    <n v="0"/>
    <n v="1"/>
    <n v="2"/>
  </r>
  <r>
    <x v="9081"/>
    <n v="-2"/>
    <n v="63"/>
    <n v="61"/>
    <n v="19"/>
    <n v="20"/>
    <x v="33"/>
    <n v="24"/>
    <n v="-6"/>
    <n v="62"/>
    <n v="0"/>
    <n v="1"/>
    <n v="6"/>
  </r>
  <r>
    <x v="9082"/>
    <n v="-6"/>
    <n v="62"/>
    <n v="56"/>
    <n v="24"/>
    <n v="17"/>
    <x v="30"/>
    <n v="25"/>
    <n v="-14"/>
    <n v="69"/>
    <n v="0"/>
    <n v="1"/>
    <n v="14"/>
  </r>
  <r>
    <x v="9083"/>
    <n v="-14"/>
    <n v="69"/>
    <n v="55"/>
    <n v="25"/>
    <n v="26"/>
    <x v="17"/>
    <n v="22"/>
    <n v="-10"/>
    <n v="68"/>
    <n v="0"/>
    <n v="1"/>
    <n v="10"/>
  </r>
  <r>
    <x v="9084"/>
    <n v="-10"/>
    <n v="68"/>
    <n v="58"/>
    <n v="22"/>
    <n v="19"/>
    <x v="20"/>
    <n v="22"/>
    <n v="-13"/>
    <n v="71"/>
    <n v="0"/>
    <n v="1"/>
    <n v="13"/>
  </r>
  <r>
    <x v="9085"/>
    <n v="-13"/>
    <n v="71"/>
    <n v="58"/>
    <n v="22"/>
    <n v="24"/>
    <x v="30"/>
    <n v="12"/>
    <n v="-1"/>
    <n v="69"/>
    <n v="0"/>
    <n v="1"/>
    <n v="1"/>
  </r>
  <r>
    <x v="9086"/>
    <n v="-1"/>
    <n v="69"/>
    <n v="68"/>
    <n v="12"/>
    <n v="25"/>
    <x v="32"/>
    <n v="24"/>
    <n v="0"/>
    <n v="56"/>
    <n v="0"/>
    <n v="0"/>
    <n v="0"/>
  </r>
  <r>
    <x v="9087"/>
    <n v="0"/>
    <n v="56"/>
    <n v="56"/>
    <n v="24"/>
    <n v="22"/>
    <x v="28"/>
    <n v="16"/>
    <n v="6"/>
    <n v="58"/>
    <n v="0.60000000000000009"/>
    <n v="0"/>
    <n v="0"/>
  </r>
  <r>
    <x v="9088"/>
    <n v="6"/>
    <n v="58"/>
    <n v="64"/>
    <n v="16"/>
    <n v="22"/>
    <x v="25"/>
    <n v="15"/>
    <n v="13"/>
    <n v="52"/>
    <n v="1.3"/>
    <n v="0"/>
    <n v="0"/>
  </r>
  <r>
    <x v="9089"/>
    <n v="13"/>
    <n v="52"/>
    <n v="65"/>
    <n v="15"/>
    <n v="12"/>
    <x v="27"/>
    <n v="19"/>
    <n v="6"/>
    <n v="55"/>
    <n v="0.60000000000000009"/>
    <n v="0"/>
    <n v="0"/>
  </r>
  <r>
    <x v="9090"/>
    <n v="6"/>
    <n v="55"/>
    <n v="61"/>
    <n v="19"/>
    <n v="24"/>
    <x v="13"/>
    <n v="18"/>
    <n v="12"/>
    <n v="50"/>
    <n v="1.2000000000000002"/>
    <n v="0"/>
    <n v="0"/>
  </r>
  <r>
    <x v="9091"/>
    <n v="12"/>
    <n v="50"/>
    <n v="62"/>
    <n v="18"/>
    <n v="16"/>
    <x v="25"/>
    <n v="22"/>
    <n v="6"/>
    <n v="52"/>
    <n v="0.60000000000000009"/>
    <n v="0"/>
    <n v="0"/>
  </r>
  <r>
    <x v="9092"/>
    <n v="6"/>
    <n v="52"/>
    <n v="58"/>
    <n v="22"/>
    <n v="15"/>
    <x v="5"/>
    <n v="18"/>
    <n v="3"/>
    <n v="59"/>
    <n v="0.30000000000000004"/>
    <n v="0"/>
    <n v="0"/>
  </r>
  <r>
    <x v="9093"/>
    <n v="3"/>
    <n v="59"/>
    <n v="62"/>
    <n v="18"/>
    <n v="19"/>
    <x v="28"/>
    <n v="14"/>
    <n v="8"/>
    <n v="58"/>
    <n v="0.8"/>
    <n v="0"/>
    <n v="0"/>
  </r>
  <r>
    <x v="9094"/>
    <n v="8"/>
    <n v="58"/>
    <n v="66"/>
    <n v="14"/>
    <n v="18"/>
    <x v="16"/>
    <n v="18"/>
    <n v="8"/>
    <n v="54"/>
    <n v="0.8"/>
    <n v="0"/>
    <n v="0"/>
  </r>
  <r>
    <x v="9095"/>
    <n v="8"/>
    <n v="54"/>
    <n v="62"/>
    <n v="18"/>
    <n v="22"/>
    <x v="13"/>
    <n v="29"/>
    <n v="1"/>
    <n v="50"/>
    <n v="0.1"/>
    <n v="0"/>
    <n v="0"/>
  </r>
  <r>
    <x v="9096"/>
    <n v="1"/>
    <n v="50"/>
    <n v="51"/>
    <n v="29"/>
    <n v="18"/>
    <x v="23"/>
    <n v="18"/>
    <n v="1"/>
    <n v="61"/>
    <n v="0.1"/>
    <n v="0"/>
    <n v="0"/>
  </r>
  <r>
    <x v="9097"/>
    <n v="1"/>
    <n v="61"/>
    <n v="62"/>
    <n v="18"/>
    <n v="14"/>
    <x v="26"/>
    <n v="23"/>
    <n v="-8"/>
    <n v="65"/>
    <n v="0"/>
    <n v="1"/>
    <n v="8"/>
  </r>
  <r>
    <x v="9098"/>
    <n v="-8"/>
    <n v="65"/>
    <n v="57"/>
    <n v="23"/>
    <n v="18"/>
    <x v="6"/>
    <n v="22"/>
    <n v="-12"/>
    <n v="70"/>
    <n v="0"/>
    <n v="1"/>
    <n v="12"/>
  </r>
  <r>
    <x v="9099"/>
    <n v="-12"/>
    <n v="70"/>
    <n v="58"/>
    <n v="22"/>
    <n v="29"/>
    <x v="22"/>
    <n v="15"/>
    <n v="2"/>
    <n v="63"/>
    <n v="0.2"/>
    <n v="0"/>
    <n v="0"/>
  </r>
  <r>
    <x v="9100"/>
    <n v="2"/>
    <n v="63"/>
    <n v="65"/>
    <n v="15"/>
    <n v="18"/>
    <x v="4"/>
    <n v="20"/>
    <n v="0"/>
    <n v="60"/>
    <n v="0"/>
    <n v="0"/>
    <n v="0"/>
  </r>
  <r>
    <x v="9101"/>
    <n v="0"/>
    <n v="60"/>
    <n v="60"/>
    <n v="20"/>
    <n v="23"/>
    <x v="24"/>
    <n v="21"/>
    <n v="2"/>
    <n v="57"/>
    <n v="0.2"/>
    <n v="0"/>
    <n v="0"/>
  </r>
  <r>
    <x v="9102"/>
    <n v="2"/>
    <n v="57"/>
    <n v="59"/>
    <n v="21"/>
    <n v="22"/>
    <x v="32"/>
    <n v="22"/>
    <n v="2"/>
    <n v="56"/>
    <n v="0.2"/>
    <n v="0"/>
    <n v="0"/>
  </r>
  <r>
    <x v="9103"/>
    <n v="2"/>
    <n v="56"/>
    <n v="58"/>
    <n v="22"/>
    <n v="15"/>
    <x v="22"/>
    <n v="20"/>
    <n v="-3"/>
    <n v="63"/>
    <n v="0"/>
    <n v="1"/>
    <n v="3"/>
  </r>
  <r>
    <x v="9104"/>
    <n v="-3"/>
    <n v="63"/>
    <n v="60"/>
    <n v="20"/>
    <n v="20"/>
    <x v="22"/>
    <n v="23"/>
    <n v="-6"/>
    <n v="63"/>
    <n v="0"/>
    <n v="1"/>
    <n v="6"/>
  </r>
  <r>
    <x v="9105"/>
    <n v="-6"/>
    <n v="63"/>
    <n v="57"/>
    <n v="23"/>
    <n v="21"/>
    <x v="26"/>
    <n v="24"/>
    <n v="-9"/>
    <n v="65"/>
    <n v="0"/>
    <n v="1"/>
    <n v="9"/>
  </r>
  <r>
    <x v="9106"/>
    <n v="-9"/>
    <n v="65"/>
    <n v="56"/>
    <n v="24"/>
    <n v="22"/>
    <x v="21"/>
    <n v="15"/>
    <n v="-2"/>
    <n v="67"/>
    <n v="0"/>
    <n v="1"/>
    <n v="2"/>
  </r>
  <r>
    <x v="9107"/>
    <n v="-2"/>
    <n v="67"/>
    <n v="65"/>
    <n v="15"/>
    <n v="20"/>
    <x v="33"/>
    <n v="16"/>
    <n v="2"/>
    <n v="62"/>
    <n v="0.2"/>
    <n v="0"/>
    <n v="0"/>
  </r>
  <r>
    <x v="9108"/>
    <n v="2"/>
    <n v="62"/>
    <n v="64"/>
    <n v="16"/>
    <n v="23"/>
    <x v="27"/>
    <n v="22"/>
    <n v="3"/>
    <n v="55"/>
    <n v="0.30000000000000004"/>
    <n v="0"/>
    <n v="0"/>
  </r>
  <r>
    <x v="9109"/>
    <n v="3"/>
    <n v="55"/>
    <n v="58"/>
    <n v="22"/>
    <n v="24"/>
    <x v="12"/>
    <n v="18"/>
    <n v="9"/>
    <n v="53"/>
    <n v="0.9"/>
    <n v="0"/>
    <n v="0"/>
  </r>
  <r>
    <x v="9110"/>
    <n v="9"/>
    <n v="53"/>
    <n v="62"/>
    <n v="18"/>
    <n v="15"/>
    <x v="32"/>
    <n v="20"/>
    <n v="4"/>
    <n v="56"/>
    <n v="0.4"/>
    <n v="0"/>
    <n v="0"/>
  </r>
  <r>
    <x v="9111"/>
    <n v="4"/>
    <n v="56"/>
    <n v="60"/>
    <n v="20"/>
    <n v="16"/>
    <x v="4"/>
    <n v="14"/>
    <n v="6"/>
    <n v="60"/>
    <n v="0.60000000000000009"/>
    <n v="0"/>
    <n v="0"/>
  </r>
  <r>
    <x v="9112"/>
    <n v="6"/>
    <n v="60"/>
    <n v="66"/>
    <n v="14"/>
    <n v="22"/>
    <x v="25"/>
    <n v="16"/>
    <n v="12"/>
    <n v="52"/>
    <n v="1.2000000000000002"/>
    <n v="0"/>
    <n v="0"/>
  </r>
  <r>
    <x v="9113"/>
    <n v="12"/>
    <n v="52"/>
    <n v="64"/>
    <n v="16"/>
    <n v="18"/>
    <x v="13"/>
    <n v="22"/>
    <n v="8"/>
    <n v="50"/>
    <n v="0.8"/>
    <n v="0"/>
    <n v="0"/>
  </r>
  <r>
    <x v="9114"/>
    <n v="8"/>
    <n v="50"/>
    <n v="58"/>
    <n v="22"/>
    <n v="20"/>
    <x v="25"/>
    <n v="27"/>
    <n v="1"/>
    <n v="52"/>
    <n v="0.1"/>
    <n v="0"/>
    <n v="0"/>
  </r>
  <r>
    <x v="9115"/>
    <n v="1"/>
    <n v="52"/>
    <n v="53"/>
    <n v="27"/>
    <n v="14"/>
    <x v="26"/>
    <n v="17"/>
    <n v="-2"/>
    <n v="65"/>
    <n v="0"/>
    <n v="1"/>
    <n v="2"/>
  </r>
  <r>
    <x v="9116"/>
    <n v="-2"/>
    <n v="65"/>
    <n v="63"/>
    <n v="17"/>
    <n v="16"/>
    <x v="7"/>
    <n v="14"/>
    <n v="0"/>
    <n v="66"/>
    <n v="0"/>
    <n v="0"/>
    <n v="0"/>
  </r>
  <r>
    <x v="9117"/>
    <n v="0"/>
    <n v="66"/>
    <n v="66"/>
    <n v="14"/>
    <n v="22"/>
    <x v="28"/>
    <n v="26"/>
    <n v="-4"/>
    <n v="58"/>
    <n v="0"/>
    <n v="1"/>
    <n v="4"/>
  </r>
  <r>
    <x v="9118"/>
    <n v="-4"/>
    <n v="58"/>
    <n v="54"/>
    <n v="26"/>
    <n v="27"/>
    <x v="24"/>
    <n v="20"/>
    <n v="3"/>
    <n v="57"/>
    <n v="0.30000000000000004"/>
    <n v="0"/>
    <n v="0"/>
  </r>
  <r>
    <x v="9119"/>
    <n v="3"/>
    <n v="57"/>
    <n v="60"/>
    <n v="20"/>
    <n v="17"/>
    <x v="4"/>
    <n v="27"/>
    <n v="-7"/>
    <n v="60"/>
    <n v="0"/>
    <n v="1"/>
    <n v="7"/>
  </r>
  <r>
    <x v="9120"/>
    <n v="-7"/>
    <n v="60"/>
    <n v="53"/>
    <n v="27"/>
    <n v="14"/>
    <x v="31"/>
    <n v="18"/>
    <n v="-11"/>
    <n v="73"/>
    <n v="0"/>
    <n v="1"/>
    <n v="11"/>
  </r>
  <r>
    <x v="9121"/>
    <n v="-11"/>
    <n v="73"/>
    <n v="62"/>
    <n v="18"/>
    <n v="26"/>
    <x v="26"/>
    <n v="24"/>
    <n v="-9"/>
    <n v="65"/>
    <n v="0"/>
    <n v="1"/>
    <n v="9"/>
  </r>
  <r>
    <x v="9122"/>
    <n v="-9"/>
    <n v="65"/>
    <n v="56"/>
    <n v="24"/>
    <n v="20"/>
    <x v="30"/>
    <n v="19"/>
    <n v="-8"/>
    <n v="69"/>
    <n v="0"/>
    <n v="1"/>
    <n v="8"/>
  </r>
  <r>
    <x v="9123"/>
    <n v="-8"/>
    <n v="69"/>
    <n v="61"/>
    <n v="19"/>
    <n v="27"/>
    <x v="23"/>
    <n v="16"/>
    <n v="3"/>
    <n v="61"/>
    <n v="0.30000000000000004"/>
    <n v="0"/>
    <n v="0"/>
  </r>
  <r>
    <x v="9124"/>
    <n v="3"/>
    <n v="61"/>
    <n v="64"/>
    <n v="16"/>
    <n v="18"/>
    <x v="5"/>
    <n v="19"/>
    <n v="2"/>
    <n v="59"/>
    <n v="0.2"/>
    <n v="0"/>
    <n v="0"/>
  </r>
  <r>
    <x v="9125"/>
    <n v="2"/>
    <n v="59"/>
    <n v="61"/>
    <n v="19"/>
    <n v="24"/>
    <x v="16"/>
    <n v="20"/>
    <n v="6"/>
    <n v="54"/>
    <n v="0.60000000000000009"/>
    <n v="0"/>
    <n v="0"/>
  </r>
  <r>
    <x v="9126"/>
    <n v="6"/>
    <n v="54"/>
    <n v="60"/>
    <n v="20"/>
    <n v="19"/>
    <x v="27"/>
    <n v="33"/>
    <n v="-8"/>
    <n v="55"/>
    <n v="0"/>
    <n v="1"/>
    <n v="8"/>
  </r>
  <r>
    <x v="9127"/>
    <n v="-8"/>
    <n v="55"/>
    <n v="47"/>
    <n v="33"/>
    <n v="16"/>
    <x v="29"/>
    <n v="18"/>
    <n v="-10"/>
    <n v="72"/>
    <n v="0"/>
    <n v="1"/>
    <n v="10"/>
  </r>
  <r>
    <x v="9128"/>
    <n v="-10"/>
    <n v="72"/>
    <n v="62"/>
    <n v="18"/>
    <n v="19"/>
    <x v="20"/>
    <n v="24"/>
    <n v="-15"/>
    <n v="71"/>
    <n v="0"/>
    <n v="1"/>
    <n v="15"/>
  </r>
  <r>
    <x v="9129"/>
    <n v="-15"/>
    <n v="71"/>
    <n v="56"/>
    <n v="24"/>
    <n v="20"/>
    <x v="44"/>
    <n v="16"/>
    <n v="-11"/>
    <n v="75"/>
    <n v="0"/>
    <n v="1"/>
    <n v="11"/>
  </r>
  <r>
    <x v="9130"/>
    <n v="-11"/>
    <n v="75"/>
    <n v="64"/>
    <n v="16"/>
    <n v="33"/>
    <x v="28"/>
    <n v="14"/>
    <n v="8"/>
    <n v="58"/>
    <n v="0.8"/>
    <n v="0"/>
    <n v="0"/>
  </r>
  <r>
    <x v="9131"/>
    <n v="8"/>
    <n v="58"/>
    <n v="66"/>
    <n v="14"/>
    <n v="18"/>
    <x v="16"/>
    <n v="16"/>
    <n v="10"/>
    <n v="54"/>
    <n v="1"/>
    <n v="0"/>
    <n v="0"/>
  </r>
  <r>
    <x v="9132"/>
    <n v="10"/>
    <n v="54"/>
    <n v="64"/>
    <n v="16"/>
    <n v="24"/>
    <x v="38"/>
    <n v="18"/>
    <n v="16"/>
    <n v="46"/>
    <n v="1.6"/>
    <n v="0"/>
    <n v="0"/>
  </r>
  <r>
    <x v="9133"/>
    <n v="16"/>
    <n v="46"/>
    <n v="62"/>
    <n v="18"/>
    <n v="16"/>
    <x v="15"/>
    <n v="22"/>
    <n v="10"/>
    <n v="48"/>
    <n v="1"/>
    <n v="0"/>
    <n v="0"/>
  </r>
  <r>
    <x v="9134"/>
    <n v="10"/>
    <n v="48"/>
    <n v="58"/>
    <n v="22"/>
    <n v="14"/>
    <x v="32"/>
    <n v="21"/>
    <n v="3"/>
    <n v="56"/>
    <n v="0.30000000000000004"/>
    <n v="0"/>
    <n v="0"/>
  </r>
  <r>
    <x v="9135"/>
    <n v="3"/>
    <n v="56"/>
    <n v="59"/>
    <n v="21"/>
    <n v="16"/>
    <x v="23"/>
    <n v="20"/>
    <n v="-1"/>
    <n v="61"/>
    <n v="0"/>
    <n v="1"/>
    <n v="1"/>
  </r>
  <r>
    <x v="9136"/>
    <n v="-1"/>
    <n v="61"/>
    <n v="60"/>
    <n v="20"/>
    <n v="18"/>
    <x v="22"/>
    <n v="12"/>
    <n v="5"/>
    <n v="63"/>
    <n v="0.5"/>
    <n v="0"/>
    <n v="0"/>
  </r>
  <r>
    <x v="9137"/>
    <n v="5"/>
    <n v="63"/>
    <n v="68"/>
    <n v="12"/>
    <n v="22"/>
    <x v="12"/>
    <n v="17"/>
    <n v="10"/>
    <n v="53"/>
    <n v="1"/>
    <n v="0"/>
    <n v="0"/>
  </r>
  <r>
    <x v="9138"/>
    <n v="10"/>
    <n v="53"/>
    <n v="63"/>
    <n v="17"/>
    <n v="21"/>
    <x v="10"/>
    <n v="19"/>
    <n v="12"/>
    <n v="49"/>
    <n v="1.2000000000000002"/>
    <n v="0"/>
    <n v="0"/>
  </r>
  <r>
    <x v="9139"/>
    <n v="12"/>
    <n v="49"/>
    <n v="61"/>
    <n v="19"/>
    <n v="20"/>
    <x v="15"/>
    <n v="26"/>
    <n v="6"/>
    <n v="48"/>
    <n v="0.60000000000000009"/>
    <n v="0"/>
    <n v="0"/>
  </r>
  <r>
    <x v="9140"/>
    <n v="6"/>
    <n v="48"/>
    <n v="54"/>
    <n v="26"/>
    <n v="12"/>
    <x v="33"/>
    <n v="19"/>
    <n v="-1"/>
    <n v="62"/>
    <n v="0"/>
    <n v="1"/>
    <n v="1"/>
  </r>
  <r>
    <x v="9141"/>
    <n v="-1"/>
    <n v="62"/>
    <n v="61"/>
    <n v="19"/>
    <n v="17"/>
    <x v="8"/>
    <n v="12"/>
    <n v="4"/>
    <n v="64"/>
    <n v="0.4"/>
    <n v="0"/>
    <n v="0"/>
  </r>
  <r>
    <x v="9142"/>
    <n v="4"/>
    <n v="64"/>
    <n v="68"/>
    <n v="12"/>
    <n v="19"/>
    <x v="24"/>
    <n v="14"/>
    <n v="9"/>
    <n v="57"/>
    <n v="0.9"/>
    <n v="0"/>
    <n v="0"/>
  </r>
  <r>
    <x v="9143"/>
    <n v="9"/>
    <n v="57"/>
    <n v="66"/>
    <n v="14"/>
    <n v="26"/>
    <x v="11"/>
    <n v="24"/>
    <n v="11"/>
    <n v="45"/>
    <n v="1.1000000000000001"/>
    <n v="0"/>
    <n v="0"/>
  </r>
  <r>
    <x v="9144"/>
    <n v="11"/>
    <n v="45"/>
    <n v="56"/>
    <n v="24"/>
    <n v="19"/>
    <x v="13"/>
    <n v="13"/>
    <n v="17"/>
    <n v="50"/>
    <n v="1.7000000000000002"/>
    <n v="0"/>
    <n v="0"/>
  </r>
  <r>
    <x v="9145"/>
    <n v="17"/>
    <n v="50"/>
    <n v="67"/>
    <n v="13"/>
    <n v="12"/>
    <x v="9"/>
    <n v="22"/>
    <n v="7"/>
    <n v="51"/>
    <n v="0.70000000000000007"/>
    <n v="0"/>
    <n v="0"/>
  </r>
  <r>
    <x v="9146"/>
    <n v="7"/>
    <n v="51"/>
    <n v="58"/>
    <n v="22"/>
    <n v="14"/>
    <x v="5"/>
    <n v="13"/>
    <n v="8"/>
    <n v="59"/>
    <n v="0.8"/>
    <n v="0"/>
    <n v="0"/>
  </r>
  <r>
    <x v="9147"/>
    <n v="8"/>
    <n v="59"/>
    <n v="67"/>
    <n v="13"/>
    <n v="24"/>
    <x v="15"/>
    <n v="24"/>
    <n v="8"/>
    <n v="48"/>
    <n v="0.8"/>
    <n v="0"/>
    <n v="0"/>
  </r>
  <r>
    <x v="9148"/>
    <n v="8"/>
    <n v="48"/>
    <n v="56"/>
    <n v="24"/>
    <n v="13"/>
    <x v="5"/>
    <n v="13"/>
    <n v="8"/>
    <n v="59"/>
    <n v="0.8"/>
    <n v="0"/>
    <n v="0"/>
  </r>
  <r>
    <x v="9149"/>
    <n v="8"/>
    <n v="59"/>
    <n v="67"/>
    <n v="13"/>
    <n v="22"/>
    <x v="13"/>
    <n v="29"/>
    <n v="1"/>
    <n v="50"/>
    <n v="0.1"/>
    <n v="0"/>
    <n v="0"/>
  </r>
  <r>
    <x v="9150"/>
    <n v="1"/>
    <n v="50"/>
    <n v="51"/>
    <n v="29"/>
    <n v="13"/>
    <x v="7"/>
    <n v="13"/>
    <n v="1"/>
    <n v="66"/>
    <n v="0.1"/>
    <n v="0"/>
    <n v="0"/>
  </r>
  <r>
    <x v="9151"/>
    <n v="1"/>
    <n v="66"/>
    <n v="67"/>
    <n v="13"/>
    <n v="24"/>
    <x v="27"/>
    <n v="23"/>
    <n v="2"/>
    <n v="55"/>
    <n v="0.2"/>
    <n v="0"/>
    <n v="0"/>
  </r>
  <r>
    <x v="9152"/>
    <n v="2"/>
    <n v="55"/>
    <n v="57"/>
    <n v="23"/>
    <n v="13"/>
    <x v="26"/>
    <n v="20"/>
    <n v="-5"/>
    <n v="65"/>
    <n v="0"/>
    <n v="1"/>
    <n v="5"/>
  </r>
  <r>
    <x v="9153"/>
    <n v="-5"/>
    <n v="65"/>
    <n v="60"/>
    <n v="20"/>
    <n v="29"/>
    <x v="32"/>
    <n v="20"/>
    <n v="4"/>
    <n v="56"/>
    <n v="0.4"/>
    <n v="0"/>
    <n v="0"/>
  </r>
  <r>
    <x v="9154"/>
    <n v="4"/>
    <n v="56"/>
    <n v="60"/>
    <n v="20"/>
    <n v="13"/>
    <x v="22"/>
    <n v="25"/>
    <n v="-8"/>
    <n v="63"/>
    <n v="0"/>
    <n v="1"/>
    <n v="8"/>
  </r>
  <r>
    <x v="9155"/>
    <n v="-8"/>
    <n v="63"/>
    <n v="55"/>
    <n v="25"/>
    <n v="23"/>
    <x v="26"/>
    <n v="23"/>
    <n v="-8"/>
    <n v="65"/>
    <n v="0"/>
    <n v="1"/>
    <n v="8"/>
  </r>
  <r>
    <x v="9156"/>
    <n v="-8"/>
    <n v="65"/>
    <n v="57"/>
    <n v="23"/>
    <n v="20"/>
    <x v="17"/>
    <n v="17"/>
    <n v="-5"/>
    <n v="68"/>
    <n v="0"/>
    <n v="1"/>
    <n v="5"/>
  </r>
  <r>
    <x v="9157"/>
    <n v="-5"/>
    <n v="68"/>
    <n v="63"/>
    <n v="17"/>
    <n v="20"/>
    <x v="26"/>
    <n v="21"/>
    <n v="-6"/>
    <n v="65"/>
    <n v="0"/>
    <n v="1"/>
    <n v="6"/>
  </r>
  <r>
    <x v="9158"/>
    <n v="-6"/>
    <n v="65"/>
    <n v="59"/>
    <n v="21"/>
    <n v="25"/>
    <x v="23"/>
    <n v="20"/>
    <n v="-1"/>
    <n v="61"/>
    <n v="0"/>
    <n v="1"/>
    <n v="1"/>
  </r>
  <r>
    <x v="9159"/>
    <n v="-1"/>
    <n v="61"/>
    <n v="60"/>
    <n v="20"/>
    <n v="23"/>
    <x v="28"/>
    <n v="18"/>
    <n v="4"/>
    <n v="58"/>
    <n v="0.4"/>
    <n v="0"/>
    <n v="0"/>
  </r>
  <r>
    <x v="9160"/>
    <n v="4"/>
    <n v="58"/>
    <n v="62"/>
    <n v="18"/>
    <n v="17"/>
    <x v="5"/>
    <n v="13"/>
    <n v="8"/>
    <n v="59"/>
    <n v="0.8"/>
    <n v="0"/>
    <n v="0"/>
  </r>
  <r>
    <x v="9161"/>
    <n v="8"/>
    <n v="59"/>
    <n v="67"/>
    <n v="13"/>
    <n v="21"/>
    <x v="9"/>
    <n v="22"/>
    <n v="7"/>
    <n v="51"/>
    <n v="0.70000000000000007"/>
    <n v="0"/>
    <n v="0"/>
  </r>
  <r>
    <x v="9162"/>
    <n v="7"/>
    <n v="51"/>
    <n v="58"/>
    <n v="22"/>
    <n v="20"/>
    <x v="12"/>
    <n v="14"/>
    <n v="13"/>
    <n v="53"/>
    <n v="1.3"/>
    <n v="0"/>
    <n v="0"/>
  </r>
  <r>
    <x v="9163"/>
    <n v="13"/>
    <n v="53"/>
    <n v="66"/>
    <n v="14"/>
    <n v="18"/>
    <x v="10"/>
    <n v="27"/>
    <n v="4"/>
    <n v="49"/>
    <n v="0.4"/>
    <n v="0"/>
    <n v="0"/>
  </r>
  <r>
    <x v="9164"/>
    <n v="4"/>
    <n v="49"/>
    <n v="53"/>
    <n v="27"/>
    <n v="13"/>
    <x v="22"/>
    <n v="24"/>
    <n v="-7"/>
    <n v="63"/>
    <n v="0"/>
    <n v="1"/>
    <n v="7"/>
  </r>
  <r>
    <x v="9165"/>
    <n v="-7"/>
    <n v="63"/>
    <n v="56"/>
    <n v="24"/>
    <n v="22"/>
    <x v="26"/>
    <n v="20"/>
    <n v="-5"/>
    <n v="65"/>
    <n v="0"/>
    <n v="1"/>
    <n v="5"/>
  </r>
  <r>
    <x v="9166"/>
    <n v="-5"/>
    <n v="65"/>
    <n v="60"/>
    <n v="20"/>
    <n v="14"/>
    <x v="20"/>
    <n v="16"/>
    <n v="-7"/>
    <n v="71"/>
    <n v="0"/>
    <n v="1"/>
    <n v="7"/>
  </r>
  <r>
    <x v="9167"/>
    <n v="-7"/>
    <n v="71"/>
    <n v="64"/>
    <n v="16"/>
    <n v="27"/>
    <x v="4"/>
    <n v="29"/>
    <n v="-9"/>
    <n v="60"/>
    <n v="0"/>
    <n v="1"/>
    <n v="9"/>
  </r>
  <r>
    <x v="9168"/>
    <n v="-9"/>
    <n v="60"/>
    <n v="51"/>
    <n v="29"/>
    <n v="24"/>
    <x v="26"/>
    <n v="21"/>
    <n v="-6"/>
    <n v="65"/>
    <n v="0"/>
    <n v="1"/>
    <n v="6"/>
  </r>
  <r>
    <x v="9169"/>
    <n v="-6"/>
    <n v="65"/>
    <n v="59"/>
    <n v="21"/>
    <n v="20"/>
    <x v="7"/>
    <n v="26"/>
    <n v="-12"/>
    <n v="66"/>
    <n v="0"/>
    <n v="1"/>
    <n v="12"/>
  </r>
  <r>
    <x v="9170"/>
    <n v="-12"/>
    <n v="66"/>
    <n v="54"/>
    <n v="26"/>
    <n v="16"/>
    <x v="37"/>
    <n v="15"/>
    <n v="-11"/>
    <n v="76"/>
    <n v="0"/>
    <n v="1"/>
    <n v="11"/>
  </r>
  <r>
    <x v="9171"/>
    <n v="-11"/>
    <n v="76"/>
    <n v="65"/>
    <n v="15"/>
    <n v="29"/>
    <x v="33"/>
    <n v="25"/>
    <n v="-7"/>
    <n v="62"/>
    <n v="0"/>
    <n v="1"/>
    <n v="7"/>
  </r>
  <r>
    <x v="9172"/>
    <n v="-7"/>
    <n v="62"/>
    <n v="55"/>
    <n v="25"/>
    <n v="21"/>
    <x v="7"/>
    <n v="15"/>
    <n v="-1"/>
    <n v="66"/>
    <n v="0"/>
    <n v="1"/>
    <n v="1"/>
  </r>
  <r>
    <x v="9173"/>
    <n v="-1"/>
    <n v="66"/>
    <n v="65"/>
    <n v="15"/>
    <n v="26"/>
    <x v="27"/>
    <n v="20"/>
    <n v="5"/>
    <n v="55"/>
    <n v="0.5"/>
    <n v="0"/>
    <n v="0"/>
  </r>
  <r>
    <x v="9174"/>
    <n v="5"/>
    <n v="55"/>
    <n v="60"/>
    <n v="20"/>
    <n v="15"/>
    <x v="4"/>
    <n v="16"/>
    <n v="4"/>
    <n v="60"/>
    <n v="0.4"/>
    <n v="0"/>
    <n v="0"/>
  </r>
  <r>
    <x v="9175"/>
    <n v="4"/>
    <n v="60"/>
    <n v="64"/>
    <n v="16"/>
    <n v="25"/>
    <x v="9"/>
    <n v="16"/>
    <n v="13"/>
    <n v="51"/>
    <n v="1.3"/>
    <n v="0"/>
    <n v="0"/>
  </r>
  <r>
    <x v="9176"/>
    <n v="13"/>
    <n v="51"/>
    <n v="64"/>
    <n v="16"/>
    <n v="15"/>
    <x v="25"/>
    <n v="21"/>
    <n v="7"/>
    <n v="52"/>
    <n v="0.70000000000000007"/>
    <n v="0"/>
    <n v="0"/>
  </r>
  <r>
    <x v="9177"/>
    <n v="7"/>
    <n v="52"/>
    <n v="59"/>
    <n v="21"/>
    <n v="20"/>
    <x v="12"/>
    <n v="19"/>
    <n v="8"/>
    <n v="53"/>
    <n v="0.8"/>
    <n v="0"/>
    <n v="0"/>
  </r>
  <r>
    <x v="9178"/>
    <n v="8"/>
    <n v="53"/>
    <n v="61"/>
    <n v="19"/>
    <n v="16"/>
    <x v="32"/>
    <n v="14"/>
    <n v="10"/>
    <n v="56"/>
    <n v="1"/>
    <n v="0"/>
    <n v="0"/>
  </r>
  <r>
    <x v="9179"/>
    <n v="10"/>
    <n v="56"/>
    <n v="66"/>
    <n v="14"/>
    <n v="16"/>
    <x v="16"/>
    <n v="25"/>
    <n v="1"/>
    <n v="54"/>
    <n v="0.1"/>
    <n v="0"/>
    <n v="0"/>
  </r>
  <r>
    <x v="9180"/>
    <n v="1"/>
    <n v="54"/>
    <n v="55"/>
    <n v="25"/>
    <n v="21"/>
    <x v="28"/>
    <n v="19"/>
    <n v="3"/>
    <n v="58"/>
    <n v="0.30000000000000004"/>
    <n v="0"/>
    <n v="0"/>
  </r>
  <r>
    <x v="9181"/>
    <n v="3"/>
    <n v="58"/>
    <n v="61"/>
    <n v="19"/>
    <n v="19"/>
    <x v="28"/>
    <n v="24"/>
    <n v="-2"/>
    <n v="58"/>
    <n v="0"/>
    <n v="1"/>
    <n v="2"/>
  </r>
  <r>
    <x v="9182"/>
    <n v="-2"/>
    <n v="58"/>
    <n v="56"/>
    <n v="24"/>
    <n v="14"/>
    <x v="17"/>
    <n v="19"/>
    <n v="-7"/>
    <n v="68"/>
    <n v="0"/>
    <n v="1"/>
    <n v="7"/>
  </r>
  <r>
    <x v="9183"/>
    <n v="-7"/>
    <n v="68"/>
    <n v="61"/>
    <n v="19"/>
    <n v="25"/>
    <x v="33"/>
    <n v="24"/>
    <n v="-6"/>
    <n v="62"/>
    <n v="0"/>
    <n v="1"/>
    <n v="6"/>
  </r>
  <r>
    <x v="9184"/>
    <n v="-6"/>
    <n v="62"/>
    <n v="56"/>
    <n v="24"/>
    <n v="19"/>
    <x v="21"/>
    <n v="19"/>
    <n v="-6"/>
    <n v="67"/>
    <n v="0"/>
    <n v="1"/>
    <n v="6"/>
  </r>
  <r>
    <x v="9185"/>
    <n v="-6"/>
    <n v="67"/>
    <n v="61"/>
    <n v="19"/>
    <n v="24"/>
    <x v="33"/>
    <n v="19"/>
    <n v="-1"/>
    <n v="62"/>
    <n v="0"/>
    <n v="1"/>
    <n v="1"/>
  </r>
  <r>
    <x v="9186"/>
    <n v="-1"/>
    <n v="62"/>
    <n v="61"/>
    <n v="19"/>
    <n v="19"/>
    <x v="33"/>
    <n v="22"/>
    <n v="-4"/>
    <n v="62"/>
    <n v="0"/>
    <n v="1"/>
    <n v="4"/>
  </r>
  <r>
    <x v="9187"/>
    <n v="-4"/>
    <n v="62"/>
    <n v="58"/>
    <n v="22"/>
    <n v="24"/>
    <x v="4"/>
    <n v="16"/>
    <n v="4"/>
    <n v="60"/>
    <n v="0.4"/>
    <n v="0"/>
    <n v="0"/>
  </r>
  <r>
    <x v="9188"/>
    <n v="4"/>
    <n v="60"/>
    <n v="64"/>
    <n v="16"/>
    <n v="19"/>
    <x v="24"/>
    <n v="13"/>
    <n v="10"/>
    <n v="57"/>
    <n v="1"/>
    <n v="0"/>
    <n v="0"/>
  </r>
  <r>
    <x v="9189"/>
    <n v="10"/>
    <n v="57"/>
    <n v="67"/>
    <n v="13"/>
    <n v="19"/>
    <x v="9"/>
    <n v="11"/>
    <n v="18"/>
    <n v="51"/>
    <n v="1.8"/>
    <n v="0"/>
    <n v="0"/>
  </r>
  <r>
    <x v="9190"/>
    <n v="18"/>
    <n v="51"/>
    <n v="69"/>
    <n v="11"/>
    <n v="22"/>
    <x v="46"/>
    <n v="30"/>
    <n v="10"/>
    <n v="40"/>
    <n v="1"/>
    <n v="0"/>
    <n v="0"/>
  </r>
  <r>
    <x v="9191"/>
    <n v="10"/>
    <n v="40"/>
    <n v="50"/>
    <n v="30"/>
    <n v="16"/>
    <x v="16"/>
    <n v="13"/>
    <n v="13"/>
    <n v="54"/>
    <n v="1.3"/>
    <n v="0"/>
    <n v="0"/>
  </r>
  <r>
    <x v="9192"/>
    <n v="13"/>
    <n v="54"/>
    <n v="67"/>
    <n v="13"/>
    <n v="13"/>
    <x v="16"/>
    <n v="24"/>
    <n v="2"/>
    <n v="54"/>
    <n v="0.2"/>
    <n v="0"/>
    <n v="0"/>
  </r>
  <r>
    <x v="9193"/>
    <n v="2"/>
    <n v="54"/>
    <n v="56"/>
    <n v="24"/>
    <n v="11"/>
    <x v="21"/>
    <n v="17"/>
    <n v="-4"/>
    <n v="67"/>
    <n v="0"/>
    <n v="1"/>
    <n v="4"/>
  </r>
  <r>
    <x v="9194"/>
    <n v="-4"/>
    <n v="67"/>
    <n v="63"/>
    <n v="17"/>
    <n v="30"/>
    <x v="16"/>
    <n v="19"/>
    <n v="7"/>
    <n v="54"/>
    <n v="0.70000000000000007"/>
    <n v="0"/>
    <n v="0"/>
  </r>
  <r>
    <x v="9195"/>
    <n v="7"/>
    <n v="54"/>
    <n v="61"/>
    <n v="19"/>
    <n v="13"/>
    <x v="4"/>
    <n v="19"/>
    <n v="1"/>
    <n v="60"/>
    <n v="0.1"/>
    <n v="0"/>
    <n v="0"/>
  </r>
  <r>
    <x v="9196"/>
    <n v="1"/>
    <n v="60"/>
    <n v="61"/>
    <n v="19"/>
    <n v="24"/>
    <x v="27"/>
    <n v="25"/>
    <n v="0"/>
    <n v="55"/>
    <n v="0"/>
    <n v="0"/>
    <n v="0"/>
  </r>
  <r>
    <x v="9197"/>
    <n v="0"/>
    <n v="55"/>
    <n v="55"/>
    <n v="25"/>
    <n v="17"/>
    <x v="22"/>
    <n v="18"/>
    <n v="-1"/>
    <n v="63"/>
    <n v="0"/>
    <n v="1"/>
    <n v="1"/>
  </r>
  <r>
    <x v="9198"/>
    <n v="-1"/>
    <n v="63"/>
    <n v="62"/>
    <n v="18"/>
    <n v="19"/>
    <x v="33"/>
    <n v="20"/>
    <n v="-2"/>
    <n v="62"/>
    <n v="0"/>
    <n v="1"/>
    <n v="2"/>
  </r>
  <r>
    <x v="9199"/>
    <n v="-2"/>
    <n v="62"/>
    <n v="60"/>
    <n v="20"/>
    <n v="19"/>
    <x v="22"/>
    <n v="15"/>
    <n v="2"/>
    <n v="63"/>
    <n v="0.2"/>
    <n v="0"/>
    <n v="0"/>
  </r>
  <r>
    <x v="9200"/>
    <n v="2"/>
    <n v="63"/>
    <n v="65"/>
    <n v="15"/>
    <n v="25"/>
    <x v="12"/>
    <n v="18"/>
    <n v="9"/>
    <n v="53"/>
    <n v="0.9"/>
    <n v="0"/>
    <n v="0"/>
  </r>
  <r>
    <x v="9201"/>
    <n v="9"/>
    <n v="53"/>
    <n v="62"/>
    <n v="18"/>
    <n v="18"/>
    <x v="12"/>
    <n v="33"/>
    <n v="-6"/>
    <n v="53"/>
    <n v="0"/>
    <n v="1"/>
    <n v="6"/>
  </r>
  <r>
    <x v="9202"/>
    <n v="-6"/>
    <n v="53"/>
    <n v="47"/>
    <n v="33"/>
    <n v="20"/>
    <x v="7"/>
    <n v="19"/>
    <n v="-5"/>
    <n v="66"/>
    <n v="0"/>
    <n v="1"/>
    <n v="5"/>
  </r>
  <r>
    <x v="9203"/>
    <n v="-5"/>
    <n v="66"/>
    <n v="61"/>
    <n v="19"/>
    <n v="15"/>
    <x v="6"/>
    <n v="20"/>
    <n v="-10"/>
    <n v="70"/>
    <n v="0"/>
    <n v="1"/>
    <n v="10"/>
  </r>
  <r>
    <x v="9204"/>
    <n v="-10"/>
    <n v="70"/>
    <n v="60"/>
    <n v="20"/>
    <n v="18"/>
    <x v="29"/>
    <n v="14"/>
    <n v="-6"/>
    <n v="72"/>
    <n v="0"/>
    <n v="1"/>
    <n v="6"/>
  </r>
  <r>
    <x v="9205"/>
    <n v="-6"/>
    <n v="72"/>
    <n v="66"/>
    <n v="14"/>
    <n v="33"/>
    <x v="12"/>
    <n v="19"/>
    <n v="8"/>
    <n v="53"/>
    <n v="0.8"/>
    <n v="0"/>
    <n v="0"/>
  </r>
  <r>
    <x v="9206"/>
    <n v="8"/>
    <n v="53"/>
    <n v="61"/>
    <n v="19"/>
    <n v="19"/>
    <x v="12"/>
    <n v="22"/>
    <n v="5"/>
    <n v="53"/>
    <n v="0.5"/>
    <n v="0"/>
    <n v="0"/>
  </r>
  <r>
    <x v="9207"/>
    <n v="5"/>
    <n v="53"/>
    <n v="58"/>
    <n v="22"/>
    <n v="20"/>
    <x v="27"/>
    <n v="16"/>
    <n v="9"/>
    <n v="55"/>
    <n v="0.9"/>
    <n v="0"/>
    <n v="0"/>
  </r>
  <r>
    <x v="9208"/>
    <n v="9"/>
    <n v="55"/>
    <n v="64"/>
    <n v="16"/>
    <n v="14"/>
    <x v="24"/>
    <n v="24"/>
    <n v="-1"/>
    <n v="57"/>
    <n v="0"/>
    <n v="1"/>
    <n v="1"/>
  </r>
  <r>
    <x v="9209"/>
    <n v="-1"/>
    <n v="57"/>
    <n v="56"/>
    <n v="24"/>
    <n v="19"/>
    <x v="33"/>
    <n v="16"/>
    <n v="2"/>
    <n v="62"/>
    <n v="0.2"/>
    <n v="0"/>
    <n v="0"/>
  </r>
  <r>
    <x v="9210"/>
    <n v="2"/>
    <n v="62"/>
    <n v="64"/>
    <n v="16"/>
    <n v="22"/>
    <x v="32"/>
    <n v="24"/>
    <n v="0"/>
    <n v="56"/>
    <n v="0"/>
    <n v="0"/>
    <n v="0"/>
  </r>
  <r>
    <x v="9211"/>
    <n v="0"/>
    <n v="56"/>
    <n v="56"/>
    <n v="24"/>
    <n v="16"/>
    <x v="8"/>
    <n v="25"/>
    <n v="-9"/>
    <n v="64"/>
    <n v="0"/>
    <n v="1"/>
    <n v="9"/>
  </r>
  <r>
    <x v="9212"/>
    <n v="-9"/>
    <n v="64"/>
    <n v="55"/>
    <n v="25"/>
    <n v="24"/>
    <x v="26"/>
    <n v="23"/>
    <n v="-8"/>
    <n v="65"/>
    <n v="0"/>
    <n v="1"/>
    <n v="8"/>
  </r>
  <r>
    <x v="9213"/>
    <n v="-8"/>
    <n v="65"/>
    <n v="57"/>
    <n v="23"/>
    <n v="16"/>
    <x v="29"/>
    <n v="12"/>
    <n v="-4"/>
    <n v="72"/>
    <n v="0"/>
    <n v="1"/>
    <n v="4"/>
  </r>
  <r>
    <x v="9214"/>
    <n v="-4"/>
    <n v="72"/>
    <n v="68"/>
    <n v="12"/>
    <n v="24"/>
    <x v="4"/>
    <n v="25"/>
    <n v="-5"/>
    <n v="60"/>
    <n v="0"/>
    <n v="1"/>
    <n v="5"/>
  </r>
  <r>
    <x v="9215"/>
    <n v="-5"/>
    <n v="60"/>
    <n v="55"/>
    <n v="25"/>
    <n v="25"/>
    <x v="4"/>
    <n v="23"/>
    <n v="-3"/>
    <n v="60"/>
    <n v="0"/>
    <n v="1"/>
    <n v="3"/>
  </r>
  <r>
    <x v="9216"/>
    <n v="-3"/>
    <n v="60"/>
    <n v="57"/>
    <n v="23"/>
    <n v="23"/>
    <x v="4"/>
    <n v="27"/>
    <n v="-7"/>
    <n v="60"/>
    <n v="0"/>
    <n v="1"/>
    <n v="7"/>
  </r>
  <r>
    <x v="9217"/>
    <n v="-7"/>
    <n v="60"/>
    <n v="53"/>
    <n v="27"/>
    <n v="12"/>
    <x v="44"/>
    <n v="18"/>
    <n v="-13"/>
    <n v="75"/>
    <n v="0"/>
    <n v="1"/>
    <n v="13"/>
  </r>
  <r>
    <x v="9218"/>
    <n v="-13"/>
    <n v="75"/>
    <n v="62"/>
    <n v="18"/>
    <n v="25"/>
    <x v="17"/>
    <n v="19"/>
    <n v="-7"/>
    <n v="68"/>
    <n v="0"/>
    <n v="1"/>
    <n v="7"/>
  </r>
  <r>
    <x v="9219"/>
    <n v="-7"/>
    <n v="68"/>
    <n v="61"/>
    <n v="19"/>
    <n v="23"/>
    <x v="8"/>
    <n v="19"/>
    <n v="-3"/>
    <n v="64"/>
    <n v="0"/>
    <n v="1"/>
    <n v="3"/>
  </r>
  <r>
    <x v="9220"/>
    <n v="-3"/>
    <n v="64"/>
    <n v="61"/>
    <n v="19"/>
    <n v="27"/>
    <x v="32"/>
    <n v="14"/>
    <n v="10"/>
    <n v="56"/>
    <n v="1"/>
    <n v="0"/>
    <n v="0"/>
  </r>
  <r>
    <x v="9221"/>
    <n v="10"/>
    <n v="56"/>
    <n v="66"/>
    <n v="14"/>
    <n v="18"/>
    <x v="25"/>
    <n v="19"/>
    <n v="9"/>
    <n v="52"/>
    <n v="0.9"/>
    <n v="0"/>
    <n v="0"/>
  </r>
  <r>
    <x v="9222"/>
    <n v="9"/>
    <n v="52"/>
    <n v="61"/>
    <n v="19"/>
    <n v="19"/>
    <x v="25"/>
    <n v="22"/>
    <n v="6"/>
    <n v="52"/>
    <n v="0.60000000000000009"/>
    <n v="0"/>
    <n v="0"/>
  </r>
  <r>
    <x v="9223"/>
    <n v="6"/>
    <n v="52"/>
    <n v="58"/>
    <n v="22"/>
    <n v="19"/>
    <x v="27"/>
    <n v="12"/>
    <n v="13"/>
    <n v="55"/>
    <n v="1.3"/>
    <n v="0"/>
    <n v="0"/>
  </r>
  <r>
    <x v="9224"/>
    <n v="13"/>
    <n v="55"/>
    <n v="68"/>
    <n v="12"/>
    <n v="14"/>
    <x v="12"/>
    <n v="16"/>
    <n v="11"/>
    <n v="53"/>
    <n v="1.1000000000000001"/>
    <n v="0"/>
    <n v="0"/>
  </r>
  <r>
    <x v="9225"/>
    <n v="11"/>
    <n v="53"/>
    <n v="64"/>
    <n v="16"/>
    <n v="19"/>
    <x v="13"/>
    <n v="20"/>
    <n v="10"/>
    <n v="50"/>
    <n v="1"/>
    <n v="0"/>
    <n v="0"/>
  </r>
  <r>
    <x v="9226"/>
    <n v="10"/>
    <n v="50"/>
    <n v="60"/>
    <n v="20"/>
    <n v="22"/>
    <x v="15"/>
    <n v="29"/>
    <n v="3"/>
    <n v="48"/>
    <n v="0.30000000000000004"/>
    <n v="0"/>
    <n v="0"/>
  </r>
  <r>
    <x v="9227"/>
    <n v="3"/>
    <n v="48"/>
    <n v="51"/>
    <n v="29"/>
    <n v="12"/>
    <x v="26"/>
    <n v="19"/>
    <n v="-4"/>
    <n v="65"/>
    <n v="0"/>
    <n v="1"/>
    <n v="4"/>
  </r>
  <r>
    <x v="9228"/>
    <n v="-4"/>
    <n v="65"/>
    <n v="61"/>
    <n v="19"/>
    <n v="16"/>
    <x v="17"/>
    <n v="16"/>
    <n v="-4"/>
    <n v="68"/>
    <n v="0"/>
    <n v="1"/>
    <n v="4"/>
  </r>
  <r>
    <x v="9229"/>
    <n v="-4"/>
    <n v="68"/>
    <n v="64"/>
    <n v="16"/>
    <n v="20"/>
    <x v="8"/>
    <n v="13"/>
    <n v="3"/>
    <n v="64"/>
    <n v="0.30000000000000004"/>
    <n v="0"/>
    <n v="0"/>
  </r>
  <r>
    <x v="9230"/>
    <n v="3"/>
    <n v="64"/>
    <n v="67"/>
    <n v="13"/>
    <n v="29"/>
    <x v="15"/>
    <n v="18"/>
    <n v="14"/>
    <n v="48"/>
    <n v="1.4000000000000001"/>
    <n v="0"/>
    <n v="0"/>
  </r>
  <r>
    <x v="9231"/>
    <n v="14"/>
    <n v="48"/>
    <n v="62"/>
    <n v="18"/>
    <n v="19"/>
    <x v="14"/>
    <n v="19"/>
    <n v="14"/>
    <n v="47"/>
    <n v="1.4000000000000001"/>
    <n v="0"/>
    <n v="0"/>
  </r>
  <r>
    <x v="9232"/>
    <n v="14"/>
    <n v="47"/>
    <n v="61"/>
    <n v="19"/>
    <n v="16"/>
    <x v="13"/>
    <n v="22"/>
    <n v="8"/>
    <n v="50"/>
    <n v="0.8"/>
    <n v="0"/>
    <n v="0"/>
  </r>
  <r>
    <x v="9233"/>
    <n v="8"/>
    <n v="50"/>
    <n v="58"/>
    <n v="22"/>
    <n v="13"/>
    <x v="5"/>
    <n v="21"/>
    <n v="0"/>
    <n v="59"/>
    <n v="0"/>
    <n v="0"/>
    <n v="0"/>
  </r>
  <r>
    <x v="9234"/>
    <n v="0"/>
    <n v="59"/>
    <n v="59"/>
    <n v="21"/>
    <n v="18"/>
    <x v="33"/>
    <n v="15"/>
    <n v="3"/>
    <n v="62"/>
    <n v="0.30000000000000004"/>
    <n v="0"/>
    <n v="0"/>
  </r>
  <r>
    <x v="9235"/>
    <n v="3"/>
    <n v="62"/>
    <n v="65"/>
    <n v="15"/>
    <n v="19"/>
    <x v="28"/>
    <n v="19"/>
    <n v="3"/>
    <n v="58"/>
    <n v="0.30000000000000004"/>
    <n v="0"/>
    <n v="0"/>
  </r>
  <r>
    <x v="9236"/>
    <n v="3"/>
    <n v="58"/>
    <n v="61"/>
    <n v="19"/>
    <n v="22"/>
    <x v="27"/>
    <n v="19"/>
    <n v="6"/>
    <n v="55"/>
    <n v="0.60000000000000009"/>
    <n v="0"/>
    <n v="0"/>
  </r>
  <r>
    <x v="9237"/>
    <n v="6"/>
    <n v="55"/>
    <n v="61"/>
    <n v="19"/>
    <n v="21"/>
    <x v="12"/>
    <n v="27"/>
    <n v="0"/>
    <n v="53"/>
    <n v="0"/>
    <n v="0"/>
    <n v="0"/>
  </r>
  <r>
    <x v="9238"/>
    <n v="0"/>
    <n v="53"/>
    <n v="53"/>
    <n v="27"/>
    <n v="15"/>
    <x v="26"/>
    <n v="22"/>
    <n v="-7"/>
    <n v="65"/>
    <n v="0"/>
    <n v="1"/>
    <n v="7"/>
  </r>
  <r>
    <x v="9239"/>
    <n v="-7"/>
    <n v="65"/>
    <n v="58"/>
    <n v="22"/>
    <n v="19"/>
    <x v="17"/>
    <n v="25"/>
    <n v="-13"/>
    <n v="68"/>
    <n v="0"/>
    <n v="1"/>
    <n v="13"/>
  </r>
  <r>
    <x v="9240"/>
    <n v="-13"/>
    <n v="68"/>
    <n v="55"/>
    <n v="25"/>
    <n v="19"/>
    <x v="39"/>
    <n v="20"/>
    <n v="-14"/>
    <n v="74"/>
    <n v="0"/>
    <n v="1"/>
    <n v="14"/>
  </r>
  <r>
    <x v="9241"/>
    <n v="-14"/>
    <n v="74"/>
    <n v="60"/>
    <n v="20"/>
    <n v="27"/>
    <x v="21"/>
    <n v="26"/>
    <n v="-13"/>
    <n v="67"/>
    <n v="0"/>
    <n v="1"/>
    <n v="13"/>
  </r>
  <r>
    <x v="9242"/>
    <n v="-13"/>
    <n v="67"/>
    <n v="54"/>
    <n v="26"/>
    <n v="22"/>
    <x v="20"/>
    <n v="27"/>
    <n v="-18"/>
    <n v="71"/>
    <n v="0"/>
    <n v="1"/>
    <n v="18"/>
  </r>
  <r>
    <x v="9243"/>
    <n v="-18"/>
    <n v="71"/>
    <n v="53"/>
    <n v="27"/>
    <n v="25"/>
    <x v="31"/>
    <n v="20"/>
    <n v="-13"/>
    <n v="73"/>
    <n v="0"/>
    <n v="1"/>
    <n v="13"/>
  </r>
  <r>
    <x v="9244"/>
    <n v="-13"/>
    <n v="73"/>
    <n v="60"/>
    <n v="20"/>
    <n v="20"/>
    <x v="31"/>
    <n v="11"/>
    <n v="-4"/>
    <n v="73"/>
    <n v="0"/>
    <n v="1"/>
    <n v="4"/>
  </r>
  <r>
    <x v="9245"/>
    <n v="-4"/>
    <n v="73"/>
    <n v="69"/>
    <n v="11"/>
    <n v="26"/>
    <x v="28"/>
    <n v="25"/>
    <n v="-3"/>
    <n v="58"/>
    <n v="0"/>
    <n v="1"/>
    <n v="3"/>
  </r>
  <r>
    <x v="9246"/>
    <n v="-3"/>
    <n v="58"/>
    <n v="55"/>
    <n v="25"/>
    <n v="27"/>
    <x v="32"/>
    <n v="25"/>
    <n v="-1"/>
    <n v="56"/>
    <n v="0"/>
    <n v="1"/>
    <n v="1"/>
  </r>
  <r>
    <x v="9247"/>
    <n v="-1"/>
    <n v="56"/>
    <n v="55"/>
    <n v="25"/>
    <n v="20"/>
    <x v="23"/>
    <n v="17"/>
    <n v="2"/>
    <n v="61"/>
    <n v="0.2"/>
    <n v="0"/>
    <n v="0"/>
  </r>
  <r>
    <x v="9248"/>
    <n v="2"/>
    <n v="61"/>
    <n v="63"/>
    <n v="17"/>
    <n v="11"/>
    <x v="21"/>
    <n v="14"/>
    <n v="-1"/>
    <n v="67"/>
    <n v="0"/>
    <n v="1"/>
    <n v="1"/>
  </r>
  <r>
    <x v="9249"/>
    <n v="-1"/>
    <n v="67"/>
    <n v="66"/>
    <n v="14"/>
    <n v="25"/>
    <x v="32"/>
    <n v="17"/>
    <n v="7"/>
    <n v="56"/>
    <n v="0.70000000000000007"/>
    <n v="0"/>
    <n v="0"/>
  </r>
  <r>
    <x v="9250"/>
    <n v="7"/>
    <n v="56"/>
    <n v="63"/>
    <n v="17"/>
    <n v="25"/>
    <x v="15"/>
    <n v="25"/>
    <n v="7"/>
    <n v="48"/>
    <n v="0.70000000000000007"/>
    <n v="0"/>
    <n v="0"/>
  </r>
  <r>
    <x v="9251"/>
    <n v="7"/>
    <n v="48"/>
    <n v="55"/>
    <n v="25"/>
    <n v="17"/>
    <x v="32"/>
    <n v="21"/>
    <n v="3"/>
    <n v="56"/>
    <n v="0.30000000000000004"/>
    <n v="0"/>
    <n v="0"/>
  </r>
  <r>
    <x v="9252"/>
    <n v="3"/>
    <n v="56"/>
    <n v="59"/>
    <n v="21"/>
    <n v="14"/>
    <x v="22"/>
    <n v="15"/>
    <n v="2"/>
    <n v="63"/>
    <n v="0.2"/>
    <n v="0"/>
    <n v="0"/>
  </r>
  <r>
    <x v="9253"/>
    <n v="2"/>
    <n v="63"/>
    <n v="65"/>
    <n v="15"/>
    <n v="17"/>
    <x v="23"/>
    <n v="25"/>
    <n v="-6"/>
    <n v="61"/>
    <n v="0"/>
    <n v="1"/>
    <n v="6"/>
  </r>
  <r>
    <x v="9254"/>
    <n v="-6"/>
    <n v="61"/>
    <n v="55"/>
    <n v="25"/>
    <n v="25"/>
    <x v="23"/>
    <n v="17"/>
    <n v="2"/>
    <n v="61"/>
    <n v="0.2"/>
    <n v="0"/>
    <n v="0"/>
  </r>
  <r>
    <x v="9255"/>
    <n v="2"/>
    <n v="61"/>
    <n v="63"/>
    <n v="17"/>
    <n v="21"/>
    <x v="24"/>
    <n v="27"/>
    <n v="-4"/>
    <n v="57"/>
    <n v="0"/>
    <n v="1"/>
    <n v="4"/>
  </r>
  <r>
    <x v="9256"/>
    <n v="-4"/>
    <n v="57"/>
    <n v="53"/>
    <n v="27"/>
    <n v="15"/>
    <x v="30"/>
    <n v="22"/>
    <n v="-11"/>
    <n v="69"/>
    <n v="0"/>
    <n v="1"/>
    <n v="11"/>
  </r>
  <r>
    <x v="9257"/>
    <n v="-11"/>
    <n v="69"/>
    <n v="58"/>
    <n v="22"/>
    <n v="25"/>
    <x v="7"/>
    <n v="17"/>
    <n v="-3"/>
    <n v="66"/>
    <n v="0"/>
    <n v="1"/>
    <n v="3"/>
  </r>
  <r>
    <x v="9258"/>
    <n v="-3"/>
    <n v="66"/>
    <n v="63"/>
    <n v="17"/>
    <n v="17"/>
    <x v="7"/>
    <n v="28"/>
    <n v="-14"/>
    <n v="66"/>
    <n v="0"/>
    <n v="1"/>
    <n v="14"/>
  </r>
  <r>
    <x v="9259"/>
    <n v="-14"/>
    <n v="66"/>
    <n v="52"/>
    <n v="28"/>
    <n v="27"/>
    <x v="21"/>
    <n v="24"/>
    <n v="-11"/>
    <n v="67"/>
    <n v="0"/>
    <n v="1"/>
    <n v="11"/>
  </r>
  <r>
    <x v="9260"/>
    <n v="-11"/>
    <n v="67"/>
    <n v="56"/>
    <n v="24"/>
    <n v="22"/>
    <x v="30"/>
    <n v="26"/>
    <n v="-15"/>
    <n v="69"/>
    <n v="0"/>
    <n v="1"/>
    <n v="15"/>
  </r>
  <r>
    <x v="9261"/>
    <n v="-15"/>
    <n v="69"/>
    <n v="54"/>
    <n v="26"/>
    <n v="17"/>
    <x v="35"/>
    <n v="24"/>
    <n v="-22"/>
    <n v="78"/>
    <n v="0"/>
    <n v="1"/>
    <n v="22"/>
  </r>
  <r>
    <x v="9262"/>
    <n v="-22"/>
    <n v="78"/>
    <n v="56"/>
    <n v="24"/>
    <n v="28"/>
    <x v="39"/>
    <n v="15"/>
    <n v="-9"/>
    <n v="74"/>
    <n v="0"/>
    <n v="1"/>
    <n v="9"/>
  </r>
  <r>
    <x v="9263"/>
    <n v="-9"/>
    <n v="74"/>
    <n v="65"/>
    <n v="15"/>
    <n v="24"/>
    <x v="26"/>
    <n v="29"/>
    <n v="-14"/>
    <n v="65"/>
    <n v="0"/>
    <n v="1"/>
    <n v="14"/>
  </r>
  <r>
    <x v="9264"/>
    <n v="-14"/>
    <n v="65"/>
    <n v="51"/>
    <n v="29"/>
    <n v="26"/>
    <x v="17"/>
    <n v="22"/>
    <n v="-10"/>
    <n v="68"/>
    <n v="0"/>
    <n v="1"/>
    <n v="10"/>
  </r>
  <r>
    <x v="9265"/>
    <n v="-10"/>
    <n v="68"/>
    <n v="58"/>
    <n v="22"/>
    <n v="24"/>
    <x v="7"/>
    <n v="21"/>
    <n v="-7"/>
    <n v="66"/>
    <n v="0"/>
    <n v="1"/>
    <n v="7"/>
  </r>
  <r>
    <x v="9266"/>
    <n v="-7"/>
    <n v="66"/>
    <n v="59"/>
    <n v="21"/>
    <n v="15"/>
    <x v="29"/>
    <n v="22"/>
    <n v="-14"/>
    <n v="72"/>
    <n v="0"/>
    <n v="1"/>
    <n v="14"/>
  </r>
  <r>
    <x v="9267"/>
    <n v="-14"/>
    <n v="72"/>
    <n v="58"/>
    <n v="22"/>
    <n v="29"/>
    <x v="26"/>
    <n v="19"/>
    <n v="-4"/>
    <n v="65"/>
    <n v="0"/>
    <n v="1"/>
    <n v="4"/>
  </r>
  <r>
    <x v="9268"/>
    <n v="-4"/>
    <n v="65"/>
    <n v="61"/>
    <n v="19"/>
    <n v="22"/>
    <x v="33"/>
    <n v="20"/>
    <n v="-2"/>
    <n v="62"/>
    <n v="0"/>
    <n v="1"/>
    <n v="2"/>
  </r>
  <r>
    <x v="9269"/>
    <n v="-2"/>
    <n v="62"/>
    <n v="60"/>
    <n v="20"/>
    <n v="21"/>
    <x v="23"/>
    <n v="19"/>
    <n v="0"/>
    <n v="61"/>
    <n v="0"/>
    <n v="0"/>
    <n v="0"/>
  </r>
  <r>
    <x v="9270"/>
    <n v="0"/>
    <n v="61"/>
    <n v="61"/>
    <n v="19"/>
    <n v="22"/>
    <x v="28"/>
    <n v="20"/>
    <n v="2"/>
    <n v="58"/>
    <n v="0.2"/>
    <n v="0"/>
    <n v="0"/>
  </r>
  <r>
    <x v="9271"/>
    <n v="2"/>
    <n v="58"/>
    <n v="60"/>
    <n v="20"/>
    <n v="19"/>
    <x v="5"/>
    <n v="17"/>
    <n v="4"/>
    <n v="59"/>
    <n v="0.4"/>
    <n v="0"/>
    <n v="0"/>
  </r>
  <r>
    <x v="9272"/>
    <n v="4"/>
    <n v="59"/>
    <n v="63"/>
    <n v="17"/>
    <n v="20"/>
    <x v="32"/>
    <n v="19"/>
    <n v="5"/>
    <n v="56"/>
    <n v="0.5"/>
    <n v="0"/>
    <n v="0"/>
  </r>
  <r>
    <x v="9273"/>
    <n v="5"/>
    <n v="56"/>
    <n v="61"/>
    <n v="19"/>
    <n v="19"/>
    <x v="32"/>
    <n v="24"/>
    <n v="0"/>
    <n v="56"/>
    <n v="0"/>
    <n v="0"/>
    <n v="0"/>
  </r>
  <r>
    <x v="9274"/>
    <n v="0"/>
    <n v="56"/>
    <n v="56"/>
    <n v="24"/>
    <n v="20"/>
    <x v="4"/>
    <n v="18"/>
    <n v="2"/>
    <n v="60"/>
    <n v="0.2"/>
    <n v="0"/>
    <n v="0"/>
  </r>
  <r>
    <x v="9275"/>
    <n v="2"/>
    <n v="60"/>
    <n v="62"/>
    <n v="18"/>
    <n v="17"/>
    <x v="23"/>
    <n v="17"/>
    <n v="2"/>
    <n v="61"/>
    <n v="0.2"/>
    <n v="0"/>
    <n v="0"/>
  </r>
  <r>
    <x v="9276"/>
    <n v="2"/>
    <n v="61"/>
    <n v="63"/>
    <n v="17"/>
    <n v="19"/>
    <x v="5"/>
    <n v="21"/>
    <n v="0"/>
    <n v="59"/>
    <n v="0"/>
    <n v="0"/>
    <n v="0"/>
  </r>
  <r>
    <x v="9277"/>
    <n v="0"/>
    <n v="59"/>
    <n v="59"/>
    <n v="21"/>
    <n v="24"/>
    <x v="32"/>
    <n v="16"/>
    <n v="8"/>
    <n v="56"/>
    <n v="0.8"/>
    <n v="0"/>
    <n v="0"/>
  </r>
  <r>
    <x v="9278"/>
    <n v="8"/>
    <n v="56"/>
    <n v="64"/>
    <n v="16"/>
    <n v="18"/>
    <x v="16"/>
    <n v="14"/>
    <n v="12"/>
    <n v="54"/>
    <n v="1.2000000000000002"/>
    <n v="0"/>
    <n v="0"/>
  </r>
  <r>
    <x v="9279"/>
    <n v="12"/>
    <n v="54"/>
    <n v="66"/>
    <n v="14"/>
    <n v="17"/>
    <x v="9"/>
    <n v="27"/>
    <n v="2"/>
    <n v="51"/>
    <n v="0.2"/>
    <n v="0"/>
    <n v="0"/>
  </r>
  <r>
    <x v="9280"/>
    <n v="2"/>
    <n v="51"/>
    <n v="53"/>
    <n v="27"/>
    <n v="21"/>
    <x v="24"/>
    <n v="29"/>
    <n v="-6"/>
    <n v="57"/>
    <n v="0"/>
    <n v="1"/>
    <n v="6"/>
  </r>
  <r>
    <x v="9281"/>
    <n v="-6"/>
    <n v="57"/>
    <n v="51"/>
    <n v="29"/>
    <n v="16"/>
    <x v="6"/>
    <n v="23"/>
    <n v="-13"/>
    <n v="70"/>
    <n v="0"/>
    <n v="1"/>
    <n v="13"/>
  </r>
  <r>
    <x v="9282"/>
    <n v="-13"/>
    <n v="70"/>
    <n v="57"/>
    <n v="23"/>
    <n v="14"/>
    <x v="43"/>
    <n v="20"/>
    <n v="-19"/>
    <n v="79"/>
    <n v="0"/>
    <n v="1"/>
    <n v="19"/>
  </r>
  <r>
    <x v="9283"/>
    <n v="-19"/>
    <n v="79"/>
    <n v="60"/>
    <n v="20"/>
    <n v="27"/>
    <x v="29"/>
    <n v="22"/>
    <n v="-14"/>
    <n v="72"/>
    <n v="0"/>
    <n v="1"/>
    <n v="14"/>
  </r>
  <r>
    <x v="9284"/>
    <n v="-14"/>
    <n v="72"/>
    <n v="58"/>
    <n v="22"/>
    <n v="29"/>
    <x v="26"/>
    <n v="24"/>
    <n v="-9"/>
    <n v="65"/>
    <n v="0"/>
    <n v="1"/>
    <n v="9"/>
  </r>
  <r>
    <x v="9285"/>
    <n v="-9"/>
    <n v="65"/>
    <n v="56"/>
    <n v="24"/>
    <n v="23"/>
    <x v="7"/>
    <n v="15"/>
    <n v="-1"/>
    <n v="66"/>
    <n v="0"/>
    <n v="1"/>
    <n v="1"/>
  </r>
  <r>
    <x v="9286"/>
    <n v="-1"/>
    <n v="66"/>
    <n v="65"/>
    <n v="15"/>
    <n v="20"/>
    <x v="23"/>
    <n v="24"/>
    <n v="-5"/>
    <n v="61"/>
    <n v="0"/>
    <n v="1"/>
    <n v="5"/>
  </r>
  <r>
    <x v="9287"/>
    <n v="-5"/>
    <n v="61"/>
    <n v="56"/>
    <n v="24"/>
    <n v="22"/>
    <x v="22"/>
    <n v="23"/>
    <n v="-6"/>
    <n v="63"/>
    <n v="0"/>
    <n v="1"/>
    <n v="6"/>
  </r>
  <r>
    <x v="9288"/>
    <n v="-6"/>
    <n v="63"/>
    <n v="57"/>
    <n v="23"/>
    <n v="24"/>
    <x v="33"/>
    <n v="18"/>
    <n v="0"/>
    <n v="62"/>
    <n v="0"/>
    <n v="0"/>
    <n v="0"/>
  </r>
  <r>
    <x v="9289"/>
    <n v="0"/>
    <n v="62"/>
    <n v="62"/>
    <n v="18"/>
    <n v="15"/>
    <x v="26"/>
    <n v="20"/>
    <n v="-5"/>
    <n v="65"/>
    <n v="0"/>
    <n v="1"/>
    <n v="5"/>
  </r>
  <r>
    <x v="9290"/>
    <n v="-5"/>
    <n v="65"/>
    <n v="60"/>
    <n v="20"/>
    <n v="24"/>
    <x v="23"/>
    <n v="31"/>
    <n v="-12"/>
    <n v="61"/>
    <n v="0"/>
    <n v="1"/>
    <n v="12"/>
  </r>
  <r>
    <x v="9291"/>
    <n v="-12"/>
    <n v="61"/>
    <n v="49"/>
    <n v="31"/>
    <n v="23"/>
    <x v="30"/>
    <n v="19"/>
    <n v="-8"/>
    <n v="69"/>
    <n v="0"/>
    <n v="1"/>
    <n v="8"/>
  </r>
  <r>
    <x v="9292"/>
    <n v="-8"/>
    <n v="69"/>
    <n v="61"/>
    <n v="19"/>
    <n v="18"/>
    <x v="6"/>
    <n v="20"/>
    <n v="-10"/>
    <n v="70"/>
    <n v="0"/>
    <n v="1"/>
    <n v="10"/>
  </r>
  <r>
    <x v="9293"/>
    <n v="-10"/>
    <n v="70"/>
    <n v="60"/>
    <n v="20"/>
    <n v="20"/>
    <x v="6"/>
    <n v="20"/>
    <n v="-10"/>
    <n v="70"/>
    <n v="0"/>
    <n v="1"/>
    <n v="10"/>
  </r>
  <r>
    <x v="9294"/>
    <n v="-10"/>
    <n v="70"/>
    <n v="60"/>
    <n v="20"/>
    <n v="31"/>
    <x v="5"/>
    <n v="12"/>
    <n v="9"/>
    <n v="59"/>
    <n v="0.9"/>
    <n v="0"/>
    <n v="0"/>
  </r>
  <r>
    <x v="9295"/>
    <n v="9"/>
    <n v="59"/>
    <n v="68"/>
    <n v="12"/>
    <n v="19"/>
    <x v="25"/>
    <n v="18"/>
    <n v="10"/>
    <n v="52"/>
    <n v="1"/>
    <n v="0"/>
    <n v="0"/>
  </r>
  <r>
    <x v="9296"/>
    <n v="10"/>
    <n v="52"/>
    <n v="62"/>
    <n v="18"/>
    <n v="20"/>
    <x v="13"/>
    <n v="24"/>
    <n v="6"/>
    <n v="50"/>
    <n v="0.60000000000000009"/>
    <n v="0"/>
    <n v="0"/>
  </r>
  <r>
    <x v="9297"/>
    <n v="6"/>
    <n v="50"/>
    <n v="56"/>
    <n v="24"/>
    <n v="20"/>
    <x v="16"/>
    <n v="17"/>
    <n v="9"/>
    <n v="54"/>
    <n v="0.9"/>
    <n v="0"/>
    <n v="0"/>
  </r>
  <r>
    <x v="9298"/>
    <n v="9"/>
    <n v="54"/>
    <n v="63"/>
    <n v="17"/>
    <n v="12"/>
    <x v="5"/>
    <n v="14"/>
    <n v="7"/>
    <n v="59"/>
    <n v="0.70000000000000007"/>
    <n v="0"/>
    <n v="0"/>
  </r>
  <r>
    <x v="9299"/>
    <n v="7"/>
    <n v="59"/>
    <n v="66"/>
    <n v="14"/>
    <n v="18"/>
    <x v="27"/>
    <n v="17"/>
    <n v="8"/>
    <n v="55"/>
    <n v="0.8"/>
    <n v="0"/>
    <n v="0"/>
  </r>
  <r>
    <x v="9300"/>
    <n v="8"/>
    <n v="55"/>
    <n v="63"/>
    <n v="17"/>
    <n v="24"/>
    <x v="15"/>
    <n v="18"/>
    <n v="14"/>
    <n v="48"/>
    <n v="1.4000000000000001"/>
    <n v="0"/>
    <n v="0"/>
  </r>
  <r>
    <x v="9301"/>
    <n v="14"/>
    <n v="48"/>
    <n v="62"/>
    <n v="18"/>
    <n v="17"/>
    <x v="10"/>
    <n v="25"/>
    <n v="6"/>
    <n v="49"/>
    <n v="0.60000000000000009"/>
    <n v="0"/>
    <n v="0"/>
  </r>
  <r>
    <x v="9302"/>
    <n v="6"/>
    <n v="49"/>
    <n v="55"/>
    <n v="25"/>
    <n v="14"/>
    <x v="4"/>
    <n v="17"/>
    <n v="3"/>
    <n v="60"/>
    <n v="0.30000000000000004"/>
    <n v="0"/>
    <n v="0"/>
  </r>
  <r>
    <x v="9303"/>
    <n v="3"/>
    <n v="60"/>
    <n v="63"/>
    <n v="17"/>
    <n v="17"/>
    <x v="4"/>
    <n v="18"/>
    <n v="2"/>
    <n v="60"/>
    <n v="0.2"/>
    <n v="0"/>
    <n v="0"/>
  </r>
  <r>
    <x v="9304"/>
    <n v="2"/>
    <n v="60"/>
    <n v="62"/>
    <n v="18"/>
    <n v="18"/>
    <x v="4"/>
    <n v="18"/>
    <n v="2"/>
    <n v="60"/>
    <n v="0.2"/>
    <n v="0"/>
    <n v="0"/>
  </r>
  <r>
    <x v="9305"/>
    <n v="2"/>
    <n v="60"/>
    <n v="62"/>
    <n v="18"/>
    <n v="25"/>
    <x v="12"/>
    <n v="14"/>
    <n v="13"/>
    <n v="53"/>
    <n v="1.3"/>
    <n v="0"/>
    <n v="0"/>
  </r>
  <r>
    <x v="9306"/>
    <n v="13"/>
    <n v="53"/>
    <n v="66"/>
    <n v="14"/>
    <n v="17"/>
    <x v="13"/>
    <n v="15"/>
    <n v="15"/>
    <n v="50"/>
    <n v="1.5"/>
    <n v="0"/>
    <n v="0"/>
  </r>
  <r>
    <x v="9307"/>
    <n v="15"/>
    <n v="50"/>
    <n v="65"/>
    <n v="15"/>
    <n v="18"/>
    <x v="14"/>
    <n v="24"/>
    <n v="9"/>
    <n v="47"/>
    <n v="0.9"/>
    <n v="0"/>
    <n v="0"/>
  </r>
  <r>
    <x v="9308"/>
    <n v="9"/>
    <n v="47"/>
    <n v="56"/>
    <n v="24"/>
    <n v="18"/>
    <x v="12"/>
    <n v="20"/>
    <n v="7"/>
    <n v="53"/>
    <n v="0.70000000000000007"/>
    <n v="0"/>
    <n v="0"/>
  </r>
  <r>
    <x v="9309"/>
    <n v="7"/>
    <n v="53"/>
    <n v="60"/>
    <n v="20"/>
    <n v="14"/>
    <x v="5"/>
    <n v="21"/>
    <n v="0"/>
    <n v="59"/>
    <n v="0"/>
    <n v="0"/>
    <n v="0"/>
  </r>
  <r>
    <x v="9310"/>
    <n v="0"/>
    <n v="59"/>
    <n v="59"/>
    <n v="21"/>
    <n v="15"/>
    <x v="26"/>
    <n v="15"/>
    <n v="0"/>
    <n v="65"/>
    <n v="0"/>
    <n v="0"/>
    <n v="0"/>
  </r>
  <r>
    <x v="9311"/>
    <n v="0"/>
    <n v="65"/>
    <n v="65"/>
    <n v="15"/>
    <n v="24"/>
    <x v="32"/>
    <n v="27"/>
    <n v="-3"/>
    <n v="56"/>
    <n v="0"/>
    <n v="1"/>
    <n v="3"/>
  </r>
  <r>
    <x v="9312"/>
    <n v="-3"/>
    <n v="56"/>
    <n v="53"/>
    <n v="27"/>
    <n v="20"/>
    <x v="22"/>
    <n v="21"/>
    <n v="-4"/>
    <n v="63"/>
    <n v="0"/>
    <n v="1"/>
    <n v="4"/>
  </r>
  <r>
    <x v="9313"/>
    <n v="-4"/>
    <n v="63"/>
    <n v="59"/>
    <n v="21"/>
    <n v="21"/>
    <x v="22"/>
    <n v="26"/>
    <n v="-9"/>
    <n v="63"/>
    <n v="0"/>
    <n v="1"/>
    <n v="9"/>
  </r>
  <r>
    <x v="9314"/>
    <n v="-9"/>
    <n v="63"/>
    <n v="54"/>
    <n v="26"/>
    <n v="15"/>
    <x v="39"/>
    <n v="17"/>
    <n v="-11"/>
    <n v="74"/>
    <n v="0"/>
    <n v="1"/>
    <n v="11"/>
  </r>
  <r>
    <x v="9315"/>
    <n v="-11"/>
    <n v="74"/>
    <n v="63"/>
    <n v="17"/>
    <n v="27"/>
    <x v="8"/>
    <n v="22"/>
    <n v="-6"/>
    <n v="64"/>
    <n v="0"/>
    <n v="1"/>
    <n v="6"/>
  </r>
  <r>
    <x v="9316"/>
    <n v="-6"/>
    <n v="64"/>
    <n v="58"/>
    <n v="22"/>
    <n v="21"/>
    <x v="26"/>
    <n v="21"/>
    <n v="-6"/>
    <n v="65"/>
    <n v="0"/>
    <n v="1"/>
    <n v="6"/>
  </r>
  <r>
    <x v="9317"/>
    <n v="-6"/>
    <n v="65"/>
    <n v="59"/>
    <n v="21"/>
    <n v="26"/>
    <x v="4"/>
    <n v="27"/>
    <n v="-7"/>
    <n v="60"/>
    <n v="0"/>
    <n v="1"/>
    <n v="7"/>
  </r>
  <r>
    <x v="9318"/>
    <n v="-7"/>
    <n v="60"/>
    <n v="53"/>
    <n v="27"/>
    <n v="17"/>
    <x v="6"/>
    <n v="18"/>
    <n v="-8"/>
    <n v="70"/>
    <n v="0"/>
    <n v="1"/>
    <n v="8"/>
  </r>
  <r>
    <x v="9319"/>
    <n v="-8"/>
    <n v="70"/>
    <n v="62"/>
    <n v="18"/>
    <n v="22"/>
    <x v="7"/>
    <n v="19"/>
    <n v="-5"/>
    <n v="66"/>
    <n v="0"/>
    <n v="1"/>
    <n v="5"/>
  </r>
  <r>
    <x v="9320"/>
    <n v="-5"/>
    <n v="66"/>
    <n v="61"/>
    <n v="19"/>
    <n v="21"/>
    <x v="8"/>
    <n v="19"/>
    <n v="-3"/>
    <n v="64"/>
    <n v="0"/>
    <n v="1"/>
    <n v="3"/>
  </r>
  <r>
    <x v="9321"/>
    <n v="-3"/>
    <n v="64"/>
    <n v="61"/>
    <n v="19"/>
    <n v="27"/>
    <x v="32"/>
    <n v="22"/>
    <n v="2"/>
    <n v="56"/>
    <n v="0.2"/>
    <n v="0"/>
    <n v="0"/>
  </r>
  <r>
    <x v="9322"/>
    <n v="2"/>
    <n v="56"/>
    <n v="58"/>
    <n v="22"/>
    <n v="18"/>
    <x v="4"/>
    <n v="14"/>
    <n v="6"/>
    <n v="60"/>
    <n v="0.60000000000000009"/>
    <n v="0"/>
    <n v="0"/>
  </r>
  <r>
    <x v="9323"/>
    <n v="6"/>
    <n v="60"/>
    <n v="66"/>
    <n v="14"/>
    <n v="19"/>
    <x v="27"/>
    <n v="23"/>
    <n v="2"/>
    <n v="55"/>
    <n v="0.2"/>
    <n v="0"/>
    <n v="0"/>
  </r>
  <r>
    <x v="9324"/>
    <n v="2"/>
    <n v="55"/>
    <n v="57"/>
    <n v="23"/>
    <n v="19"/>
    <x v="5"/>
    <n v="17"/>
    <n v="4"/>
    <n v="59"/>
    <n v="0.4"/>
    <n v="0"/>
    <n v="0"/>
  </r>
  <r>
    <x v="9325"/>
    <n v="4"/>
    <n v="59"/>
    <n v="63"/>
    <n v="17"/>
    <n v="22"/>
    <x v="16"/>
    <n v="19"/>
    <n v="7"/>
    <n v="54"/>
    <n v="0.70000000000000007"/>
    <n v="0"/>
    <n v="0"/>
  </r>
  <r>
    <x v="9326"/>
    <n v="7"/>
    <n v="54"/>
    <n v="61"/>
    <n v="19"/>
    <n v="14"/>
    <x v="5"/>
    <n v="19"/>
    <n v="2"/>
    <n v="59"/>
    <n v="0.2"/>
    <n v="0"/>
    <n v="0"/>
  </r>
  <r>
    <x v="9327"/>
    <n v="2"/>
    <n v="59"/>
    <n v="61"/>
    <n v="19"/>
    <n v="23"/>
    <x v="27"/>
    <n v="18"/>
    <n v="7"/>
    <n v="55"/>
    <n v="0.70000000000000007"/>
    <n v="0"/>
    <n v="0"/>
  </r>
  <r>
    <x v="9328"/>
    <n v="7"/>
    <n v="55"/>
    <n v="62"/>
    <n v="18"/>
    <n v="17"/>
    <x v="32"/>
    <n v="17"/>
    <n v="7"/>
    <n v="56"/>
    <n v="0.70000000000000007"/>
    <n v="0"/>
    <n v="0"/>
  </r>
  <r>
    <x v="9329"/>
    <n v="7"/>
    <n v="56"/>
    <n v="63"/>
    <n v="17"/>
    <n v="19"/>
    <x v="16"/>
    <n v="25"/>
    <n v="1"/>
    <n v="54"/>
    <n v="0.1"/>
    <n v="0"/>
    <n v="0"/>
  </r>
  <r>
    <x v="9330"/>
    <n v="1"/>
    <n v="54"/>
    <n v="55"/>
    <n v="25"/>
    <n v="19"/>
    <x v="4"/>
    <n v="14"/>
    <n v="6"/>
    <n v="60"/>
    <n v="0.60000000000000009"/>
    <n v="0"/>
    <n v="0"/>
  </r>
  <r>
    <x v="9331"/>
    <n v="6"/>
    <n v="60"/>
    <n v="66"/>
    <n v="14"/>
    <n v="18"/>
    <x v="32"/>
    <n v="14"/>
    <n v="10"/>
    <n v="56"/>
    <n v="1"/>
    <n v="0"/>
    <n v="0"/>
  </r>
  <r>
    <x v="9332"/>
    <n v="10"/>
    <n v="56"/>
    <n v="66"/>
    <n v="14"/>
    <n v="17"/>
    <x v="12"/>
    <n v="10"/>
    <n v="17"/>
    <n v="53"/>
    <n v="1.7000000000000002"/>
    <n v="0"/>
    <n v="0"/>
  </r>
  <r>
    <x v="9333"/>
    <n v="17"/>
    <n v="53"/>
    <n v="70"/>
    <n v="10"/>
    <n v="25"/>
    <x v="56"/>
    <n v="23"/>
    <n v="19"/>
    <n v="38"/>
    <n v="1.9000000000000001"/>
    <n v="0"/>
    <n v="0"/>
  </r>
  <r>
    <x v="9334"/>
    <n v="19"/>
    <n v="38"/>
    <n v="57"/>
    <n v="23"/>
    <n v="14"/>
    <x v="14"/>
    <n v="28"/>
    <n v="5"/>
    <n v="47"/>
    <n v="0.5"/>
    <n v="0"/>
    <n v="0"/>
  </r>
  <r>
    <x v="9335"/>
    <n v="5"/>
    <n v="47"/>
    <n v="52"/>
    <n v="28"/>
    <n v="14"/>
    <x v="23"/>
    <n v="19"/>
    <n v="0"/>
    <n v="61"/>
    <n v="0"/>
    <n v="0"/>
    <n v="0"/>
  </r>
  <r>
    <x v="9336"/>
    <n v="0"/>
    <n v="61"/>
    <n v="61"/>
    <n v="19"/>
    <n v="10"/>
    <x v="6"/>
    <n v="11"/>
    <n v="-1"/>
    <n v="70"/>
    <n v="0"/>
    <n v="1"/>
    <n v="1"/>
  </r>
  <r>
    <x v="9337"/>
    <n v="-1"/>
    <n v="70"/>
    <n v="69"/>
    <n v="11"/>
    <n v="23"/>
    <x v="28"/>
    <n v="12"/>
    <n v="10"/>
    <n v="58"/>
    <n v="1"/>
    <n v="0"/>
    <n v="0"/>
  </r>
  <r>
    <x v="9338"/>
    <n v="10"/>
    <n v="58"/>
    <n v="68"/>
    <n v="12"/>
    <n v="28"/>
    <x v="40"/>
    <n v="24"/>
    <n v="14"/>
    <n v="42"/>
    <n v="1.4000000000000001"/>
    <n v="0"/>
    <n v="0"/>
  </r>
  <r>
    <x v="9339"/>
    <n v="14"/>
    <n v="42"/>
    <n v="56"/>
    <n v="24"/>
    <n v="19"/>
    <x v="14"/>
    <n v="17"/>
    <n v="16"/>
    <n v="47"/>
    <n v="1.6"/>
    <n v="0"/>
    <n v="0"/>
  </r>
  <r>
    <x v="9340"/>
    <n v="16"/>
    <n v="47"/>
    <n v="63"/>
    <n v="17"/>
    <n v="11"/>
    <x v="12"/>
    <n v="21"/>
    <n v="6"/>
    <n v="53"/>
    <n v="0.60000000000000009"/>
    <n v="0"/>
    <n v="0"/>
  </r>
  <r>
    <x v="9341"/>
    <n v="6"/>
    <n v="53"/>
    <n v="59"/>
    <n v="21"/>
    <n v="12"/>
    <x v="33"/>
    <n v="21"/>
    <n v="-3"/>
    <n v="62"/>
    <n v="0"/>
    <n v="1"/>
    <n v="3"/>
  </r>
  <r>
    <x v="9342"/>
    <n v="-3"/>
    <n v="62"/>
    <n v="59"/>
    <n v="21"/>
    <n v="24"/>
    <x v="5"/>
    <n v="22"/>
    <n v="-1"/>
    <n v="59"/>
    <n v="0"/>
    <n v="1"/>
    <n v="1"/>
  </r>
  <r>
    <x v="9343"/>
    <n v="-1"/>
    <n v="59"/>
    <n v="58"/>
    <n v="22"/>
    <n v="17"/>
    <x v="8"/>
    <n v="19"/>
    <n v="-3"/>
    <n v="64"/>
    <n v="0"/>
    <n v="1"/>
    <n v="3"/>
  </r>
  <r>
    <x v="9344"/>
    <n v="-3"/>
    <n v="64"/>
    <n v="61"/>
    <n v="19"/>
    <n v="21"/>
    <x v="33"/>
    <n v="14"/>
    <n v="4"/>
    <n v="62"/>
    <n v="0.4"/>
    <n v="0"/>
    <n v="0"/>
  </r>
  <r>
    <x v="9345"/>
    <n v="4"/>
    <n v="62"/>
    <n v="66"/>
    <n v="14"/>
    <n v="21"/>
    <x v="27"/>
    <n v="26"/>
    <n v="-1"/>
    <n v="55"/>
    <n v="0"/>
    <n v="1"/>
    <n v="1"/>
  </r>
  <r>
    <x v="9346"/>
    <n v="-1"/>
    <n v="55"/>
    <n v="54"/>
    <n v="26"/>
    <n v="22"/>
    <x v="5"/>
    <n v="19"/>
    <n v="2"/>
    <n v="59"/>
    <n v="0.2"/>
    <n v="0"/>
    <n v="0"/>
  </r>
  <r>
    <x v="9347"/>
    <n v="2"/>
    <n v="59"/>
    <n v="61"/>
    <n v="19"/>
    <n v="19"/>
    <x v="5"/>
    <n v="20"/>
    <n v="1"/>
    <n v="59"/>
    <n v="0.1"/>
    <n v="0"/>
    <n v="0"/>
  </r>
  <r>
    <x v="9348"/>
    <n v="1"/>
    <n v="59"/>
    <n v="60"/>
    <n v="20"/>
    <n v="14"/>
    <x v="26"/>
    <n v="16"/>
    <n v="-1"/>
    <n v="65"/>
    <n v="0"/>
    <n v="1"/>
    <n v="1"/>
  </r>
  <r>
    <x v="9349"/>
    <n v="-1"/>
    <n v="65"/>
    <n v="64"/>
    <n v="16"/>
    <n v="26"/>
    <x v="27"/>
    <n v="19"/>
    <n v="6"/>
    <n v="55"/>
    <n v="0.60000000000000009"/>
    <n v="0"/>
    <n v="0"/>
  </r>
  <r>
    <x v="9350"/>
    <n v="6"/>
    <n v="55"/>
    <n v="61"/>
    <n v="19"/>
    <n v="19"/>
    <x v="27"/>
    <n v="17"/>
    <n v="8"/>
    <n v="55"/>
    <n v="0.8"/>
    <n v="0"/>
    <n v="0"/>
  </r>
  <r>
    <x v="9351"/>
    <n v="8"/>
    <n v="55"/>
    <n v="63"/>
    <n v="17"/>
    <n v="20"/>
    <x v="25"/>
    <n v="14"/>
    <n v="14"/>
    <n v="52"/>
    <n v="1.4000000000000001"/>
    <n v="0"/>
    <n v="0"/>
  </r>
  <r>
    <x v="9352"/>
    <n v="14"/>
    <n v="52"/>
    <n v="66"/>
    <n v="14"/>
    <n v="16"/>
    <x v="13"/>
    <n v="22"/>
    <n v="8"/>
    <n v="50"/>
    <n v="0.8"/>
    <n v="0"/>
    <n v="0"/>
  </r>
  <r>
    <x v="9353"/>
    <n v="8"/>
    <n v="50"/>
    <n v="58"/>
    <n v="22"/>
    <n v="19"/>
    <x v="12"/>
    <n v="24"/>
    <n v="3"/>
    <n v="53"/>
    <n v="0.30000000000000004"/>
    <n v="0"/>
    <n v="0"/>
  </r>
  <r>
    <x v="9354"/>
    <n v="3"/>
    <n v="53"/>
    <n v="56"/>
    <n v="24"/>
    <n v="17"/>
    <x v="4"/>
    <n v="20"/>
    <n v="0"/>
    <n v="60"/>
    <n v="0"/>
    <n v="0"/>
    <n v="0"/>
  </r>
  <r>
    <x v="9355"/>
    <n v="0"/>
    <n v="60"/>
    <n v="60"/>
    <n v="20"/>
    <n v="14"/>
    <x v="7"/>
    <n v="22"/>
    <n v="-8"/>
    <n v="66"/>
    <n v="0"/>
    <n v="1"/>
    <n v="8"/>
  </r>
  <r>
    <x v="9356"/>
    <n v="-8"/>
    <n v="66"/>
    <n v="58"/>
    <n v="22"/>
    <n v="22"/>
    <x v="7"/>
    <n v="19"/>
    <n v="-5"/>
    <n v="66"/>
    <n v="0"/>
    <n v="1"/>
    <n v="5"/>
  </r>
  <r>
    <x v="9357"/>
    <n v="-5"/>
    <n v="66"/>
    <n v="61"/>
    <n v="19"/>
    <n v="24"/>
    <x v="23"/>
    <n v="22"/>
    <n v="-3"/>
    <n v="61"/>
    <n v="0"/>
    <n v="1"/>
    <n v="3"/>
  </r>
  <r>
    <x v="9358"/>
    <n v="-3"/>
    <n v="61"/>
    <n v="58"/>
    <n v="22"/>
    <n v="20"/>
    <x v="22"/>
    <n v="19"/>
    <n v="-2"/>
    <n v="63"/>
    <n v="0"/>
    <n v="1"/>
    <n v="2"/>
  </r>
  <r>
    <x v="9359"/>
    <n v="-2"/>
    <n v="63"/>
    <n v="61"/>
    <n v="19"/>
    <n v="22"/>
    <x v="4"/>
    <n v="24"/>
    <n v="-4"/>
    <n v="60"/>
    <n v="0"/>
    <n v="1"/>
    <n v="4"/>
  </r>
  <r>
    <x v="9360"/>
    <n v="-4"/>
    <n v="60"/>
    <n v="56"/>
    <n v="24"/>
    <n v="19"/>
    <x v="26"/>
    <n v="24"/>
    <n v="-9"/>
    <n v="65"/>
    <n v="0"/>
    <n v="1"/>
    <n v="9"/>
  </r>
  <r>
    <x v="9361"/>
    <n v="-9"/>
    <n v="65"/>
    <n v="56"/>
    <n v="24"/>
    <n v="22"/>
    <x v="21"/>
    <n v="17"/>
    <n v="-4"/>
    <n v="67"/>
    <n v="0"/>
    <n v="1"/>
    <n v="4"/>
  </r>
  <r>
    <x v="9362"/>
    <n v="-4"/>
    <n v="67"/>
    <n v="63"/>
    <n v="17"/>
    <n v="19"/>
    <x v="26"/>
    <n v="16"/>
    <n v="-1"/>
    <n v="65"/>
    <n v="0"/>
    <n v="1"/>
    <n v="1"/>
  </r>
  <r>
    <x v="9363"/>
    <n v="-1"/>
    <n v="65"/>
    <n v="64"/>
    <n v="16"/>
    <n v="24"/>
    <x v="24"/>
    <n v="24"/>
    <n v="-1"/>
    <n v="57"/>
    <n v="0"/>
    <n v="1"/>
    <n v="1"/>
  </r>
  <r>
    <x v="9364"/>
    <n v="-1"/>
    <n v="57"/>
    <n v="56"/>
    <n v="24"/>
    <n v="24"/>
    <x v="24"/>
    <n v="21"/>
    <n v="2"/>
    <n v="57"/>
    <n v="0.2"/>
    <n v="0"/>
    <n v="0"/>
  </r>
  <r>
    <x v="9365"/>
    <n v="2"/>
    <n v="57"/>
    <n v="59"/>
    <n v="21"/>
    <n v="17"/>
    <x v="23"/>
    <n v="24"/>
    <n v="-5"/>
    <n v="61"/>
    <n v="0"/>
    <n v="1"/>
    <n v="5"/>
  </r>
  <r>
    <x v="9366"/>
    <n v="-5"/>
    <n v="61"/>
    <n v="56"/>
    <n v="24"/>
    <n v="16"/>
    <x v="30"/>
    <n v="15"/>
    <n v="-4"/>
    <n v="69"/>
    <n v="0"/>
    <n v="1"/>
    <n v="4"/>
  </r>
  <r>
    <x v="9367"/>
    <n v="-4"/>
    <n v="69"/>
    <n v="65"/>
    <n v="15"/>
    <n v="24"/>
    <x v="4"/>
    <n v="13"/>
    <n v="7"/>
    <n v="60"/>
    <n v="0.70000000000000007"/>
    <n v="0"/>
    <n v="0"/>
  </r>
  <r>
    <x v="9368"/>
    <n v="7"/>
    <n v="60"/>
    <n v="67"/>
    <n v="13"/>
    <n v="21"/>
    <x v="25"/>
    <n v="15"/>
    <n v="13"/>
    <n v="52"/>
    <n v="1.3"/>
    <n v="0"/>
    <n v="0"/>
  </r>
  <r>
    <x v="9369"/>
    <n v="13"/>
    <n v="52"/>
    <n v="65"/>
    <n v="15"/>
    <n v="24"/>
    <x v="51"/>
    <n v="23"/>
    <n v="14"/>
    <n v="43"/>
    <n v="1.4000000000000001"/>
    <n v="0"/>
    <n v="0"/>
  </r>
  <r>
    <x v="9370"/>
    <n v="14"/>
    <n v="43"/>
    <n v="57"/>
    <n v="23"/>
    <n v="15"/>
    <x v="9"/>
    <n v="12"/>
    <n v="17"/>
    <n v="51"/>
    <n v="1.7000000000000002"/>
    <n v="0"/>
    <n v="0"/>
  </r>
  <r>
    <x v="9371"/>
    <n v="17"/>
    <n v="51"/>
    <n v="68"/>
    <n v="12"/>
    <n v="13"/>
    <x v="13"/>
    <n v="15"/>
    <n v="15"/>
    <n v="50"/>
    <n v="1.5"/>
    <n v="0"/>
    <n v="0"/>
  </r>
  <r>
    <x v="9372"/>
    <n v="15"/>
    <n v="50"/>
    <n v="65"/>
    <n v="15"/>
    <n v="15"/>
    <x v="13"/>
    <n v="17"/>
    <n v="13"/>
    <n v="50"/>
    <n v="1.3"/>
    <n v="0"/>
    <n v="0"/>
  </r>
  <r>
    <x v="9373"/>
    <n v="13"/>
    <n v="50"/>
    <n v="63"/>
    <n v="17"/>
    <n v="23"/>
    <x v="45"/>
    <n v="23"/>
    <n v="13"/>
    <n v="44"/>
    <n v="1.3"/>
    <n v="0"/>
    <n v="0"/>
  </r>
  <r>
    <x v="9374"/>
    <n v="13"/>
    <n v="44"/>
    <n v="57"/>
    <n v="23"/>
    <n v="12"/>
    <x v="27"/>
    <n v="18"/>
    <n v="7"/>
    <n v="55"/>
    <n v="0.70000000000000007"/>
    <n v="0"/>
    <n v="0"/>
  </r>
  <r>
    <x v="9375"/>
    <n v="7"/>
    <n v="55"/>
    <n v="62"/>
    <n v="18"/>
    <n v="15"/>
    <x v="28"/>
    <n v="16"/>
    <n v="6"/>
    <n v="58"/>
    <n v="0.60000000000000009"/>
    <n v="0"/>
    <n v="0"/>
  </r>
  <r>
    <x v="9376"/>
    <n v="6"/>
    <n v="58"/>
    <n v="64"/>
    <n v="16"/>
    <n v="17"/>
    <x v="24"/>
    <n v="15"/>
    <n v="8"/>
    <n v="57"/>
    <n v="0.8"/>
    <n v="0"/>
    <n v="0"/>
  </r>
  <r>
    <x v="9377"/>
    <n v="8"/>
    <n v="57"/>
    <n v="65"/>
    <n v="15"/>
    <n v="23"/>
    <x v="10"/>
    <n v="22"/>
    <n v="9"/>
    <n v="49"/>
    <n v="0.9"/>
    <n v="0"/>
    <n v="0"/>
  </r>
  <r>
    <x v="9378"/>
    <n v="9"/>
    <n v="49"/>
    <n v="58"/>
    <n v="22"/>
    <n v="18"/>
    <x v="12"/>
    <n v="23"/>
    <n v="4"/>
    <n v="53"/>
    <n v="0.4"/>
    <n v="0"/>
    <n v="0"/>
  </r>
  <r>
    <x v="9379"/>
    <n v="4"/>
    <n v="53"/>
    <n v="57"/>
    <n v="23"/>
    <n v="16"/>
    <x v="4"/>
    <n v="23"/>
    <n v="-3"/>
    <n v="60"/>
    <n v="0"/>
    <n v="1"/>
    <n v="3"/>
  </r>
  <r>
    <x v="9380"/>
    <n v="-3"/>
    <n v="60"/>
    <n v="57"/>
    <n v="23"/>
    <n v="15"/>
    <x v="17"/>
    <n v="25"/>
    <n v="-13"/>
    <n v="68"/>
    <n v="0"/>
    <n v="1"/>
    <n v="13"/>
  </r>
  <r>
    <x v="9381"/>
    <n v="-13"/>
    <n v="68"/>
    <n v="55"/>
    <n v="25"/>
    <n v="22"/>
    <x v="20"/>
    <n v="21"/>
    <n v="-12"/>
    <n v="71"/>
    <n v="0"/>
    <n v="1"/>
    <n v="12"/>
  </r>
  <r>
    <x v="9382"/>
    <n v="-12"/>
    <n v="71"/>
    <n v="59"/>
    <n v="21"/>
    <n v="23"/>
    <x v="30"/>
    <n v="19"/>
    <n v="-8"/>
    <n v="69"/>
    <n v="0"/>
    <n v="1"/>
    <n v="8"/>
  </r>
  <r>
    <x v="9383"/>
    <n v="-8"/>
    <n v="69"/>
    <n v="61"/>
    <n v="19"/>
    <n v="23"/>
    <x v="26"/>
    <n v="20"/>
    <n v="-5"/>
    <n v="65"/>
    <n v="0"/>
    <n v="1"/>
    <n v="5"/>
  </r>
  <r>
    <x v="9384"/>
    <n v="-5"/>
    <n v="65"/>
    <n v="60"/>
    <n v="20"/>
    <n v="25"/>
    <x v="4"/>
    <n v="21"/>
    <n v="-1"/>
    <n v="60"/>
    <n v="0"/>
    <n v="1"/>
    <n v="1"/>
  </r>
  <r>
    <x v="9385"/>
    <n v="-1"/>
    <n v="60"/>
    <n v="59"/>
    <n v="21"/>
    <n v="21"/>
    <x v="4"/>
    <n v="19"/>
    <n v="1"/>
    <n v="60"/>
    <n v="0.1"/>
    <n v="0"/>
    <n v="0"/>
  </r>
  <r>
    <x v="9386"/>
    <n v="1"/>
    <n v="60"/>
    <n v="61"/>
    <n v="19"/>
    <n v="19"/>
    <x v="4"/>
    <n v="15"/>
    <n v="5"/>
    <n v="60"/>
    <n v="0.5"/>
    <n v="0"/>
    <n v="0"/>
  </r>
  <r>
    <x v="9387"/>
    <n v="5"/>
    <n v="60"/>
    <n v="65"/>
    <n v="15"/>
    <n v="20"/>
    <x v="27"/>
    <n v="20"/>
    <n v="5"/>
    <n v="55"/>
    <n v="0.5"/>
    <n v="0"/>
    <n v="0"/>
  </r>
  <r>
    <x v="9388"/>
    <n v="5"/>
    <n v="55"/>
    <n v="60"/>
    <n v="20"/>
    <n v="21"/>
    <x v="16"/>
    <n v="24"/>
    <n v="2"/>
    <n v="54"/>
    <n v="0.2"/>
    <n v="0"/>
    <n v="0"/>
  </r>
  <r>
    <x v="9389"/>
    <n v="2"/>
    <n v="54"/>
    <n v="56"/>
    <n v="24"/>
    <n v="19"/>
    <x v="5"/>
    <n v="21"/>
    <n v="0"/>
    <n v="59"/>
    <n v="0"/>
    <n v="0"/>
    <n v="0"/>
  </r>
  <r>
    <x v="9390"/>
    <n v="0"/>
    <n v="59"/>
    <n v="59"/>
    <n v="21"/>
    <n v="15"/>
    <x v="26"/>
    <n v="20"/>
    <n v="-5"/>
    <n v="65"/>
    <n v="0"/>
    <n v="1"/>
    <n v="5"/>
  </r>
  <r>
    <x v="9391"/>
    <n v="-5"/>
    <n v="65"/>
    <n v="60"/>
    <n v="20"/>
    <n v="20"/>
    <x v="26"/>
    <n v="25"/>
    <n v="-10"/>
    <n v="65"/>
    <n v="0"/>
    <n v="1"/>
    <n v="10"/>
  </r>
  <r>
    <x v="9392"/>
    <n v="-10"/>
    <n v="65"/>
    <n v="55"/>
    <n v="25"/>
    <n v="24"/>
    <x v="7"/>
    <n v="17"/>
    <n v="-3"/>
    <n v="66"/>
    <n v="0"/>
    <n v="1"/>
    <n v="3"/>
  </r>
  <r>
    <x v="9393"/>
    <n v="-3"/>
    <n v="66"/>
    <n v="63"/>
    <n v="17"/>
    <n v="21"/>
    <x v="33"/>
    <n v="24"/>
    <n v="-6"/>
    <n v="62"/>
    <n v="0"/>
    <n v="1"/>
    <n v="6"/>
  </r>
  <r>
    <x v="9394"/>
    <n v="-6"/>
    <n v="62"/>
    <n v="56"/>
    <n v="24"/>
    <n v="20"/>
    <x v="7"/>
    <n v="22"/>
    <n v="-8"/>
    <n v="66"/>
    <n v="0"/>
    <n v="1"/>
    <n v="8"/>
  </r>
  <r>
    <x v="9395"/>
    <n v="-8"/>
    <n v="66"/>
    <n v="58"/>
    <n v="22"/>
    <n v="25"/>
    <x v="22"/>
    <n v="12"/>
    <n v="5"/>
    <n v="63"/>
    <n v="0.5"/>
    <n v="0"/>
    <n v="0"/>
  </r>
  <r>
    <x v="9396"/>
    <n v="5"/>
    <n v="63"/>
    <n v="68"/>
    <n v="12"/>
    <n v="17"/>
    <x v="28"/>
    <n v="18"/>
    <n v="4"/>
    <n v="58"/>
    <n v="0.4"/>
    <n v="0"/>
    <n v="0"/>
  </r>
  <r>
    <x v="9397"/>
    <n v="4"/>
    <n v="58"/>
    <n v="62"/>
    <n v="18"/>
    <n v="24"/>
    <x v="25"/>
    <n v="17"/>
    <n v="11"/>
    <n v="52"/>
    <n v="1.1000000000000001"/>
    <n v="0"/>
    <n v="0"/>
  </r>
  <r>
    <x v="9398"/>
    <n v="11"/>
    <n v="52"/>
    <n v="63"/>
    <n v="17"/>
    <n v="22"/>
    <x v="14"/>
    <n v="25"/>
    <n v="8"/>
    <n v="47"/>
    <n v="0.8"/>
    <n v="0"/>
    <n v="0"/>
  </r>
  <r>
    <x v="9399"/>
    <n v="8"/>
    <n v="47"/>
    <n v="55"/>
    <n v="25"/>
    <n v="12"/>
    <x v="4"/>
    <n v="16"/>
    <n v="4"/>
    <n v="60"/>
    <n v="0.4"/>
    <n v="0"/>
    <n v="0"/>
  </r>
  <r>
    <x v="9400"/>
    <n v="4"/>
    <n v="60"/>
    <n v="64"/>
    <n v="16"/>
    <n v="18"/>
    <x v="28"/>
    <n v="24"/>
    <n v="-2"/>
    <n v="58"/>
    <n v="0"/>
    <n v="1"/>
    <n v="2"/>
  </r>
  <r>
    <x v="9401"/>
    <n v="-2"/>
    <n v="58"/>
    <n v="56"/>
    <n v="24"/>
    <n v="17"/>
    <x v="26"/>
    <n v="18"/>
    <n v="-3"/>
    <n v="65"/>
    <n v="0"/>
    <n v="1"/>
    <n v="3"/>
  </r>
  <r>
    <x v="9402"/>
    <n v="-3"/>
    <n v="65"/>
    <n v="62"/>
    <n v="18"/>
    <n v="25"/>
    <x v="28"/>
    <n v="20"/>
    <n v="2"/>
    <n v="58"/>
    <n v="0.2"/>
    <n v="0"/>
    <n v="0"/>
  </r>
  <r>
    <x v="9403"/>
    <n v="2"/>
    <n v="58"/>
    <n v="60"/>
    <n v="20"/>
    <n v="16"/>
    <x v="33"/>
    <n v="10"/>
    <n v="8"/>
    <n v="62"/>
    <n v="0.8"/>
    <n v="0"/>
    <n v="0"/>
  </r>
  <r>
    <x v="9404"/>
    <n v="8"/>
    <n v="62"/>
    <n v="70"/>
    <n v="10"/>
    <n v="24"/>
    <x v="15"/>
    <n v="14"/>
    <n v="18"/>
    <n v="48"/>
    <n v="1.8"/>
    <n v="0"/>
    <n v="0"/>
  </r>
  <r>
    <x v="9405"/>
    <n v="18"/>
    <n v="48"/>
    <n v="66"/>
    <n v="14"/>
    <n v="18"/>
    <x v="45"/>
    <n v="11"/>
    <n v="25"/>
    <n v="44"/>
    <n v="2.5"/>
    <n v="0"/>
    <n v="0"/>
  </r>
  <r>
    <x v="9406"/>
    <n v="25"/>
    <n v="44"/>
    <n v="69"/>
    <n v="11"/>
    <n v="20"/>
    <x v="3"/>
    <n v="9"/>
    <n v="36"/>
    <n v="35"/>
    <n v="3.6"/>
    <n v="0"/>
    <n v="0"/>
  </r>
  <r>
    <x v="9407"/>
    <n v="36"/>
    <n v="35"/>
    <n v="71"/>
    <n v="9"/>
    <n v="10"/>
    <x v="60"/>
    <n v="21"/>
    <n v="25"/>
    <n v="34"/>
    <n v="2.5"/>
    <n v="0"/>
    <n v="0"/>
  </r>
  <r>
    <x v="9408"/>
    <n v="25"/>
    <n v="34"/>
    <n v="59"/>
    <n v="21"/>
    <n v="14"/>
    <x v="52"/>
    <n v="16"/>
    <n v="23"/>
    <n v="41"/>
    <n v="2.3000000000000003"/>
    <n v="0"/>
    <n v="0"/>
  </r>
  <r>
    <x v="9409"/>
    <n v="23"/>
    <n v="41"/>
    <n v="64"/>
    <n v="16"/>
    <n v="11"/>
    <x v="38"/>
    <n v="20"/>
    <n v="14"/>
    <n v="46"/>
    <n v="1.4000000000000001"/>
    <n v="0"/>
    <n v="0"/>
  </r>
  <r>
    <x v="9410"/>
    <n v="14"/>
    <n v="46"/>
    <n v="60"/>
    <n v="20"/>
    <n v="9"/>
    <x v="24"/>
    <n v="16"/>
    <n v="7"/>
    <n v="57"/>
    <n v="0.70000000000000007"/>
    <n v="0"/>
    <n v="0"/>
  </r>
  <r>
    <x v="9411"/>
    <n v="7"/>
    <n v="57"/>
    <n v="64"/>
    <n v="16"/>
    <n v="21"/>
    <x v="25"/>
    <n v="11"/>
    <n v="17"/>
    <n v="52"/>
    <n v="1.7000000000000002"/>
    <n v="0"/>
    <n v="0"/>
  </r>
  <r>
    <x v="9412"/>
    <n v="17"/>
    <n v="52"/>
    <n v="69"/>
    <n v="11"/>
    <n v="16"/>
    <x v="14"/>
    <n v="16"/>
    <n v="17"/>
    <n v="47"/>
    <n v="1.7000000000000002"/>
    <n v="0"/>
    <n v="0"/>
  </r>
  <r>
    <x v="9413"/>
    <n v="17"/>
    <n v="47"/>
    <n v="64"/>
    <n v="16"/>
    <n v="20"/>
    <x v="51"/>
    <n v="28"/>
    <n v="9"/>
    <n v="43"/>
    <n v="0.9"/>
    <n v="0"/>
    <n v="0"/>
  </r>
  <r>
    <x v="9414"/>
    <n v="9"/>
    <n v="43"/>
    <n v="52"/>
    <n v="28"/>
    <n v="16"/>
    <x v="27"/>
    <n v="20"/>
    <n v="5"/>
    <n v="55"/>
    <n v="0.5"/>
    <n v="0"/>
    <n v="0"/>
  </r>
  <r>
    <x v="9415"/>
    <n v="5"/>
    <n v="55"/>
    <n v="60"/>
    <n v="20"/>
    <n v="11"/>
    <x v="8"/>
    <n v="17"/>
    <n v="-1"/>
    <n v="64"/>
    <n v="0"/>
    <n v="1"/>
    <n v="1"/>
  </r>
  <r>
    <x v="9416"/>
    <n v="-1"/>
    <n v="64"/>
    <n v="63"/>
    <n v="17"/>
    <n v="16"/>
    <x v="26"/>
    <n v="26"/>
    <n v="-11"/>
    <n v="65"/>
    <n v="0"/>
    <n v="1"/>
    <n v="11"/>
  </r>
  <r>
    <x v="9417"/>
    <n v="-11"/>
    <n v="65"/>
    <n v="54"/>
    <n v="26"/>
    <n v="28"/>
    <x v="22"/>
    <n v="25"/>
    <n v="-8"/>
    <n v="63"/>
    <n v="0"/>
    <n v="1"/>
    <n v="8"/>
  </r>
  <r>
    <x v="9418"/>
    <n v="-8"/>
    <n v="63"/>
    <n v="55"/>
    <n v="25"/>
    <n v="20"/>
    <x v="17"/>
    <n v="21"/>
    <n v="-9"/>
    <n v="68"/>
    <n v="0"/>
    <n v="1"/>
    <n v="9"/>
  </r>
  <r>
    <x v="9419"/>
    <n v="-9"/>
    <n v="68"/>
    <n v="59"/>
    <n v="21"/>
    <n v="17"/>
    <x v="29"/>
    <n v="16"/>
    <n v="-8"/>
    <n v="72"/>
    <n v="0"/>
    <n v="1"/>
    <n v="8"/>
  </r>
  <r>
    <x v="9420"/>
    <n v="-8"/>
    <n v="72"/>
    <n v="64"/>
    <n v="16"/>
    <n v="26"/>
    <x v="33"/>
    <n v="22"/>
    <n v="-4"/>
    <n v="62"/>
    <n v="0"/>
    <n v="1"/>
    <n v="4"/>
  </r>
  <r>
    <x v="9421"/>
    <n v="-4"/>
    <n v="62"/>
    <n v="58"/>
    <n v="22"/>
    <n v="25"/>
    <x v="5"/>
    <n v="27"/>
    <n v="-6"/>
    <n v="59"/>
    <n v="0"/>
    <n v="1"/>
    <n v="6"/>
  </r>
  <r>
    <x v="9422"/>
    <n v="-6"/>
    <n v="59"/>
    <n v="53"/>
    <n v="27"/>
    <n v="21"/>
    <x v="26"/>
    <n v="20"/>
    <n v="-5"/>
    <n v="65"/>
    <n v="0"/>
    <n v="1"/>
    <n v="5"/>
  </r>
  <r>
    <x v="9423"/>
    <n v="-5"/>
    <n v="65"/>
    <n v="60"/>
    <n v="20"/>
    <n v="16"/>
    <x v="30"/>
    <n v="24"/>
    <n v="-13"/>
    <n v="69"/>
    <n v="0"/>
    <n v="1"/>
    <n v="13"/>
  </r>
  <r>
    <x v="9424"/>
    <n v="-13"/>
    <n v="69"/>
    <n v="56"/>
    <n v="24"/>
    <n v="22"/>
    <x v="20"/>
    <n v="14"/>
    <n v="-5"/>
    <n v="71"/>
    <n v="0"/>
    <n v="1"/>
    <n v="5"/>
  </r>
  <r>
    <x v="9425"/>
    <n v="-5"/>
    <n v="71"/>
    <n v="66"/>
    <n v="14"/>
    <n v="27"/>
    <x v="28"/>
    <n v="15"/>
    <n v="7"/>
    <n v="58"/>
    <n v="0.70000000000000007"/>
    <n v="0"/>
    <n v="0"/>
  </r>
  <r>
    <x v="9426"/>
    <n v="7"/>
    <n v="58"/>
    <n v="65"/>
    <n v="15"/>
    <n v="20"/>
    <x v="12"/>
    <n v="27"/>
    <n v="0"/>
    <n v="53"/>
    <n v="0"/>
    <n v="0"/>
    <n v="0"/>
  </r>
  <r>
    <x v="9427"/>
    <n v="0"/>
    <n v="53"/>
    <n v="53"/>
    <n v="27"/>
    <n v="24"/>
    <x v="32"/>
    <n v="18"/>
    <n v="6"/>
    <n v="56"/>
    <n v="0.60000000000000009"/>
    <n v="0"/>
    <n v="0"/>
  </r>
  <r>
    <x v="9428"/>
    <n v="6"/>
    <n v="56"/>
    <n v="62"/>
    <n v="18"/>
    <n v="14"/>
    <x v="4"/>
    <n v="20"/>
    <n v="0"/>
    <n v="60"/>
    <n v="0"/>
    <n v="0"/>
    <n v="0"/>
  </r>
  <r>
    <x v="9429"/>
    <n v="0"/>
    <n v="60"/>
    <n v="60"/>
    <n v="20"/>
    <n v="15"/>
    <x v="26"/>
    <n v="21"/>
    <n v="-6"/>
    <n v="65"/>
    <n v="0"/>
    <n v="1"/>
    <n v="6"/>
  </r>
  <r>
    <x v="9430"/>
    <n v="-6"/>
    <n v="65"/>
    <n v="59"/>
    <n v="21"/>
    <n v="27"/>
    <x v="5"/>
    <n v="24"/>
    <n v="-3"/>
    <n v="59"/>
    <n v="0"/>
    <n v="1"/>
    <n v="3"/>
  </r>
  <r>
    <x v="9431"/>
    <n v="-3"/>
    <n v="59"/>
    <n v="56"/>
    <n v="24"/>
    <n v="18"/>
    <x v="26"/>
    <n v="19"/>
    <n v="-4"/>
    <n v="65"/>
    <n v="0"/>
    <n v="1"/>
    <n v="4"/>
  </r>
  <r>
    <x v="9432"/>
    <n v="-4"/>
    <n v="65"/>
    <n v="61"/>
    <n v="19"/>
    <n v="20"/>
    <x v="8"/>
    <n v="21"/>
    <n v="-5"/>
    <n v="64"/>
    <n v="0"/>
    <n v="1"/>
    <n v="5"/>
  </r>
  <r>
    <x v="9433"/>
    <n v="-5"/>
    <n v="64"/>
    <n v="59"/>
    <n v="21"/>
    <n v="21"/>
    <x v="8"/>
    <n v="14"/>
    <n v="2"/>
    <n v="64"/>
    <n v="0.2"/>
    <n v="0"/>
    <n v="0"/>
  </r>
  <r>
    <x v="9434"/>
    <n v="2"/>
    <n v="64"/>
    <n v="66"/>
    <n v="14"/>
    <n v="24"/>
    <x v="16"/>
    <n v="11"/>
    <n v="15"/>
    <n v="54"/>
    <n v="1.5"/>
    <n v="0"/>
    <n v="0"/>
  </r>
  <r>
    <x v="9435"/>
    <n v="15"/>
    <n v="54"/>
    <n v="69"/>
    <n v="11"/>
    <n v="19"/>
    <x v="38"/>
    <n v="24"/>
    <n v="10"/>
    <n v="46"/>
    <n v="1"/>
    <n v="0"/>
    <n v="0"/>
  </r>
  <r>
    <x v="9436"/>
    <n v="10"/>
    <n v="46"/>
    <n v="56"/>
    <n v="24"/>
    <n v="21"/>
    <x v="10"/>
    <n v="18"/>
    <n v="13"/>
    <n v="49"/>
    <n v="1.3"/>
    <n v="0"/>
    <n v="0"/>
  </r>
  <r>
    <x v="9437"/>
    <n v="13"/>
    <n v="49"/>
    <n v="62"/>
    <n v="18"/>
    <n v="14"/>
    <x v="12"/>
    <n v="21"/>
    <n v="6"/>
    <n v="53"/>
    <n v="0.60000000000000009"/>
    <n v="0"/>
    <n v="0"/>
  </r>
  <r>
    <x v="9438"/>
    <n v="6"/>
    <n v="53"/>
    <n v="59"/>
    <n v="21"/>
    <n v="11"/>
    <x v="22"/>
    <n v="26"/>
    <n v="-9"/>
    <n v="63"/>
    <n v="0"/>
    <n v="1"/>
    <n v="9"/>
  </r>
  <r>
    <x v="9439"/>
    <n v="-9"/>
    <n v="63"/>
    <n v="54"/>
    <n v="26"/>
    <n v="24"/>
    <x v="26"/>
    <n v="22"/>
    <n v="-7"/>
    <n v="65"/>
    <n v="0"/>
    <n v="1"/>
    <n v="7"/>
  </r>
  <r>
    <x v="9440"/>
    <n v="-7"/>
    <n v="65"/>
    <n v="58"/>
    <n v="22"/>
    <n v="18"/>
    <x v="30"/>
    <n v="20"/>
    <n v="-9"/>
    <n v="69"/>
    <n v="0"/>
    <n v="1"/>
    <n v="9"/>
  </r>
  <r>
    <x v="9441"/>
    <n v="-9"/>
    <n v="69"/>
    <n v="60"/>
    <n v="20"/>
    <n v="21"/>
    <x v="17"/>
    <n v="16"/>
    <n v="-4"/>
    <n v="68"/>
    <n v="0"/>
    <n v="1"/>
    <n v="4"/>
  </r>
  <r>
    <x v="9442"/>
    <n v="-4"/>
    <n v="68"/>
    <n v="64"/>
    <n v="16"/>
    <n v="26"/>
    <x v="28"/>
    <n v="18"/>
    <n v="4"/>
    <n v="58"/>
    <n v="0.4"/>
    <n v="0"/>
    <n v="0"/>
  </r>
  <r>
    <x v="9443"/>
    <n v="4"/>
    <n v="58"/>
    <n v="62"/>
    <n v="18"/>
    <n v="22"/>
    <x v="16"/>
    <n v="18"/>
    <n v="8"/>
    <n v="54"/>
    <n v="0.8"/>
    <n v="0"/>
    <n v="0"/>
  </r>
  <r>
    <x v="9444"/>
    <n v="8"/>
    <n v="54"/>
    <n v="62"/>
    <n v="18"/>
    <n v="20"/>
    <x v="25"/>
    <n v="22"/>
    <n v="6"/>
    <n v="52"/>
    <n v="0.60000000000000009"/>
    <n v="0"/>
    <n v="0"/>
  </r>
  <r>
    <x v="9445"/>
    <n v="6"/>
    <n v="52"/>
    <n v="58"/>
    <n v="22"/>
    <n v="16"/>
    <x v="28"/>
    <n v="21"/>
    <n v="1"/>
    <n v="58"/>
    <n v="0.1"/>
    <n v="0"/>
    <n v="0"/>
  </r>
  <r>
    <x v="9446"/>
    <n v="1"/>
    <n v="58"/>
    <n v="59"/>
    <n v="21"/>
    <n v="18"/>
    <x v="23"/>
    <n v="22"/>
    <n v="-3"/>
    <n v="61"/>
    <n v="0"/>
    <n v="1"/>
    <n v="3"/>
  </r>
  <r>
    <x v="9447"/>
    <n v="-3"/>
    <n v="61"/>
    <n v="58"/>
    <n v="22"/>
    <n v="18"/>
    <x v="26"/>
    <n v="26"/>
    <n v="-11"/>
    <n v="65"/>
    <n v="0"/>
    <n v="1"/>
    <n v="11"/>
  </r>
  <r>
    <x v="9448"/>
    <n v="-11"/>
    <n v="65"/>
    <n v="54"/>
    <n v="26"/>
    <n v="22"/>
    <x v="30"/>
    <n v="18"/>
    <n v="-7"/>
    <n v="69"/>
    <n v="0"/>
    <n v="1"/>
    <n v="7"/>
  </r>
  <r>
    <x v="9449"/>
    <n v="-7"/>
    <n v="69"/>
    <n v="62"/>
    <n v="18"/>
    <n v="21"/>
    <x v="7"/>
    <n v="19"/>
    <n v="-5"/>
    <n v="66"/>
    <n v="0"/>
    <n v="1"/>
    <n v="5"/>
  </r>
  <r>
    <x v="9450"/>
    <n v="-5"/>
    <n v="66"/>
    <n v="61"/>
    <n v="19"/>
    <n v="22"/>
    <x v="22"/>
    <n v="25"/>
    <n v="-8"/>
    <n v="63"/>
    <n v="0"/>
    <n v="1"/>
    <n v="8"/>
  </r>
  <r>
    <x v="9451"/>
    <n v="-8"/>
    <n v="63"/>
    <n v="55"/>
    <n v="25"/>
    <n v="26"/>
    <x v="33"/>
    <n v="15"/>
    <n v="3"/>
    <n v="62"/>
    <n v="0.30000000000000004"/>
    <n v="0"/>
    <n v="0"/>
  </r>
  <r>
    <x v="9452"/>
    <n v="3"/>
    <n v="62"/>
    <n v="65"/>
    <n v="15"/>
    <n v="18"/>
    <x v="5"/>
    <n v="18"/>
    <n v="3"/>
    <n v="59"/>
    <n v="0.30000000000000004"/>
    <n v="0"/>
    <n v="0"/>
  </r>
  <r>
    <x v="9453"/>
    <n v="3"/>
    <n v="59"/>
    <n v="62"/>
    <n v="18"/>
    <n v="19"/>
    <x v="28"/>
    <n v="25"/>
    <n v="-3"/>
    <n v="58"/>
    <n v="0"/>
    <n v="1"/>
    <n v="3"/>
  </r>
  <r>
    <x v="9454"/>
    <n v="-3"/>
    <n v="58"/>
    <n v="55"/>
    <n v="25"/>
    <n v="25"/>
    <x v="28"/>
    <n v="17"/>
    <n v="5"/>
    <n v="58"/>
    <n v="0.5"/>
    <n v="0"/>
    <n v="0"/>
  </r>
  <r>
    <x v="9455"/>
    <n v="5"/>
    <n v="58"/>
    <n v="63"/>
    <n v="17"/>
    <n v="15"/>
    <x v="4"/>
    <n v="15"/>
    <n v="5"/>
    <n v="60"/>
    <n v="0.5"/>
    <n v="0"/>
    <n v="0"/>
  </r>
  <r>
    <x v="9456"/>
    <n v="5"/>
    <n v="60"/>
    <n v="65"/>
    <n v="15"/>
    <n v="18"/>
    <x v="24"/>
    <n v="25"/>
    <n v="-2"/>
    <n v="57"/>
    <n v="0"/>
    <n v="1"/>
    <n v="2"/>
  </r>
  <r>
    <x v="9457"/>
    <n v="-2"/>
    <n v="57"/>
    <n v="55"/>
    <n v="25"/>
    <n v="25"/>
    <x v="24"/>
    <n v="23"/>
    <n v="0"/>
    <n v="57"/>
    <n v="0"/>
    <n v="0"/>
    <n v="0"/>
  </r>
  <r>
    <x v="9458"/>
    <n v="0"/>
    <n v="57"/>
    <n v="57"/>
    <n v="23"/>
    <n v="17"/>
    <x v="22"/>
    <n v="20"/>
    <n v="-3"/>
    <n v="63"/>
    <n v="0"/>
    <n v="1"/>
    <n v="3"/>
  </r>
  <r>
    <x v="9459"/>
    <n v="-3"/>
    <n v="63"/>
    <n v="60"/>
    <n v="20"/>
    <n v="15"/>
    <x v="17"/>
    <n v="18"/>
    <n v="-6"/>
    <n v="68"/>
    <n v="0"/>
    <n v="1"/>
    <n v="6"/>
  </r>
  <r>
    <x v="9460"/>
    <n v="-6"/>
    <n v="68"/>
    <n v="62"/>
    <n v="18"/>
    <n v="25"/>
    <x v="23"/>
    <n v="24"/>
    <n v="-5"/>
    <n v="61"/>
    <n v="0"/>
    <n v="1"/>
    <n v="5"/>
  </r>
  <r>
    <x v="9461"/>
    <n v="-5"/>
    <n v="61"/>
    <n v="56"/>
    <n v="24"/>
    <n v="23"/>
    <x v="33"/>
    <n v="20"/>
    <n v="-2"/>
    <n v="62"/>
    <n v="0"/>
    <n v="1"/>
    <n v="2"/>
  </r>
  <r>
    <x v="9462"/>
    <n v="-2"/>
    <n v="62"/>
    <n v="60"/>
    <n v="20"/>
    <n v="20"/>
    <x v="33"/>
    <n v="16"/>
    <n v="2"/>
    <n v="62"/>
    <n v="0.2"/>
    <n v="0"/>
    <n v="0"/>
  </r>
  <r>
    <x v="9463"/>
    <n v="2"/>
    <n v="62"/>
    <n v="64"/>
    <n v="16"/>
    <n v="18"/>
    <x v="4"/>
    <n v="16"/>
    <n v="4"/>
    <n v="60"/>
    <n v="0.4"/>
    <n v="0"/>
    <n v="0"/>
  </r>
  <r>
    <x v="9464"/>
    <n v="4"/>
    <n v="60"/>
    <n v="64"/>
    <n v="16"/>
    <n v="24"/>
    <x v="25"/>
    <n v="17"/>
    <n v="11"/>
    <n v="52"/>
    <n v="1.1000000000000001"/>
    <n v="0"/>
    <n v="0"/>
  </r>
  <r>
    <x v="9465"/>
    <n v="11"/>
    <n v="52"/>
    <n v="63"/>
    <n v="17"/>
    <n v="20"/>
    <x v="10"/>
    <n v="18"/>
    <n v="13"/>
    <n v="49"/>
    <n v="1.3"/>
    <n v="0"/>
    <n v="0"/>
  </r>
  <r>
    <x v="9466"/>
    <n v="13"/>
    <n v="49"/>
    <n v="62"/>
    <n v="18"/>
    <n v="16"/>
    <x v="9"/>
    <n v="15"/>
    <n v="14"/>
    <n v="51"/>
    <n v="1.4000000000000001"/>
    <n v="0"/>
    <n v="0"/>
  </r>
  <r>
    <x v="9467"/>
    <n v="14"/>
    <n v="51"/>
    <n v="65"/>
    <n v="15"/>
    <n v="16"/>
    <x v="13"/>
    <n v="24"/>
    <n v="6"/>
    <n v="50"/>
    <n v="0.60000000000000009"/>
    <n v="0"/>
    <n v="0"/>
  </r>
  <r>
    <x v="9468"/>
    <n v="6"/>
    <n v="50"/>
    <n v="56"/>
    <n v="24"/>
    <n v="17"/>
    <x v="24"/>
    <n v="22"/>
    <n v="1"/>
    <n v="57"/>
    <n v="0.1"/>
    <n v="0"/>
    <n v="0"/>
  </r>
  <r>
    <x v="9469"/>
    <n v="1"/>
    <n v="57"/>
    <n v="58"/>
    <n v="22"/>
    <n v="18"/>
    <x v="23"/>
    <n v="20"/>
    <n v="-1"/>
    <n v="61"/>
    <n v="0"/>
    <n v="1"/>
    <n v="1"/>
  </r>
  <r>
    <x v="9470"/>
    <n v="-1"/>
    <n v="61"/>
    <n v="60"/>
    <n v="20"/>
    <n v="15"/>
    <x v="7"/>
    <n v="25"/>
    <n v="-11"/>
    <n v="66"/>
    <n v="0"/>
    <n v="1"/>
    <n v="11"/>
  </r>
  <r>
    <x v="9471"/>
    <n v="-11"/>
    <n v="66"/>
    <n v="55"/>
    <n v="25"/>
    <n v="24"/>
    <x v="21"/>
    <n v="19"/>
    <n v="-6"/>
    <n v="67"/>
    <n v="0"/>
    <n v="1"/>
    <n v="6"/>
  </r>
  <r>
    <x v="9472"/>
    <n v="-6"/>
    <n v="67"/>
    <n v="61"/>
    <n v="19"/>
    <n v="22"/>
    <x v="8"/>
    <n v="17"/>
    <n v="-1"/>
    <n v="64"/>
    <n v="0"/>
    <n v="1"/>
    <n v="1"/>
  </r>
  <r>
    <x v="9473"/>
    <n v="-1"/>
    <n v="64"/>
    <n v="63"/>
    <n v="17"/>
    <n v="20"/>
    <x v="23"/>
    <n v="31"/>
    <n v="-12"/>
    <n v="61"/>
    <n v="0"/>
    <n v="1"/>
    <n v="12"/>
  </r>
  <r>
    <x v="9474"/>
    <n v="-12"/>
    <n v="61"/>
    <n v="49"/>
    <n v="31"/>
    <n v="25"/>
    <x v="21"/>
    <n v="16"/>
    <n v="-3"/>
    <n v="67"/>
    <n v="0"/>
    <n v="1"/>
    <n v="3"/>
  </r>
  <r>
    <x v="9475"/>
    <n v="-3"/>
    <n v="67"/>
    <n v="64"/>
    <n v="16"/>
    <n v="19"/>
    <x v="8"/>
    <n v="21"/>
    <n v="-5"/>
    <n v="64"/>
    <n v="0"/>
    <n v="1"/>
    <n v="5"/>
  </r>
  <r>
    <x v="9476"/>
    <n v="-5"/>
    <n v="64"/>
    <n v="59"/>
    <n v="21"/>
    <n v="17"/>
    <x v="17"/>
    <n v="17"/>
    <n v="-5"/>
    <n v="68"/>
    <n v="0"/>
    <n v="1"/>
    <n v="5"/>
  </r>
  <r>
    <x v="9477"/>
    <n v="-5"/>
    <n v="68"/>
    <n v="63"/>
    <n v="17"/>
    <n v="31"/>
    <x v="16"/>
    <n v="21"/>
    <n v="5"/>
    <n v="54"/>
    <n v="0.5"/>
    <n v="0"/>
    <n v="0"/>
  </r>
  <r>
    <x v="9478"/>
    <n v="5"/>
    <n v="54"/>
    <n v="59"/>
    <n v="21"/>
    <n v="16"/>
    <x v="5"/>
    <n v="25"/>
    <n v="-4"/>
    <n v="59"/>
    <n v="0"/>
    <n v="1"/>
    <n v="4"/>
  </r>
  <r>
    <x v="9479"/>
    <n v="-4"/>
    <n v="59"/>
    <n v="55"/>
    <n v="25"/>
    <n v="21"/>
    <x v="22"/>
    <n v="22"/>
    <n v="-5"/>
    <n v="63"/>
    <n v="0"/>
    <n v="1"/>
    <n v="5"/>
  </r>
  <r>
    <x v="9480"/>
    <n v="-5"/>
    <n v="63"/>
    <n v="58"/>
    <n v="22"/>
    <n v="17"/>
    <x v="17"/>
    <n v="21"/>
    <n v="-9"/>
    <n v="68"/>
    <n v="0"/>
    <n v="1"/>
    <n v="9"/>
  </r>
  <r>
    <x v="9481"/>
    <n v="-9"/>
    <n v="68"/>
    <n v="59"/>
    <n v="21"/>
    <n v="21"/>
    <x v="17"/>
    <n v="16"/>
    <n v="-4"/>
    <n v="68"/>
    <n v="0"/>
    <n v="1"/>
    <n v="4"/>
  </r>
  <r>
    <x v="9482"/>
    <n v="-4"/>
    <n v="68"/>
    <n v="64"/>
    <n v="16"/>
    <n v="25"/>
    <x v="5"/>
    <n v="19"/>
    <n v="2"/>
    <n v="59"/>
    <n v="0.2"/>
    <n v="0"/>
    <n v="0"/>
  </r>
  <r>
    <x v="9483"/>
    <n v="2"/>
    <n v="59"/>
    <n v="61"/>
    <n v="19"/>
    <n v="22"/>
    <x v="32"/>
    <n v="25"/>
    <n v="-1"/>
    <n v="56"/>
    <n v="0"/>
    <n v="1"/>
    <n v="1"/>
  </r>
  <r>
    <x v="9484"/>
    <n v="-1"/>
    <n v="56"/>
    <n v="55"/>
    <n v="25"/>
    <n v="21"/>
    <x v="4"/>
    <n v="18"/>
    <n v="2"/>
    <n v="60"/>
    <n v="0.2"/>
    <n v="0"/>
    <n v="0"/>
  </r>
  <r>
    <x v="9485"/>
    <n v="2"/>
    <n v="60"/>
    <n v="62"/>
    <n v="18"/>
    <n v="16"/>
    <x v="33"/>
    <n v="23"/>
    <n v="-5"/>
    <n v="62"/>
    <n v="0"/>
    <n v="1"/>
    <n v="5"/>
  </r>
  <r>
    <x v="9486"/>
    <n v="-5"/>
    <n v="62"/>
    <n v="57"/>
    <n v="23"/>
    <n v="19"/>
    <x v="7"/>
    <n v="24"/>
    <n v="-10"/>
    <n v="66"/>
    <n v="0"/>
    <n v="1"/>
    <n v="10"/>
  </r>
  <r>
    <x v="9487"/>
    <n v="-10"/>
    <n v="66"/>
    <n v="56"/>
    <n v="24"/>
    <n v="25"/>
    <x v="26"/>
    <n v="23"/>
    <n v="-8"/>
    <n v="65"/>
    <n v="0"/>
    <n v="1"/>
    <n v="8"/>
  </r>
  <r>
    <x v="9488"/>
    <n v="-8"/>
    <n v="65"/>
    <n v="57"/>
    <n v="23"/>
    <n v="18"/>
    <x v="6"/>
    <n v="10"/>
    <n v="0"/>
    <n v="70"/>
    <n v="0"/>
    <n v="0"/>
    <n v="0"/>
  </r>
  <r>
    <x v="9489"/>
    <n v="0"/>
    <n v="70"/>
    <n v="70"/>
    <n v="10"/>
    <n v="23"/>
    <x v="24"/>
    <n v="22"/>
    <n v="1"/>
    <n v="57"/>
    <n v="0.1"/>
    <n v="0"/>
    <n v="0"/>
  </r>
  <r>
    <x v="9490"/>
    <n v="1"/>
    <n v="57"/>
    <n v="58"/>
    <n v="22"/>
    <n v="24"/>
    <x v="27"/>
    <n v="18"/>
    <n v="7"/>
    <n v="55"/>
    <n v="0.70000000000000007"/>
    <n v="0"/>
    <n v="0"/>
  </r>
  <r>
    <x v="9491"/>
    <n v="7"/>
    <n v="55"/>
    <n v="62"/>
    <n v="18"/>
    <n v="23"/>
    <x v="13"/>
    <n v="17"/>
    <n v="13"/>
    <n v="50"/>
    <n v="1.3"/>
    <n v="0"/>
    <n v="0"/>
  </r>
  <r>
    <x v="9492"/>
    <n v="13"/>
    <n v="50"/>
    <n v="63"/>
    <n v="17"/>
    <n v="10"/>
    <x v="24"/>
    <n v="18"/>
    <n v="5"/>
    <n v="57"/>
    <n v="0.5"/>
    <n v="0"/>
    <n v="0"/>
  </r>
  <r>
    <x v="9493"/>
    <n v="5"/>
    <n v="57"/>
    <n v="62"/>
    <n v="18"/>
    <n v="22"/>
    <x v="12"/>
    <n v="25"/>
    <n v="2"/>
    <n v="53"/>
    <n v="0.2"/>
    <n v="0"/>
    <n v="0"/>
  </r>
  <r>
    <x v="9494"/>
    <n v="2"/>
    <n v="53"/>
    <n v="55"/>
    <n v="25"/>
    <n v="18"/>
    <x v="4"/>
    <n v="25"/>
    <n v="-5"/>
    <n v="60"/>
    <n v="0"/>
    <n v="1"/>
    <n v="5"/>
  </r>
  <r>
    <x v="9495"/>
    <n v="-5"/>
    <n v="60"/>
    <n v="55"/>
    <n v="25"/>
    <n v="17"/>
    <x v="17"/>
    <n v="25"/>
    <n v="-13"/>
    <n v="68"/>
    <n v="0"/>
    <n v="1"/>
    <n v="13"/>
  </r>
  <r>
    <x v="9496"/>
    <n v="-13"/>
    <n v="68"/>
    <n v="55"/>
    <n v="25"/>
    <n v="18"/>
    <x v="44"/>
    <n v="23"/>
    <n v="-18"/>
    <n v="75"/>
    <n v="0"/>
    <n v="1"/>
    <n v="18"/>
  </r>
  <r>
    <x v="9497"/>
    <n v="-18"/>
    <n v="75"/>
    <n v="57"/>
    <n v="23"/>
    <n v="25"/>
    <x v="31"/>
    <n v="17"/>
    <n v="-10"/>
    <n v="73"/>
    <n v="0"/>
    <n v="1"/>
    <n v="10"/>
  </r>
  <r>
    <x v="9498"/>
    <n v="-10"/>
    <n v="73"/>
    <n v="63"/>
    <n v="17"/>
    <n v="25"/>
    <x v="26"/>
    <n v="21"/>
    <n v="-6"/>
    <n v="65"/>
    <n v="0"/>
    <n v="1"/>
    <n v="6"/>
  </r>
  <r>
    <x v="9499"/>
    <n v="-6"/>
    <n v="65"/>
    <n v="59"/>
    <n v="21"/>
    <n v="25"/>
    <x v="23"/>
    <n v="19"/>
    <n v="0"/>
    <n v="61"/>
    <n v="0"/>
    <n v="0"/>
    <n v="0"/>
  </r>
  <r>
    <x v="9500"/>
    <n v="0"/>
    <n v="61"/>
    <n v="61"/>
    <n v="19"/>
    <n v="23"/>
    <x v="24"/>
    <n v="16"/>
    <n v="7"/>
    <n v="57"/>
    <n v="0.70000000000000007"/>
    <n v="0"/>
    <n v="0"/>
  </r>
  <r>
    <x v="9501"/>
    <n v="7"/>
    <n v="57"/>
    <n v="64"/>
    <n v="16"/>
    <n v="17"/>
    <x v="32"/>
    <n v="31"/>
    <n v="-7"/>
    <n v="56"/>
    <n v="0"/>
    <n v="1"/>
    <n v="7"/>
  </r>
  <r>
    <x v="9502"/>
    <n v="-7"/>
    <n v="56"/>
    <n v="49"/>
    <n v="31"/>
    <n v="21"/>
    <x v="7"/>
    <n v="21"/>
    <n v="-7"/>
    <n v="66"/>
    <n v="0"/>
    <n v="1"/>
    <n v="7"/>
  </r>
  <r>
    <x v="9503"/>
    <n v="-7"/>
    <n v="66"/>
    <n v="59"/>
    <n v="21"/>
    <n v="19"/>
    <x v="17"/>
    <n v="24"/>
    <n v="-12"/>
    <n v="68"/>
    <n v="0"/>
    <n v="1"/>
    <n v="12"/>
  </r>
  <r>
    <x v="9504"/>
    <n v="-12"/>
    <n v="68"/>
    <n v="56"/>
    <n v="24"/>
    <n v="16"/>
    <x v="37"/>
    <n v="16"/>
    <n v="-12"/>
    <n v="76"/>
    <n v="0"/>
    <n v="1"/>
    <n v="12"/>
  </r>
  <r>
    <x v="9505"/>
    <n v="-12"/>
    <n v="76"/>
    <n v="64"/>
    <n v="16"/>
    <n v="31"/>
    <x v="23"/>
    <n v="26"/>
    <n v="-7"/>
    <n v="61"/>
    <n v="0"/>
    <n v="1"/>
    <n v="7"/>
  </r>
  <r>
    <x v="9506"/>
    <n v="-7"/>
    <n v="61"/>
    <n v="54"/>
    <n v="26"/>
    <n v="21"/>
    <x v="7"/>
    <n v="17"/>
    <n v="-3"/>
    <n v="66"/>
    <n v="0"/>
    <n v="1"/>
    <n v="3"/>
  </r>
  <r>
    <x v="9507"/>
    <n v="-3"/>
    <n v="66"/>
    <n v="63"/>
    <n v="17"/>
    <n v="24"/>
    <x v="5"/>
    <n v="18"/>
    <n v="3"/>
    <n v="59"/>
    <n v="0.30000000000000004"/>
    <n v="0"/>
    <n v="0"/>
  </r>
  <r>
    <x v="9508"/>
    <n v="3"/>
    <n v="59"/>
    <n v="62"/>
    <n v="18"/>
    <n v="16"/>
    <x v="23"/>
    <n v="19"/>
    <n v="0"/>
    <n v="61"/>
    <n v="0"/>
    <n v="0"/>
    <n v="0"/>
  </r>
  <r>
    <x v="9509"/>
    <n v="0"/>
    <n v="61"/>
    <n v="61"/>
    <n v="19"/>
    <n v="26"/>
    <x v="16"/>
    <n v="13"/>
    <n v="13"/>
    <n v="54"/>
    <n v="1.3"/>
    <n v="0"/>
    <n v="0"/>
  </r>
  <r>
    <x v="9510"/>
    <n v="13"/>
    <n v="54"/>
    <n v="67"/>
    <n v="13"/>
    <n v="17"/>
    <x v="13"/>
    <n v="14"/>
    <n v="16"/>
    <n v="50"/>
    <n v="1.6"/>
    <n v="0"/>
    <n v="0"/>
  </r>
  <r>
    <x v="9511"/>
    <n v="16"/>
    <n v="50"/>
    <n v="66"/>
    <n v="14"/>
    <n v="18"/>
    <x v="38"/>
    <n v="18"/>
    <n v="16"/>
    <n v="46"/>
    <n v="1.6"/>
    <n v="0"/>
    <n v="0"/>
  </r>
  <r>
    <x v="9512"/>
    <n v="16"/>
    <n v="46"/>
    <n v="62"/>
    <n v="18"/>
    <n v="19"/>
    <x v="11"/>
    <n v="16"/>
    <n v="19"/>
    <n v="45"/>
    <n v="1.9000000000000001"/>
    <n v="0"/>
    <n v="0"/>
  </r>
  <r>
    <x v="9513"/>
    <n v="19"/>
    <n v="45"/>
    <n v="64"/>
    <n v="16"/>
    <n v="13"/>
    <x v="15"/>
    <n v="27"/>
    <n v="5"/>
    <n v="48"/>
    <n v="0.5"/>
    <n v="0"/>
    <n v="0"/>
  </r>
  <r>
    <x v="9514"/>
    <n v="5"/>
    <n v="48"/>
    <n v="53"/>
    <n v="27"/>
    <n v="14"/>
    <x v="23"/>
    <n v="18"/>
    <n v="1"/>
    <n v="61"/>
    <n v="0.1"/>
    <n v="0"/>
    <n v="0"/>
  </r>
  <r>
    <x v="9515"/>
    <n v="1"/>
    <n v="61"/>
    <n v="62"/>
    <n v="18"/>
    <n v="18"/>
    <x v="23"/>
    <n v="16"/>
    <n v="3"/>
    <n v="61"/>
    <n v="0.30000000000000004"/>
    <n v="0"/>
    <n v="0"/>
  </r>
  <r>
    <x v="9516"/>
    <n v="3"/>
    <n v="61"/>
    <n v="64"/>
    <n v="16"/>
    <n v="16"/>
    <x v="23"/>
    <n v="19"/>
    <n v="0"/>
    <n v="61"/>
    <n v="0"/>
    <n v="0"/>
    <n v="0"/>
  </r>
  <r>
    <x v="9517"/>
    <n v="0"/>
    <n v="61"/>
    <n v="61"/>
    <n v="19"/>
    <n v="27"/>
    <x v="12"/>
    <n v="18"/>
    <n v="9"/>
    <n v="53"/>
    <n v="0.9"/>
    <n v="0"/>
    <n v="0"/>
  </r>
  <r>
    <x v="9518"/>
    <n v="9"/>
    <n v="53"/>
    <n v="62"/>
    <n v="18"/>
    <n v="18"/>
    <x v="12"/>
    <n v="17"/>
    <n v="10"/>
    <n v="53"/>
    <n v="1"/>
    <n v="0"/>
    <n v="0"/>
  </r>
  <r>
    <x v="9519"/>
    <n v="10"/>
    <n v="53"/>
    <n v="63"/>
    <n v="17"/>
    <n v="16"/>
    <x v="16"/>
    <n v="21"/>
    <n v="5"/>
    <n v="54"/>
    <n v="0.5"/>
    <n v="0"/>
    <n v="0"/>
  </r>
  <r>
    <x v="9520"/>
    <n v="5"/>
    <n v="54"/>
    <n v="59"/>
    <n v="21"/>
    <n v="19"/>
    <x v="32"/>
    <n v="24"/>
    <n v="0"/>
    <n v="56"/>
    <n v="0"/>
    <n v="0"/>
    <n v="0"/>
  </r>
  <r>
    <x v="9521"/>
    <n v="0"/>
    <n v="56"/>
    <n v="56"/>
    <n v="24"/>
    <n v="18"/>
    <x v="33"/>
    <n v="16"/>
    <n v="2"/>
    <n v="62"/>
    <n v="0.2"/>
    <n v="0"/>
    <n v="0"/>
  </r>
  <r>
    <x v="9522"/>
    <n v="2"/>
    <n v="62"/>
    <n v="64"/>
    <n v="16"/>
    <n v="17"/>
    <x v="23"/>
    <n v="24"/>
    <n v="-5"/>
    <n v="61"/>
    <n v="0"/>
    <n v="1"/>
    <n v="5"/>
  </r>
  <r>
    <x v="9523"/>
    <n v="-5"/>
    <n v="61"/>
    <n v="56"/>
    <n v="24"/>
    <n v="21"/>
    <x v="8"/>
    <n v="24"/>
    <n v="-8"/>
    <n v="64"/>
    <n v="0"/>
    <n v="1"/>
    <n v="8"/>
  </r>
  <r>
    <x v="9524"/>
    <n v="-8"/>
    <n v="64"/>
    <n v="56"/>
    <n v="24"/>
    <n v="24"/>
    <x v="8"/>
    <n v="18"/>
    <n v="-2"/>
    <n v="64"/>
    <n v="0"/>
    <n v="1"/>
    <n v="2"/>
  </r>
  <r>
    <x v="9525"/>
    <n v="-2"/>
    <n v="64"/>
    <n v="62"/>
    <n v="18"/>
    <n v="16"/>
    <x v="7"/>
    <n v="20"/>
    <n v="-6"/>
    <n v="66"/>
    <n v="0"/>
    <n v="1"/>
    <n v="6"/>
  </r>
  <r>
    <x v="9526"/>
    <n v="-6"/>
    <n v="66"/>
    <n v="60"/>
    <n v="20"/>
    <n v="24"/>
    <x v="33"/>
    <n v="19"/>
    <n v="-1"/>
    <n v="62"/>
    <n v="0"/>
    <n v="1"/>
    <n v="1"/>
  </r>
  <r>
    <x v="9527"/>
    <n v="-1"/>
    <n v="62"/>
    <n v="61"/>
    <n v="19"/>
    <n v="24"/>
    <x v="24"/>
    <n v="15"/>
    <n v="8"/>
    <n v="57"/>
    <n v="0.8"/>
    <n v="0"/>
    <n v="0"/>
  </r>
  <r>
    <x v="9528"/>
    <n v="8"/>
    <n v="57"/>
    <n v="65"/>
    <n v="15"/>
    <n v="18"/>
    <x v="16"/>
    <n v="23"/>
    <n v="3"/>
    <n v="54"/>
    <n v="0.30000000000000004"/>
    <n v="0"/>
    <n v="0"/>
  </r>
  <r>
    <x v="9529"/>
    <n v="3"/>
    <n v="54"/>
    <n v="57"/>
    <n v="23"/>
    <n v="20"/>
    <x v="24"/>
    <n v="21"/>
    <n v="2"/>
    <n v="57"/>
    <n v="0.2"/>
    <n v="0"/>
    <n v="0"/>
  </r>
  <r>
    <x v="9530"/>
    <n v="2"/>
    <n v="57"/>
    <n v="59"/>
    <n v="21"/>
    <n v="19"/>
    <x v="5"/>
    <n v="23"/>
    <n v="-2"/>
    <n v="59"/>
    <n v="0"/>
    <n v="1"/>
    <n v="2"/>
  </r>
  <r>
    <x v="9531"/>
    <n v="-2"/>
    <n v="59"/>
    <n v="57"/>
    <n v="23"/>
    <n v="15"/>
    <x v="21"/>
    <n v="18"/>
    <n v="-5"/>
    <n v="67"/>
    <n v="0"/>
    <n v="1"/>
    <n v="5"/>
  </r>
  <r>
    <x v="9532"/>
    <n v="-5"/>
    <n v="67"/>
    <n v="62"/>
    <n v="18"/>
    <n v="23"/>
    <x v="33"/>
    <n v="20"/>
    <n v="-2"/>
    <n v="62"/>
    <n v="0"/>
    <n v="1"/>
    <n v="2"/>
  </r>
  <r>
    <x v="9533"/>
    <n v="-2"/>
    <n v="62"/>
    <n v="60"/>
    <n v="20"/>
    <n v="21"/>
    <x v="23"/>
    <n v="25"/>
    <n v="-6"/>
    <n v="61"/>
    <n v="0"/>
    <n v="1"/>
    <n v="6"/>
  </r>
  <r>
    <x v="9534"/>
    <n v="-6"/>
    <n v="61"/>
    <n v="55"/>
    <n v="25"/>
    <n v="23"/>
    <x v="22"/>
    <n v="29"/>
    <n v="-12"/>
    <n v="63"/>
    <n v="0"/>
    <n v="1"/>
    <n v="12"/>
  </r>
  <r>
    <x v="9535"/>
    <n v="-12"/>
    <n v="63"/>
    <n v="51"/>
    <n v="29"/>
    <n v="18"/>
    <x v="39"/>
    <n v="18"/>
    <n v="-12"/>
    <n v="74"/>
    <n v="0"/>
    <n v="1"/>
    <n v="12"/>
  </r>
  <r>
    <x v="9536"/>
    <n v="-12"/>
    <n v="74"/>
    <n v="62"/>
    <n v="18"/>
    <n v="20"/>
    <x v="29"/>
    <n v="27"/>
    <n v="-19"/>
    <n v="72"/>
    <n v="0"/>
    <n v="1"/>
    <n v="19"/>
  </r>
  <r>
    <x v="9537"/>
    <n v="-19"/>
    <n v="72"/>
    <n v="53"/>
    <n v="27"/>
    <n v="25"/>
    <x v="39"/>
    <n v="18"/>
    <n v="-12"/>
    <n v="74"/>
    <n v="0"/>
    <n v="1"/>
    <n v="12"/>
  </r>
  <r>
    <x v="9538"/>
    <n v="-12"/>
    <n v="74"/>
    <n v="62"/>
    <n v="18"/>
    <n v="29"/>
    <x v="22"/>
    <n v="15"/>
    <n v="2"/>
    <n v="63"/>
    <n v="0.2"/>
    <n v="0"/>
    <n v="0"/>
  </r>
  <r>
    <x v="9539"/>
    <n v="2"/>
    <n v="63"/>
    <n v="65"/>
    <n v="15"/>
    <n v="18"/>
    <x v="4"/>
    <n v="21"/>
    <n v="-1"/>
    <n v="60"/>
    <n v="0"/>
    <n v="1"/>
    <n v="1"/>
  </r>
  <r>
    <x v="9540"/>
    <n v="-1"/>
    <n v="60"/>
    <n v="59"/>
    <n v="21"/>
    <n v="27"/>
    <x v="16"/>
    <n v="17"/>
    <n v="9"/>
    <n v="54"/>
    <n v="0.9"/>
    <n v="0"/>
    <n v="0"/>
  </r>
  <r>
    <x v="9541"/>
    <n v="9"/>
    <n v="54"/>
    <n v="63"/>
    <n v="17"/>
    <n v="18"/>
    <x v="12"/>
    <n v="13"/>
    <n v="14"/>
    <n v="53"/>
    <n v="1.4000000000000001"/>
    <n v="0"/>
    <n v="0"/>
  </r>
  <r>
    <x v="9542"/>
    <n v="14"/>
    <n v="53"/>
    <n v="67"/>
    <n v="13"/>
    <n v="15"/>
    <x v="9"/>
    <n v="15"/>
    <n v="14"/>
    <n v="51"/>
    <n v="1.4000000000000001"/>
    <n v="0"/>
    <n v="0"/>
  </r>
  <r>
    <x v="9543"/>
    <n v="14"/>
    <n v="51"/>
    <n v="65"/>
    <n v="15"/>
    <n v="21"/>
    <x v="11"/>
    <n v="16"/>
    <n v="19"/>
    <n v="45"/>
    <n v="1.9000000000000001"/>
    <n v="0"/>
    <n v="0"/>
  </r>
  <r>
    <x v="9544"/>
    <n v="19"/>
    <n v="45"/>
    <n v="64"/>
    <n v="16"/>
    <n v="17"/>
    <x v="45"/>
    <n v="15"/>
    <n v="21"/>
    <n v="44"/>
    <n v="2.1"/>
    <n v="0"/>
    <n v="0"/>
  </r>
  <r>
    <x v="9545"/>
    <n v="21"/>
    <n v="44"/>
    <n v="65"/>
    <n v="15"/>
    <n v="13"/>
    <x v="38"/>
    <n v="22"/>
    <n v="12"/>
    <n v="46"/>
    <n v="1.2000000000000002"/>
    <n v="0"/>
    <n v="0"/>
  </r>
  <r>
    <x v="9546"/>
    <n v="12"/>
    <n v="46"/>
    <n v="58"/>
    <n v="22"/>
    <n v="15"/>
    <x v="12"/>
    <n v="25"/>
    <n v="2"/>
    <n v="53"/>
    <n v="0.2"/>
    <n v="0"/>
    <n v="0"/>
  </r>
  <r>
    <x v="9547"/>
    <n v="2"/>
    <n v="53"/>
    <n v="55"/>
    <n v="25"/>
    <n v="16"/>
    <x v="33"/>
    <n v="19"/>
    <n v="-1"/>
    <n v="62"/>
    <n v="0"/>
    <n v="1"/>
    <n v="1"/>
  </r>
  <r>
    <x v="9548"/>
    <n v="-1"/>
    <n v="62"/>
    <n v="61"/>
    <n v="19"/>
    <n v="15"/>
    <x v="7"/>
    <n v="26"/>
    <n v="-12"/>
    <n v="66"/>
    <n v="0"/>
    <n v="1"/>
    <n v="12"/>
  </r>
  <r>
    <x v="9549"/>
    <n v="-12"/>
    <n v="66"/>
    <n v="54"/>
    <n v="26"/>
    <n v="22"/>
    <x v="6"/>
    <n v="22"/>
    <n v="-12"/>
    <n v="70"/>
    <n v="0"/>
    <n v="1"/>
    <n v="12"/>
  </r>
  <r>
    <x v="9550"/>
    <n v="-12"/>
    <n v="70"/>
    <n v="58"/>
    <n v="22"/>
    <n v="25"/>
    <x v="21"/>
    <n v="31"/>
    <n v="-18"/>
    <n v="67"/>
    <n v="0"/>
    <n v="1"/>
    <n v="18"/>
  </r>
  <r>
    <x v="9551"/>
    <n v="-18"/>
    <n v="67"/>
    <n v="49"/>
    <n v="31"/>
    <n v="19"/>
    <x v="43"/>
    <n v="22"/>
    <n v="-21"/>
    <n v="79"/>
    <n v="0"/>
    <n v="1"/>
    <n v="21"/>
  </r>
  <r>
    <x v="9552"/>
    <n v="-21"/>
    <n v="79"/>
    <n v="58"/>
    <n v="22"/>
    <n v="26"/>
    <x v="44"/>
    <n v="16"/>
    <n v="-11"/>
    <n v="75"/>
    <n v="0"/>
    <n v="1"/>
    <n v="11"/>
  </r>
  <r>
    <x v="9553"/>
    <n v="-11"/>
    <n v="75"/>
    <n v="64"/>
    <n v="16"/>
    <n v="22"/>
    <x v="30"/>
    <n v="20"/>
    <n v="-9"/>
    <n v="69"/>
    <n v="0"/>
    <n v="1"/>
    <n v="9"/>
  </r>
  <r>
    <x v="9554"/>
    <n v="-9"/>
    <n v="69"/>
    <n v="60"/>
    <n v="20"/>
    <n v="31"/>
    <x v="28"/>
    <n v="17"/>
    <n v="5"/>
    <n v="58"/>
    <n v="0.5"/>
    <n v="0"/>
    <n v="0"/>
  </r>
  <r>
    <x v="9555"/>
    <n v="5"/>
    <n v="58"/>
    <n v="63"/>
    <n v="17"/>
    <n v="22"/>
    <x v="12"/>
    <n v="26"/>
    <n v="1"/>
    <n v="53"/>
    <n v="0.1"/>
    <n v="0"/>
    <n v="0"/>
  </r>
  <r>
    <x v="9556"/>
    <n v="1"/>
    <n v="53"/>
    <n v="54"/>
    <n v="26"/>
    <n v="16"/>
    <x v="22"/>
    <n v="22"/>
    <n v="-5"/>
    <n v="63"/>
    <n v="0"/>
    <n v="1"/>
    <n v="5"/>
  </r>
  <r>
    <x v="9557"/>
    <n v="-5"/>
    <n v="63"/>
    <n v="58"/>
    <n v="22"/>
    <n v="20"/>
    <x v="26"/>
    <n v="21"/>
    <n v="-6"/>
    <n v="65"/>
    <n v="0"/>
    <n v="1"/>
    <n v="6"/>
  </r>
  <r>
    <x v="9558"/>
    <n v="-6"/>
    <n v="65"/>
    <n v="59"/>
    <n v="21"/>
    <n v="17"/>
    <x v="30"/>
    <n v="18"/>
    <n v="-7"/>
    <n v="69"/>
    <n v="0"/>
    <n v="1"/>
    <n v="7"/>
  </r>
  <r>
    <x v="9559"/>
    <n v="-7"/>
    <n v="69"/>
    <n v="62"/>
    <n v="18"/>
    <n v="26"/>
    <x v="23"/>
    <n v="25"/>
    <n v="-6"/>
    <n v="61"/>
    <n v="0"/>
    <n v="1"/>
    <n v="6"/>
  </r>
  <r>
    <x v="9560"/>
    <n v="-6"/>
    <n v="61"/>
    <n v="55"/>
    <n v="25"/>
    <n v="22"/>
    <x v="8"/>
    <n v="16"/>
    <n v="0"/>
    <n v="64"/>
    <n v="0"/>
    <n v="0"/>
    <n v="0"/>
  </r>
  <r>
    <x v="9561"/>
    <n v="0"/>
    <n v="64"/>
    <n v="64"/>
    <n v="16"/>
    <n v="21"/>
    <x v="5"/>
    <n v="17"/>
    <n v="4"/>
    <n v="59"/>
    <n v="0.4"/>
    <n v="0"/>
    <n v="0"/>
  </r>
  <r>
    <x v="9562"/>
    <n v="4"/>
    <n v="59"/>
    <n v="63"/>
    <n v="17"/>
    <n v="18"/>
    <x v="28"/>
    <n v="26"/>
    <n v="-4"/>
    <n v="58"/>
    <n v="0"/>
    <n v="1"/>
    <n v="4"/>
  </r>
  <r>
    <x v="9563"/>
    <n v="-4"/>
    <n v="58"/>
    <n v="54"/>
    <n v="26"/>
    <n v="25"/>
    <x v="5"/>
    <n v="30"/>
    <n v="-9"/>
    <n v="59"/>
    <n v="0"/>
    <n v="1"/>
    <n v="9"/>
  </r>
  <r>
    <x v="9564"/>
    <n v="-9"/>
    <n v="59"/>
    <n v="50"/>
    <n v="30"/>
    <n v="16"/>
    <x v="31"/>
    <n v="20"/>
    <n v="-13"/>
    <n v="73"/>
    <n v="0"/>
    <n v="1"/>
    <n v="13"/>
  </r>
  <r>
    <x v="9565"/>
    <n v="-13"/>
    <n v="73"/>
    <n v="60"/>
    <n v="20"/>
    <n v="17"/>
    <x v="37"/>
    <n v="19"/>
    <n v="-15"/>
    <n v="76"/>
    <n v="0"/>
    <n v="1"/>
    <n v="15"/>
  </r>
  <r>
    <x v="9566"/>
    <n v="-15"/>
    <n v="76"/>
    <n v="61"/>
    <n v="19"/>
    <n v="26"/>
    <x v="30"/>
    <n v="15"/>
    <n v="-4"/>
    <n v="69"/>
    <n v="0"/>
    <n v="1"/>
    <n v="4"/>
  </r>
  <r>
    <x v="9567"/>
    <n v="-4"/>
    <n v="69"/>
    <n v="65"/>
    <n v="15"/>
    <n v="30"/>
    <x v="16"/>
    <n v="23"/>
    <n v="3"/>
    <n v="54"/>
    <n v="0.30000000000000004"/>
    <n v="0"/>
    <n v="0"/>
  </r>
  <r>
    <x v="9568"/>
    <n v="3"/>
    <n v="54"/>
    <n v="57"/>
    <n v="23"/>
    <n v="20"/>
    <x v="24"/>
    <n v="23"/>
    <n v="0"/>
    <n v="57"/>
    <n v="0"/>
    <n v="0"/>
    <n v="0"/>
  </r>
  <r>
    <x v="9569"/>
    <n v="0"/>
    <n v="57"/>
    <n v="57"/>
    <n v="23"/>
    <n v="19"/>
    <x v="23"/>
    <n v="23"/>
    <n v="-4"/>
    <n v="61"/>
    <n v="0"/>
    <n v="1"/>
    <n v="4"/>
  </r>
  <r>
    <x v="9570"/>
    <n v="-4"/>
    <n v="61"/>
    <n v="57"/>
    <n v="23"/>
    <n v="15"/>
    <x v="30"/>
    <n v="20"/>
    <n v="-9"/>
    <n v="69"/>
    <n v="0"/>
    <n v="1"/>
    <n v="9"/>
  </r>
  <r>
    <x v="9571"/>
    <n v="-9"/>
    <n v="69"/>
    <n v="60"/>
    <n v="20"/>
    <n v="23"/>
    <x v="7"/>
    <n v="21"/>
    <n v="-7"/>
    <n v="66"/>
    <n v="0"/>
    <n v="1"/>
    <n v="7"/>
  </r>
  <r>
    <x v="9572"/>
    <n v="-7"/>
    <n v="66"/>
    <n v="59"/>
    <n v="21"/>
    <n v="23"/>
    <x v="8"/>
    <n v="26"/>
    <n v="-10"/>
    <n v="64"/>
    <n v="0"/>
    <n v="1"/>
    <n v="10"/>
  </r>
  <r>
    <x v="9573"/>
    <n v="-10"/>
    <n v="64"/>
    <n v="54"/>
    <n v="26"/>
    <n v="23"/>
    <x v="21"/>
    <n v="22"/>
    <n v="-9"/>
    <n v="67"/>
    <n v="0"/>
    <n v="1"/>
    <n v="9"/>
  </r>
  <r>
    <x v="9574"/>
    <n v="-9"/>
    <n v="67"/>
    <n v="58"/>
    <n v="22"/>
    <n v="20"/>
    <x v="30"/>
    <n v="16"/>
    <n v="-5"/>
    <n v="69"/>
    <n v="0"/>
    <n v="1"/>
    <n v="5"/>
  </r>
  <r>
    <x v="9575"/>
    <n v="-5"/>
    <n v="69"/>
    <n v="64"/>
    <n v="16"/>
    <n v="21"/>
    <x v="8"/>
    <n v="13"/>
    <n v="3"/>
    <n v="64"/>
    <n v="0.30000000000000004"/>
    <n v="0"/>
    <n v="0"/>
  </r>
  <r>
    <x v="9576"/>
    <n v="3"/>
    <n v="64"/>
    <n v="67"/>
    <n v="13"/>
    <n v="26"/>
    <x v="9"/>
    <n v="18"/>
    <n v="11"/>
    <n v="51"/>
    <n v="1.1000000000000001"/>
    <n v="0"/>
    <n v="0"/>
  </r>
  <r>
    <x v="9577"/>
    <n v="11"/>
    <n v="51"/>
    <n v="62"/>
    <n v="18"/>
    <n v="22"/>
    <x v="14"/>
    <n v="22"/>
    <n v="11"/>
    <n v="47"/>
    <n v="1.1000000000000001"/>
    <n v="0"/>
    <n v="0"/>
  </r>
  <r>
    <x v="9578"/>
    <n v="11"/>
    <n v="47"/>
    <n v="58"/>
    <n v="22"/>
    <n v="16"/>
    <x v="12"/>
    <n v="20"/>
    <n v="7"/>
    <n v="53"/>
    <n v="0.70000000000000007"/>
    <n v="0"/>
    <n v="0"/>
  </r>
  <r>
    <x v="9579"/>
    <n v="7"/>
    <n v="53"/>
    <n v="60"/>
    <n v="20"/>
    <n v="13"/>
    <x v="4"/>
    <n v="18"/>
    <n v="2"/>
    <n v="60"/>
    <n v="0.2"/>
    <n v="0"/>
    <n v="0"/>
  </r>
  <r>
    <x v="9580"/>
    <n v="2"/>
    <n v="60"/>
    <n v="62"/>
    <n v="18"/>
    <n v="18"/>
    <x v="4"/>
    <n v="19"/>
    <n v="1"/>
    <n v="60"/>
    <n v="0.1"/>
    <n v="0"/>
    <n v="0"/>
  </r>
  <r>
    <x v="9581"/>
    <n v="1"/>
    <n v="60"/>
    <n v="61"/>
    <n v="19"/>
    <n v="22"/>
    <x v="24"/>
    <n v="19"/>
    <n v="4"/>
    <n v="57"/>
    <n v="0.4"/>
    <n v="0"/>
    <n v="0"/>
  </r>
  <r>
    <x v="9582"/>
    <n v="4"/>
    <n v="57"/>
    <n v="61"/>
    <n v="19"/>
    <n v="20"/>
    <x v="32"/>
    <n v="19"/>
    <n v="5"/>
    <n v="56"/>
    <n v="0.5"/>
    <n v="0"/>
    <n v="0"/>
  </r>
  <r>
    <x v="9583"/>
    <n v="5"/>
    <n v="56"/>
    <n v="61"/>
    <n v="19"/>
    <n v="18"/>
    <x v="24"/>
    <n v="17"/>
    <n v="6"/>
    <n v="57"/>
    <n v="0.60000000000000009"/>
    <n v="0"/>
    <n v="0"/>
  </r>
  <r>
    <x v="9584"/>
    <n v="6"/>
    <n v="57"/>
    <n v="63"/>
    <n v="17"/>
    <n v="19"/>
    <x v="27"/>
    <n v="24"/>
    <n v="1"/>
    <n v="55"/>
    <n v="0.1"/>
    <n v="0"/>
    <n v="0"/>
  </r>
  <r>
    <x v="9585"/>
    <n v="1"/>
    <n v="55"/>
    <n v="56"/>
    <n v="24"/>
    <n v="19"/>
    <x v="4"/>
    <n v="22"/>
    <n v="-2"/>
    <n v="60"/>
    <n v="0"/>
    <n v="1"/>
    <n v="2"/>
  </r>
  <r>
    <x v="9586"/>
    <n v="-2"/>
    <n v="60"/>
    <n v="58"/>
    <n v="22"/>
    <n v="19"/>
    <x v="22"/>
    <n v="20"/>
    <n v="-3"/>
    <n v="63"/>
    <n v="0"/>
    <n v="1"/>
    <n v="3"/>
  </r>
  <r>
    <x v="9587"/>
    <n v="-3"/>
    <n v="63"/>
    <n v="60"/>
    <n v="20"/>
    <n v="17"/>
    <x v="7"/>
    <n v="28"/>
    <n v="-14"/>
    <n v="66"/>
    <n v="0"/>
    <n v="1"/>
    <n v="14"/>
  </r>
  <r>
    <x v="9588"/>
    <n v="-14"/>
    <n v="66"/>
    <n v="52"/>
    <n v="28"/>
    <n v="24"/>
    <x v="6"/>
    <n v="13"/>
    <n v="-3"/>
    <n v="70"/>
    <n v="0"/>
    <n v="1"/>
    <n v="3"/>
  </r>
  <r>
    <x v="9589"/>
    <n v="-3"/>
    <n v="70"/>
    <n v="67"/>
    <n v="13"/>
    <n v="22"/>
    <x v="23"/>
    <n v="25"/>
    <n v="-6"/>
    <n v="61"/>
    <n v="0"/>
    <n v="1"/>
    <n v="6"/>
  </r>
  <r>
    <x v="9590"/>
    <n v="-6"/>
    <n v="61"/>
    <n v="55"/>
    <n v="25"/>
    <n v="20"/>
    <x v="7"/>
    <n v="22"/>
    <n v="-8"/>
    <n v="66"/>
    <n v="0"/>
    <n v="1"/>
    <n v="8"/>
  </r>
  <r>
    <x v="9591"/>
    <n v="-8"/>
    <n v="66"/>
    <n v="58"/>
    <n v="22"/>
    <n v="28"/>
    <x v="4"/>
    <n v="18"/>
    <n v="2"/>
    <n v="60"/>
    <n v="0.2"/>
    <n v="0"/>
    <n v="0"/>
  </r>
  <r>
    <x v="9592"/>
    <n v="2"/>
    <n v="60"/>
    <n v="62"/>
    <n v="18"/>
    <n v="13"/>
    <x v="26"/>
    <n v="27"/>
    <n v="-12"/>
    <n v="65"/>
    <n v="0"/>
    <n v="1"/>
    <n v="12"/>
  </r>
  <r>
    <x v="9593"/>
    <n v="-12"/>
    <n v="65"/>
    <n v="53"/>
    <n v="27"/>
    <n v="25"/>
    <x v="21"/>
    <n v="26"/>
    <n v="-13"/>
    <n v="67"/>
    <n v="0"/>
    <n v="1"/>
    <n v="13"/>
  </r>
  <r>
    <x v="9594"/>
    <n v="-13"/>
    <n v="67"/>
    <n v="54"/>
    <n v="26"/>
    <n v="22"/>
    <x v="20"/>
    <n v="32"/>
    <n v="-23"/>
    <n v="71"/>
    <n v="0"/>
    <n v="1"/>
    <n v="23"/>
  </r>
  <r>
    <x v="9595"/>
    <n v="-23"/>
    <n v="71"/>
    <n v="48"/>
    <n v="32"/>
    <n v="18"/>
    <x v="36"/>
    <n v="11"/>
    <n v="-16"/>
    <n v="85"/>
    <n v="0"/>
    <n v="1"/>
    <n v="11"/>
  </r>
  <r>
    <x v="9596"/>
    <n v="-16"/>
    <n v="85"/>
    <n v="69"/>
    <n v="11"/>
    <n v="27"/>
    <x v="30"/>
    <n v="25"/>
    <n v="-14"/>
    <n v="69"/>
    <n v="0"/>
    <n v="1"/>
    <n v="14"/>
  </r>
  <r>
    <x v="9597"/>
    <n v="-14"/>
    <n v="69"/>
    <n v="55"/>
    <n v="25"/>
    <n v="26"/>
    <x v="17"/>
    <n v="19"/>
    <n v="-7"/>
    <n v="68"/>
    <n v="0"/>
    <n v="1"/>
    <n v="7"/>
  </r>
  <r>
    <x v="9598"/>
    <n v="-7"/>
    <n v="68"/>
    <n v="61"/>
    <n v="19"/>
    <n v="32"/>
    <x v="27"/>
    <n v="23"/>
    <n v="2"/>
    <n v="55"/>
    <n v="0.2"/>
    <n v="0"/>
    <n v="0"/>
  </r>
  <r>
    <x v="9599"/>
    <n v="2"/>
    <n v="55"/>
    <n v="57"/>
    <n v="23"/>
    <n v="11"/>
    <x v="21"/>
    <n v="9"/>
    <n v="4"/>
    <n v="67"/>
    <n v="0.4"/>
    <n v="0"/>
    <n v="0"/>
  </r>
  <r>
    <x v="9600"/>
    <n v="4"/>
    <n v="67"/>
    <n v="71"/>
    <n v="9"/>
    <n v="25"/>
    <x v="9"/>
    <n v="22"/>
    <n v="7"/>
    <n v="51"/>
    <n v="0.70000000000000007"/>
    <n v="0"/>
    <n v="0"/>
  </r>
  <r>
    <x v="9601"/>
    <n v="7"/>
    <n v="51"/>
    <n v="58"/>
    <n v="22"/>
    <n v="19"/>
    <x v="16"/>
    <n v="22"/>
    <n v="4"/>
    <n v="54"/>
    <n v="0.4"/>
    <n v="0"/>
    <n v="0"/>
  </r>
  <r>
    <x v="9602"/>
    <n v="4"/>
    <n v="54"/>
    <n v="58"/>
    <n v="22"/>
    <n v="23"/>
    <x v="12"/>
    <n v="15"/>
    <n v="12"/>
    <n v="53"/>
    <n v="1.2000000000000002"/>
    <n v="0"/>
    <n v="0"/>
  </r>
  <r>
    <x v="9603"/>
    <n v="12"/>
    <n v="53"/>
    <n v="65"/>
    <n v="15"/>
    <n v="9"/>
    <x v="5"/>
    <n v="13"/>
    <n v="8"/>
    <n v="59"/>
    <n v="0.8"/>
    <n v="0"/>
    <n v="0"/>
  </r>
  <r>
    <x v="9604"/>
    <n v="8"/>
    <n v="59"/>
    <n v="67"/>
    <n v="13"/>
    <n v="22"/>
    <x v="13"/>
    <n v="25"/>
    <n v="5"/>
    <n v="50"/>
    <n v="0.5"/>
    <n v="0"/>
    <n v="0"/>
  </r>
  <r>
    <x v="9605"/>
    <n v="5"/>
    <n v="50"/>
    <n v="55"/>
    <n v="25"/>
    <n v="22"/>
    <x v="12"/>
    <n v="25"/>
    <n v="2"/>
    <n v="53"/>
    <n v="0.2"/>
    <n v="0"/>
    <n v="0"/>
  </r>
  <r>
    <x v="9606"/>
    <n v="2"/>
    <n v="53"/>
    <n v="55"/>
    <n v="25"/>
    <n v="15"/>
    <x v="22"/>
    <n v="22"/>
    <n v="-5"/>
    <n v="63"/>
    <n v="0"/>
    <n v="1"/>
    <n v="5"/>
  </r>
  <r>
    <x v="9607"/>
    <n v="-5"/>
    <n v="63"/>
    <n v="58"/>
    <n v="22"/>
    <n v="13"/>
    <x v="29"/>
    <n v="24"/>
    <n v="-16"/>
    <n v="72"/>
    <n v="0"/>
    <n v="1"/>
    <n v="16"/>
  </r>
  <r>
    <x v="9608"/>
    <n v="-16"/>
    <n v="72"/>
    <n v="56"/>
    <n v="24"/>
    <n v="25"/>
    <x v="20"/>
    <n v="28"/>
    <n v="-19"/>
    <n v="71"/>
    <n v="0"/>
    <n v="1"/>
    <n v="19"/>
  </r>
  <r>
    <x v="9609"/>
    <n v="-19"/>
    <n v="71"/>
    <n v="52"/>
    <n v="28"/>
    <n v="25"/>
    <x v="39"/>
    <n v="11"/>
    <n v="-5"/>
    <n v="74"/>
    <n v="0"/>
    <n v="1"/>
    <n v="5"/>
  </r>
  <r>
    <x v="9610"/>
    <n v="-5"/>
    <n v="74"/>
    <n v="69"/>
    <n v="11"/>
    <n v="22"/>
    <x v="22"/>
    <n v="15"/>
    <n v="2"/>
    <n v="63"/>
    <n v="0.2"/>
    <n v="0"/>
    <n v="0"/>
  </r>
  <r>
    <x v="9611"/>
    <n v="2"/>
    <n v="63"/>
    <n v="65"/>
    <n v="15"/>
    <n v="24"/>
    <x v="16"/>
    <n v="11"/>
    <n v="15"/>
    <n v="54"/>
    <n v="1.5"/>
    <n v="0"/>
    <n v="0"/>
  </r>
  <r>
    <x v="9612"/>
    <n v="15"/>
    <n v="54"/>
    <n v="69"/>
    <n v="11"/>
    <n v="28"/>
    <x v="55"/>
    <n v="15"/>
    <n v="28"/>
    <n v="37"/>
    <n v="2.8000000000000003"/>
    <n v="0"/>
    <n v="0"/>
  </r>
  <r>
    <x v="9613"/>
    <n v="28"/>
    <n v="37"/>
    <n v="65"/>
    <n v="15"/>
    <n v="11"/>
    <x v="52"/>
    <n v="19"/>
    <n v="20"/>
    <n v="41"/>
    <n v="2"/>
    <n v="0"/>
    <n v="0"/>
  </r>
  <r>
    <x v="9614"/>
    <n v="20"/>
    <n v="41"/>
    <n v="61"/>
    <n v="19"/>
    <n v="15"/>
    <x v="11"/>
    <n v="21"/>
    <n v="14"/>
    <n v="45"/>
    <n v="1.4000000000000001"/>
    <n v="0"/>
    <n v="0"/>
  </r>
  <r>
    <x v="9615"/>
    <n v="14"/>
    <n v="45"/>
    <n v="59"/>
    <n v="21"/>
    <n v="11"/>
    <x v="27"/>
    <n v="22"/>
    <n v="3"/>
    <n v="55"/>
    <n v="0.30000000000000004"/>
    <n v="0"/>
    <n v="0"/>
  </r>
  <r>
    <x v="9616"/>
    <n v="3"/>
    <n v="55"/>
    <n v="58"/>
    <n v="22"/>
    <n v="15"/>
    <x v="33"/>
    <n v="27"/>
    <n v="-9"/>
    <n v="62"/>
    <n v="0"/>
    <n v="1"/>
    <n v="9"/>
  </r>
  <r>
    <x v="9617"/>
    <n v="-9"/>
    <n v="62"/>
    <n v="53"/>
    <n v="27"/>
    <n v="19"/>
    <x v="6"/>
    <n v="21"/>
    <n v="-11"/>
    <n v="70"/>
    <n v="0"/>
    <n v="1"/>
    <n v="11"/>
  </r>
  <r>
    <x v="9618"/>
    <n v="-11"/>
    <n v="70"/>
    <n v="59"/>
    <n v="21"/>
    <n v="21"/>
    <x v="6"/>
    <n v="17"/>
    <n v="-7"/>
    <n v="70"/>
    <n v="0"/>
    <n v="1"/>
    <n v="7"/>
  </r>
  <r>
    <x v="9619"/>
    <n v="-7"/>
    <n v="70"/>
    <n v="63"/>
    <n v="17"/>
    <n v="22"/>
    <x v="26"/>
    <n v="18"/>
    <n v="-3"/>
    <n v="65"/>
    <n v="0"/>
    <n v="1"/>
    <n v="3"/>
  </r>
  <r>
    <x v="9620"/>
    <n v="-3"/>
    <n v="65"/>
    <n v="62"/>
    <n v="18"/>
    <n v="27"/>
    <x v="32"/>
    <n v="22"/>
    <n v="2"/>
    <n v="56"/>
    <n v="0.2"/>
    <n v="0"/>
    <n v="0"/>
  </r>
  <r>
    <x v="9621"/>
    <n v="2"/>
    <n v="56"/>
    <n v="58"/>
    <n v="22"/>
    <n v="21"/>
    <x v="24"/>
    <n v="24"/>
    <n v="-1"/>
    <n v="57"/>
    <n v="0"/>
    <n v="1"/>
    <n v="1"/>
  </r>
  <r>
    <x v="9622"/>
    <n v="-1"/>
    <n v="57"/>
    <n v="56"/>
    <n v="24"/>
    <n v="17"/>
    <x v="8"/>
    <n v="19"/>
    <n v="-3"/>
    <n v="64"/>
    <n v="0"/>
    <n v="1"/>
    <n v="3"/>
  </r>
  <r>
    <x v="9623"/>
    <n v="-3"/>
    <n v="64"/>
    <n v="61"/>
    <n v="19"/>
    <n v="18"/>
    <x v="26"/>
    <n v="24"/>
    <n v="-9"/>
    <n v="65"/>
    <n v="0"/>
    <n v="1"/>
    <n v="9"/>
  </r>
  <r>
    <x v="9624"/>
    <n v="-9"/>
    <n v="65"/>
    <n v="56"/>
    <n v="24"/>
    <n v="22"/>
    <x v="21"/>
    <n v="19"/>
    <n v="-6"/>
    <n v="67"/>
    <n v="0"/>
    <n v="1"/>
    <n v="6"/>
  </r>
  <r>
    <x v="9625"/>
    <n v="-6"/>
    <n v="67"/>
    <n v="61"/>
    <n v="19"/>
    <n v="24"/>
    <x v="33"/>
    <n v="20"/>
    <n v="-2"/>
    <n v="62"/>
    <n v="0"/>
    <n v="1"/>
    <n v="2"/>
  </r>
  <r>
    <x v="9626"/>
    <n v="-2"/>
    <n v="62"/>
    <n v="60"/>
    <n v="20"/>
    <n v="19"/>
    <x v="22"/>
    <n v="22"/>
    <n v="-5"/>
    <n v="63"/>
    <n v="0"/>
    <n v="1"/>
    <n v="5"/>
  </r>
  <r>
    <x v="9627"/>
    <n v="-5"/>
    <n v="63"/>
    <n v="58"/>
    <n v="22"/>
    <n v="24"/>
    <x v="23"/>
    <n v="14"/>
    <n v="5"/>
    <n v="61"/>
    <n v="0.5"/>
    <n v="0"/>
    <n v="0"/>
  </r>
  <r>
    <x v="9628"/>
    <n v="5"/>
    <n v="61"/>
    <n v="66"/>
    <n v="14"/>
    <n v="19"/>
    <x v="32"/>
    <n v="22"/>
    <n v="2"/>
    <n v="56"/>
    <n v="0.2"/>
    <n v="0"/>
    <n v="0"/>
  </r>
  <r>
    <x v="9629"/>
    <n v="2"/>
    <n v="56"/>
    <n v="58"/>
    <n v="22"/>
    <n v="20"/>
    <x v="28"/>
    <n v="18"/>
    <n v="4"/>
    <n v="58"/>
    <n v="0.4"/>
    <n v="0"/>
    <n v="0"/>
  </r>
  <r>
    <x v="9630"/>
    <n v="4"/>
    <n v="58"/>
    <n v="62"/>
    <n v="18"/>
    <n v="22"/>
    <x v="16"/>
    <n v="14"/>
    <n v="12"/>
    <n v="54"/>
    <n v="1.2000000000000002"/>
    <n v="0"/>
    <n v="0"/>
  </r>
  <r>
    <x v="9631"/>
    <n v="12"/>
    <n v="54"/>
    <n v="66"/>
    <n v="14"/>
    <n v="14"/>
    <x v="16"/>
    <n v="21"/>
    <n v="5"/>
    <n v="54"/>
    <n v="0.5"/>
    <n v="0"/>
    <n v="0"/>
  </r>
  <r>
    <x v="9632"/>
    <n v="5"/>
    <n v="54"/>
    <n v="59"/>
    <n v="21"/>
    <n v="22"/>
    <x v="12"/>
    <n v="22"/>
    <n v="5"/>
    <n v="53"/>
    <n v="0.5"/>
    <n v="0"/>
    <n v="0"/>
  </r>
  <r>
    <x v="9633"/>
    <n v="5"/>
    <n v="53"/>
    <n v="58"/>
    <n v="22"/>
    <n v="18"/>
    <x v="24"/>
    <n v="18"/>
    <n v="5"/>
    <n v="57"/>
    <n v="0.5"/>
    <n v="0"/>
    <n v="0"/>
  </r>
  <r>
    <x v="9634"/>
    <n v="5"/>
    <n v="57"/>
    <n v="62"/>
    <n v="18"/>
    <n v="14"/>
    <x v="23"/>
    <n v="14"/>
    <n v="5"/>
    <n v="61"/>
    <n v="0.5"/>
    <n v="0"/>
    <n v="0"/>
  </r>
  <r>
    <x v="9635"/>
    <n v="5"/>
    <n v="61"/>
    <n v="66"/>
    <n v="14"/>
    <n v="21"/>
    <x v="16"/>
    <n v="14"/>
    <n v="12"/>
    <n v="54"/>
    <n v="1.2000000000000002"/>
    <n v="0"/>
    <n v="0"/>
  </r>
  <r>
    <x v="9636"/>
    <n v="12"/>
    <n v="54"/>
    <n v="66"/>
    <n v="14"/>
    <n v="22"/>
    <x v="38"/>
    <n v="27"/>
    <n v="7"/>
    <n v="46"/>
    <n v="0.70000000000000007"/>
    <n v="0"/>
    <n v="0"/>
  </r>
  <r>
    <x v="9637"/>
    <n v="7"/>
    <n v="46"/>
    <n v="53"/>
    <n v="27"/>
    <n v="18"/>
    <x v="27"/>
    <n v="18"/>
    <n v="7"/>
    <n v="55"/>
    <n v="0.70000000000000007"/>
    <n v="0"/>
    <n v="0"/>
  </r>
  <r>
    <x v="9638"/>
    <n v="7"/>
    <n v="55"/>
    <n v="62"/>
    <n v="18"/>
    <n v="14"/>
    <x v="5"/>
    <n v="25"/>
    <n v="-4"/>
    <n v="59"/>
    <n v="0"/>
    <n v="1"/>
    <n v="4"/>
  </r>
  <r>
    <x v="9639"/>
    <n v="-4"/>
    <n v="59"/>
    <n v="55"/>
    <n v="25"/>
    <n v="14"/>
    <x v="6"/>
    <n v="22"/>
    <n v="-12"/>
    <n v="70"/>
    <n v="0"/>
    <n v="1"/>
    <n v="12"/>
  </r>
  <r>
    <x v="9640"/>
    <n v="-12"/>
    <n v="70"/>
    <n v="58"/>
    <n v="22"/>
    <n v="27"/>
    <x v="26"/>
    <n v="25"/>
    <n v="-10"/>
    <n v="65"/>
    <n v="0"/>
    <n v="1"/>
    <n v="10"/>
  </r>
  <r>
    <x v="9641"/>
    <n v="-10"/>
    <n v="65"/>
    <n v="55"/>
    <n v="25"/>
    <n v="18"/>
    <x v="29"/>
    <n v="18"/>
    <n v="-10"/>
    <n v="72"/>
    <n v="0"/>
    <n v="1"/>
    <n v="10"/>
  </r>
  <r>
    <x v="9642"/>
    <n v="-10"/>
    <n v="72"/>
    <n v="62"/>
    <n v="18"/>
    <n v="25"/>
    <x v="26"/>
    <n v="27"/>
    <n v="-12"/>
    <n v="65"/>
    <n v="0"/>
    <n v="1"/>
    <n v="12"/>
  </r>
  <r>
    <x v="9643"/>
    <n v="-12"/>
    <n v="65"/>
    <n v="53"/>
    <n v="27"/>
    <n v="22"/>
    <x v="6"/>
    <n v="15"/>
    <n v="-5"/>
    <n v="70"/>
    <n v="0"/>
    <n v="1"/>
    <n v="5"/>
  </r>
  <r>
    <x v="9644"/>
    <n v="-5"/>
    <n v="70"/>
    <n v="65"/>
    <n v="15"/>
    <n v="25"/>
    <x v="4"/>
    <n v="15"/>
    <n v="5"/>
    <n v="60"/>
    <n v="0.5"/>
    <n v="0"/>
    <n v="0"/>
  </r>
  <r>
    <x v="9645"/>
    <n v="5"/>
    <n v="60"/>
    <n v="65"/>
    <n v="15"/>
    <n v="18"/>
    <x v="24"/>
    <n v="26"/>
    <n v="-3"/>
    <n v="57"/>
    <n v="0"/>
    <n v="1"/>
    <n v="3"/>
  </r>
  <r>
    <x v="9646"/>
    <n v="-3"/>
    <n v="57"/>
    <n v="54"/>
    <n v="26"/>
    <n v="27"/>
    <x v="32"/>
    <n v="14"/>
    <n v="10"/>
    <n v="56"/>
    <n v="1"/>
    <n v="0"/>
    <n v="0"/>
  </r>
  <r>
    <x v="9647"/>
    <n v="10"/>
    <n v="56"/>
    <n v="66"/>
    <n v="14"/>
    <n v="15"/>
    <x v="27"/>
    <n v="27"/>
    <n v="-2"/>
    <n v="55"/>
    <n v="0"/>
    <n v="1"/>
    <n v="2"/>
  </r>
  <r>
    <x v="9648"/>
    <n v="-2"/>
    <n v="55"/>
    <n v="53"/>
    <n v="27"/>
    <n v="15"/>
    <x v="21"/>
    <n v="15"/>
    <n v="-2"/>
    <n v="67"/>
    <n v="0"/>
    <n v="1"/>
    <n v="2"/>
  </r>
  <r>
    <x v="9649"/>
    <n v="-2"/>
    <n v="67"/>
    <n v="65"/>
    <n v="15"/>
    <n v="26"/>
    <x v="32"/>
    <n v="17"/>
    <n v="7"/>
    <n v="56"/>
    <n v="0.70000000000000007"/>
    <n v="0"/>
    <n v="0"/>
  </r>
  <r>
    <x v="9650"/>
    <n v="7"/>
    <n v="56"/>
    <n v="63"/>
    <n v="17"/>
    <n v="14"/>
    <x v="5"/>
    <n v="19"/>
    <n v="2"/>
    <n v="59"/>
    <n v="0.2"/>
    <n v="0"/>
    <n v="0"/>
  </r>
  <r>
    <x v="9651"/>
    <n v="2"/>
    <n v="59"/>
    <n v="61"/>
    <n v="19"/>
    <n v="27"/>
    <x v="9"/>
    <n v="20"/>
    <n v="9"/>
    <n v="51"/>
    <n v="0.9"/>
    <n v="0"/>
    <n v="0"/>
  </r>
  <r>
    <x v="9652"/>
    <n v="9"/>
    <n v="51"/>
    <n v="60"/>
    <n v="20"/>
    <n v="15"/>
    <x v="32"/>
    <n v="17"/>
    <n v="7"/>
    <n v="56"/>
    <n v="0.70000000000000007"/>
    <n v="0"/>
    <n v="0"/>
  </r>
  <r>
    <x v="9653"/>
    <n v="7"/>
    <n v="56"/>
    <n v="63"/>
    <n v="17"/>
    <n v="17"/>
    <x v="32"/>
    <n v="14"/>
    <n v="10"/>
    <n v="56"/>
    <n v="1"/>
    <n v="0"/>
    <n v="0"/>
  </r>
  <r>
    <x v="9654"/>
    <n v="10"/>
    <n v="56"/>
    <n v="66"/>
    <n v="14"/>
    <n v="19"/>
    <x v="9"/>
    <n v="22"/>
    <n v="7"/>
    <n v="51"/>
    <n v="0.70000000000000007"/>
    <n v="0"/>
    <n v="0"/>
  </r>
  <r>
    <x v="9655"/>
    <n v="7"/>
    <n v="51"/>
    <n v="58"/>
    <n v="22"/>
    <n v="20"/>
    <x v="12"/>
    <n v="23"/>
    <n v="4"/>
    <n v="53"/>
    <n v="0.4"/>
    <n v="0"/>
    <n v="0"/>
  </r>
  <r>
    <x v="9656"/>
    <n v="4"/>
    <n v="53"/>
    <n v="57"/>
    <n v="23"/>
    <n v="17"/>
    <x v="5"/>
    <n v="16"/>
    <n v="5"/>
    <n v="59"/>
    <n v="0.5"/>
    <n v="0"/>
    <n v="0"/>
  </r>
  <r>
    <x v="9657"/>
    <n v="5"/>
    <n v="59"/>
    <n v="64"/>
    <n v="16"/>
    <n v="14"/>
    <x v="23"/>
    <n v="24"/>
    <n v="-5"/>
    <n v="61"/>
    <n v="0"/>
    <n v="1"/>
    <n v="5"/>
  </r>
  <r>
    <x v="9658"/>
    <n v="-5"/>
    <n v="61"/>
    <n v="56"/>
    <n v="24"/>
    <n v="22"/>
    <x v="22"/>
    <n v="21"/>
    <n v="-4"/>
    <n v="63"/>
    <n v="0"/>
    <n v="1"/>
    <n v="4"/>
  </r>
  <r>
    <x v="9659"/>
    <n v="-4"/>
    <n v="63"/>
    <n v="59"/>
    <n v="21"/>
    <n v="23"/>
    <x v="23"/>
    <n v="17"/>
    <n v="2"/>
    <n v="61"/>
    <n v="0.2"/>
    <n v="0"/>
    <n v="0"/>
  </r>
  <r>
    <x v="9660"/>
    <n v="2"/>
    <n v="61"/>
    <n v="63"/>
    <n v="17"/>
    <n v="16"/>
    <x v="33"/>
    <n v="25"/>
    <n v="-7"/>
    <n v="62"/>
    <n v="0"/>
    <n v="1"/>
    <n v="7"/>
  </r>
  <r>
    <x v="9661"/>
    <n v="-7"/>
    <n v="62"/>
    <n v="55"/>
    <n v="25"/>
    <n v="24"/>
    <x v="22"/>
    <n v="25"/>
    <n v="-8"/>
    <n v="63"/>
    <n v="0"/>
    <n v="1"/>
    <n v="8"/>
  </r>
  <r>
    <x v="9662"/>
    <n v="-8"/>
    <n v="63"/>
    <n v="55"/>
    <n v="25"/>
    <n v="21"/>
    <x v="21"/>
    <n v="14"/>
    <n v="-1"/>
    <n v="67"/>
    <n v="0"/>
    <n v="1"/>
    <n v="1"/>
  </r>
  <r>
    <x v="9663"/>
    <n v="-1"/>
    <n v="67"/>
    <n v="66"/>
    <n v="14"/>
    <n v="17"/>
    <x v="8"/>
    <n v="15"/>
    <n v="1"/>
    <n v="64"/>
    <n v="0.1"/>
    <n v="0"/>
    <n v="0"/>
  </r>
  <r>
    <x v="9664"/>
    <n v="1"/>
    <n v="64"/>
    <n v="65"/>
    <n v="15"/>
    <n v="25"/>
    <x v="16"/>
    <n v="24"/>
    <n v="2"/>
    <n v="54"/>
    <n v="0.2"/>
    <n v="0"/>
    <n v="0"/>
  </r>
  <r>
    <x v="9665"/>
    <n v="2"/>
    <n v="54"/>
    <n v="56"/>
    <n v="24"/>
    <n v="25"/>
    <x v="12"/>
    <n v="25"/>
    <n v="2"/>
    <n v="53"/>
    <n v="0.2"/>
    <n v="0"/>
    <n v="0"/>
  </r>
  <r>
    <x v="9666"/>
    <n v="2"/>
    <n v="53"/>
    <n v="55"/>
    <n v="25"/>
    <n v="14"/>
    <x v="8"/>
    <n v="24"/>
    <n v="-8"/>
    <n v="64"/>
    <n v="0"/>
    <n v="1"/>
    <n v="8"/>
  </r>
  <r>
    <x v="9667"/>
    <n v="-8"/>
    <n v="64"/>
    <n v="56"/>
    <n v="24"/>
    <n v="15"/>
    <x v="31"/>
    <n v="14"/>
    <n v="-7"/>
    <n v="73"/>
    <n v="0"/>
    <n v="1"/>
    <n v="7"/>
  </r>
  <r>
    <x v="9668"/>
    <n v="-7"/>
    <n v="73"/>
    <n v="66"/>
    <n v="14"/>
    <n v="24"/>
    <x v="22"/>
    <n v="21"/>
    <n v="-4"/>
    <n v="63"/>
    <n v="0"/>
    <n v="1"/>
    <n v="4"/>
  </r>
  <r>
    <x v="9669"/>
    <n v="-4"/>
    <n v="63"/>
    <n v="59"/>
    <n v="21"/>
    <n v="25"/>
    <x v="5"/>
    <n v="23"/>
    <n v="-2"/>
    <n v="59"/>
    <n v="0"/>
    <n v="1"/>
    <n v="2"/>
  </r>
  <r>
    <x v="9670"/>
    <n v="-2"/>
    <n v="59"/>
    <n v="57"/>
    <n v="23"/>
    <n v="24"/>
    <x v="28"/>
    <n v="16"/>
    <n v="6"/>
    <n v="58"/>
    <n v="0.60000000000000009"/>
    <n v="0"/>
    <n v="0"/>
  </r>
  <r>
    <x v="9671"/>
    <n v="6"/>
    <n v="58"/>
    <n v="64"/>
    <n v="16"/>
    <n v="14"/>
    <x v="4"/>
    <n v="21"/>
    <n v="-1"/>
    <n v="60"/>
    <n v="0"/>
    <n v="1"/>
    <n v="1"/>
  </r>
  <r>
    <x v="9672"/>
    <n v="-1"/>
    <n v="60"/>
    <n v="59"/>
    <n v="21"/>
    <n v="21"/>
    <x v="4"/>
    <n v="24"/>
    <n v="-4"/>
    <n v="60"/>
    <n v="0"/>
    <n v="1"/>
    <n v="4"/>
  </r>
  <r>
    <x v="9673"/>
    <n v="-4"/>
    <n v="60"/>
    <n v="56"/>
    <n v="24"/>
    <n v="23"/>
    <x v="23"/>
    <n v="20"/>
    <n v="-1"/>
    <n v="61"/>
    <n v="0"/>
    <n v="1"/>
    <n v="1"/>
  </r>
  <r>
    <x v="9674"/>
    <n v="-1"/>
    <n v="61"/>
    <n v="60"/>
    <n v="20"/>
    <n v="16"/>
    <x v="26"/>
    <n v="18"/>
    <n v="-3"/>
    <n v="65"/>
    <n v="0"/>
    <n v="1"/>
    <n v="3"/>
  </r>
  <r>
    <x v="9675"/>
    <n v="-3"/>
    <n v="65"/>
    <n v="62"/>
    <n v="18"/>
    <n v="21"/>
    <x v="33"/>
    <n v="25"/>
    <n v="-7"/>
    <n v="62"/>
    <n v="0"/>
    <n v="1"/>
    <n v="7"/>
  </r>
  <r>
    <x v="9676"/>
    <n v="-7"/>
    <n v="62"/>
    <n v="55"/>
    <n v="25"/>
    <n v="24"/>
    <x v="22"/>
    <n v="20"/>
    <n v="-3"/>
    <n v="63"/>
    <n v="0"/>
    <n v="1"/>
    <n v="3"/>
  </r>
  <r>
    <x v="9677"/>
    <n v="-3"/>
    <n v="63"/>
    <n v="60"/>
    <n v="20"/>
    <n v="20"/>
    <x v="22"/>
    <n v="23"/>
    <n v="-6"/>
    <n v="63"/>
    <n v="0"/>
    <n v="1"/>
    <n v="6"/>
  </r>
  <r>
    <x v="9678"/>
    <n v="-6"/>
    <n v="63"/>
    <n v="57"/>
    <n v="23"/>
    <n v="18"/>
    <x v="17"/>
    <n v="25"/>
    <n v="-13"/>
    <n v="68"/>
    <n v="0"/>
    <n v="1"/>
    <n v="13"/>
  </r>
  <r>
    <x v="9679"/>
    <n v="-13"/>
    <n v="68"/>
    <n v="55"/>
    <n v="25"/>
    <n v="25"/>
    <x v="17"/>
    <n v="19"/>
    <n v="-7"/>
    <n v="68"/>
    <n v="0"/>
    <n v="1"/>
    <n v="7"/>
  </r>
  <r>
    <x v="9680"/>
    <n v="-7"/>
    <n v="68"/>
    <n v="61"/>
    <n v="19"/>
    <n v="20"/>
    <x v="21"/>
    <n v="18"/>
    <n v="-5"/>
    <n v="67"/>
    <n v="0"/>
    <n v="1"/>
    <n v="5"/>
  </r>
  <r>
    <x v="9681"/>
    <n v="-5"/>
    <n v="67"/>
    <n v="62"/>
    <n v="18"/>
    <n v="23"/>
    <x v="33"/>
    <n v="15"/>
    <n v="3"/>
    <n v="62"/>
    <n v="0.30000000000000004"/>
    <n v="0"/>
    <n v="0"/>
  </r>
  <r>
    <x v="9682"/>
    <n v="3"/>
    <n v="62"/>
    <n v="65"/>
    <n v="15"/>
    <n v="25"/>
    <x v="25"/>
    <n v="18"/>
    <n v="10"/>
    <n v="52"/>
    <n v="1"/>
    <n v="0"/>
    <n v="0"/>
  </r>
  <r>
    <x v="9683"/>
    <n v="10"/>
    <n v="52"/>
    <n v="62"/>
    <n v="18"/>
    <n v="19"/>
    <x v="9"/>
    <n v="27"/>
    <n v="2"/>
    <n v="51"/>
    <n v="0.2"/>
    <n v="0"/>
    <n v="0"/>
  </r>
  <r>
    <x v="9684"/>
    <n v="2"/>
    <n v="51"/>
    <n v="53"/>
    <n v="27"/>
    <n v="18"/>
    <x v="4"/>
    <n v="23"/>
    <n v="-3"/>
    <n v="60"/>
    <n v="0"/>
    <n v="1"/>
    <n v="3"/>
  </r>
  <r>
    <x v="9685"/>
    <n v="-3"/>
    <n v="60"/>
    <n v="57"/>
    <n v="23"/>
    <n v="15"/>
    <x v="17"/>
    <n v="23"/>
    <n v="-11"/>
    <n v="68"/>
    <n v="0"/>
    <n v="1"/>
    <n v="11"/>
  </r>
  <r>
    <x v="9686"/>
    <n v="-11"/>
    <n v="68"/>
    <n v="57"/>
    <n v="23"/>
    <n v="18"/>
    <x v="31"/>
    <n v="26"/>
    <n v="-19"/>
    <n v="73"/>
    <n v="0"/>
    <n v="1"/>
    <n v="19"/>
  </r>
  <r>
    <x v="9687"/>
    <n v="-19"/>
    <n v="73"/>
    <n v="54"/>
    <n v="26"/>
    <n v="27"/>
    <x v="29"/>
    <n v="26"/>
    <n v="-18"/>
    <n v="72"/>
    <n v="0"/>
    <n v="1"/>
    <n v="18"/>
  </r>
  <r>
    <x v="9688"/>
    <n v="-18"/>
    <n v="72"/>
    <n v="54"/>
    <n v="26"/>
    <n v="23"/>
    <x v="44"/>
    <n v="15"/>
    <n v="-10"/>
    <n v="75"/>
    <n v="0"/>
    <n v="1"/>
    <n v="10"/>
  </r>
  <r>
    <x v="9689"/>
    <n v="-10"/>
    <n v="75"/>
    <n v="65"/>
    <n v="15"/>
    <n v="23"/>
    <x v="21"/>
    <n v="19"/>
    <n v="-6"/>
    <n v="67"/>
    <n v="0"/>
    <n v="1"/>
    <n v="6"/>
  </r>
  <r>
    <x v="9690"/>
    <n v="-6"/>
    <n v="67"/>
    <n v="61"/>
    <n v="19"/>
    <n v="26"/>
    <x v="4"/>
    <n v="25"/>
    <n v="-5"/>
    <n v="60"/>
    <n v="0"/>
    <n v="1"/>
    <n v="5"/>
  </r>
  <r>
    <x v="9691"/>
    <n v="-5"/>
    <n v="60"/>
    <n v="55"/>
    <n v="25"/>
    <n v="26"/>
    <x v="5"/>
    <n v="25"/>
    <n v="-4"/>
    <n v="59"/>
    <n v="0"/>
    <n v="1"/>
    <n v="4"/>
  </r>
  <r>
    <x v="9692"/>
    <n v="-4"/>
    <n v="59"/>
    <n v="55"/>
    <n v="25"/>
    <n v="15"/>
    <x v="30"/>
    <n v="24"/>
    <n v="-13"/>
    <n v="69"/>
    <n v="0"/>
    <n v="1"/>
    <n v="13"/>
  </r>
  <r>
    <x v="9693"/>
    <n v="-13"/>
    <n v="69"/>
    <n v="56"/>
    <n v="24"/>
    <n v="19"/>
    <x v="39"/>
    <n v="25"/>
    <n v="-19"/>
    <n v="74"/>
    <n v="0"/>
    <n v="1"/>
    <n v="19"/>
  </r>
  <r>
    <x v="9694"/>
    <n v="-19"/>
    <n v="74"/>
    <n v="55"/>
    <n v="25"/>
    <n v="25"/>
    <x v="39"/>
    <n v="18"/>
    <n v="-12"/>
    <n v="74"/>
    <n v="0"/>
    <n v="1"/>
    <n v="12"/>
  </r>
  <r>
    <x v="9695"/>
    <n v="-12"/>
    <n v="74"/>
    <n v="62"/>
    <n v="18"/>
    <n v="25"/>
    <x v="21"/>
    <n v="25"/>
    <n v="-12"/>
    <n v="67"/>
    <n v="0"/>
    <n v="1"/>
    <n v="12"/>
  </r>
  <r>
    <x v="9696"/>
    <n v="-12"/>
    <n v="67"/>
    <n v="55"/>
    <n v="25"/>
    <n v="24"/>
    <x v="17"/>
    <n v="16"/>
    <n v="-4"/>
    <n v="68"/>
    <n v="0"/>
    <n v="1"/>
    <n v="4"/>
  </r>
  <r>
    <x v="9697"/>
    <n v="-4"/>
    <n v="68"/>
    <n v="64"/>
    <n v="16"/>
    <n v="25"/>
    <x v="5"/>
    <n v="16"/>
    <n v="5"/>
    <n v="59"/>
    <n v="0.5"/>
    <n v="0"/>
    <n v="0"/>
  </r>
  <r>
    <x v="9698"/>
    <n v="5"/>
    <n v="59"/>
    <n v="64"/>
    <n v="16"/>
    <n v="18"/>
    <x v="24"/>
    <n v="21"/>
    <n v="2"/>
    <n v="57"/>
    <n v="0.2"/>
    <n v="0"/>
    <n v="0"/>
  </r>
  <r>
    <x v="9699"/>
    <n v="2"/>
    <n v="57"/>
    <n v="59"/>
    <n v="21"/>
    <n v="25"/>
    <x v="12"/>
    <n v="16"/>
    <n v="11"/>
    <n v="53"/>
    <n v="1.1000000000000001"/>
    <n v="0"/>
    <n v="0"/>
  </r>
  <r>
    <x v="9700"/>
    <n v="11"/>
    <n v="53"/>
    <n v="64"/>
    <n v="16"/>
    <n v="16"/>
    <x v="12"/>
    <n v="18"/>
    <n v="9"/>
    <n v="53"/>
    <n v="0.9"/>
    <n v="0"/>
    <n v="0"/>
  </r>
  <r>
    <x v="9701"/>
    <n v="9"/>
    <n v="53"/>
    <n v="62"/>
    <n v="18"/>
    <n v="16"/>
    <x v="27"/>
    <n v="12"/>
    <n v="13"/>
    <n v="55"/>
    <n v="1.3"/>
    <n v="0"/>
    <n v="0"/>
  </r>
  <r>
    <x v="9702"/>
    <n v="13"/>
    <n v="55"/>
    <n v="68"/>
    <n v="12"/>
    <n v="21"/>
    <x v="38"/>
    <n v="28"/>
    <n v="6"/>
    <n v="46"/>
    <n v="0.60000000000000009"/>
    <n v="0"/>
    <n v="0"/>
  </r>
  <r>
    <x v="9703"/>
    <n v="6"/>
    <n v="46"/>
    <n v="52"/>
    <n v="28"/>
    <n v="16"/>
    <x v="28"/>
    <n v="21"/>
    <n v="1"/>
    <n v="58"/>
    <n v="0.1"/>
    <n v="0"/>
    <n v="0"/>
  </r>
  <r>
    <x v="9704"/>
    <n v="1"/>
    <n v="58"/>
    <n v="59"/>
    <n v="21"/>
    <n v="18"/>
    <x v="23"/>
    <n v="14"/>
    <n v="5"/>
    <n v="61"/>
    <n v="0.5"/>
    <n v="0"/>
    <n v="0"/>
  </r>
  <r>
    <x v="9705"/>
    <n v="5"/>
    <n v="61"/>
    <n v="66"/>
    <n v="14"/>
    <n v="12"/>
    <x v="22"/>
    <n v="21"/>
    <n v="-4"/>
    <n v="63"/>
    <n v="0"/>
    <n v="1"/>
    <n v="4"/>
  </r>
  <r>
    <x v="9706"/>
    <n v="-4"/>
    <n v="63"/>
    <n v="59"/>
    <n v="21"/>
    <n v="28"/>
    <x v="32"/>
    <n v="14"/>
    <n v="10"/>
    <n v="56"/>
    <n v="1"/>
    <n v="0"/>
    <n v="0"/>
  </r>
  <r>
    <x v="9707"/>
    <n v="10"/>
    <n v="56"/>
    <n v="66"/>
    <n v="14"/>
    <n v="21"/>
    <x v="10"/>
    <n v="22"/>
    <n v="9"/>
    <n v="49"/>
    <n v="0.9"/>
    <n v="0"/>
    <n v="0"/>
  </r>
  <r>
    <x v="9708"/>
    <n v="9"/>
    <n v="49"/>
    <n v="58"/>
    <n v="22"/>
    <n v="14"/>
    <x v="24"/>
    <n v="19"/>
    <n v="4"/>
    <n v="57"/>
    <n v="0.4"/>
    <n v="0"/>
    <n v="0"/>
  </r>
  <r>
    <x v="9709"/>
    <n v="4"/>
    <n v="57"/>
    <n v="61"/>
    <n v="19"/>
    <n v="21"/>
    <x v="27"/>
    <n v="17"/>
    <n v="8"/>
    <n v="55"/>
    <n v="0.8"/>
    <n v="0"/>
    <n v="0"/>
  </r>
  <r>
    <x v="9710"/>
    <n v="8"/>
    <n v="55"/>
    <n v="63"/>
    <n v="17"/>
    <n v="14"/>
    <x v="28"/>
    <n v="16"/>
    <n v="6"/>
    <n v="58"/>
    <n v="0.60000000000000009"/>
    <n v="0"/>
    <n v="0"/>
  </r>
  <r>
    <x v="9711"/>
    <n v="6"/>
    <n v="58"/>
    <n v="64"/>
    <n v="16"/>
    <n v="22"/>
    <x v="25"/>
    <n v="20"/>
    <n v="8"/>
    <n v="52"/>
    <n v="0.8"/>
    <n v="0"/>
    <n v="0"/>
  </r>
  <r>
    <x v="9712"/>
    <n v="8"/>
    <n v="52"/>
    <n v="60"/>
    <n v="20"/>
    <n v="19"/>
    <x v="12"/>
    <n v="27"/>
    <n v="0"/>
    <n v="53"/>
    <n v="0"/>
    <n v="0"/>
    <n v="0"/>
  </r>
  <r>
    <x v="9713"/>
    <n v="0"/>
    <n v="53"/>
    <n v="53"/>
    <n v="27"/>
    <n v="17"/>
    <x v="22"/>
    <n v="19"/>
    <n v="-2"/>
    <n v="63"/>
    <n v="0"/>
    <n v="1"/>
    <n v="2"/>
  </r>
  <r>
    <x v="9714"/>
    <n v="-2"/>
    <n v="63"/>
    <n v="61"/>
    <n v="19"/>
    <n v="16"/>
    <x v="7"/>
    <n v="19"/>
    <n v="-5"/>
    <n v="66"/>
    <n v="0"/>
    <n v="1"/>
    <n v="5"/>
  </r>
  <r>
    <x v="9715"/>
    <n v="-5"/>
    <n v="66"/>
    <n v="61"/>
    <n v="19"/>
    <n v="20"/>
    <x v="26"/>
    <n v="18"/>
    <n v="-3"/>
    <n v="65"/>
    <n v="0"/>
    <n v="1"/>
    <n v="3"/>
  </r>
  <r>
    <x v="9716"/>
    <n v="-3"/>
    <n v="65"/>
    <n v="62"/>
    <n v="18"/>
    <n v="27"/>
    <x v="32"/>
    <n v="16"/>
    <n v="8"/>
    <n v="56"/>
    <n v="0.8"/>
    <n v="0"/>
    <n v="0"/>
  </r>
  <r>
    <x v="9717"/>
    <n v="8"/>
    <n v="56"/>
    <n v="64"/>
    <n v="16"/>
    <n v="19"/>
    <x v="12"/>
    <n v="21"/>
    <n v="6"/>
    <n v="53"/>
    <n v="0.60000000000000009"/>
    <n v="0"/>
    <n v="0"/>
  </r>
  <r>
    <x v="9718"/>
    <n v="6"/>
    <n v="53"/>
    <n v="59"/>
    <n v="21"/>
    <n v="19"/>
    <x v="27"/>
    <n v="19"/>
    <n v="6"/>
    <n v="55"/>
    <n v="0.60000000000000009"/>
    <n v="0"/>
    <n v="0"/>
  </r>
  <r>
    <x v="9719"/>
    <n v="6"/>
    <n v="55"/>
    <n v="61"/>
    <n v="19"/>
    <n v="18"/>
    <x v="32"/>
    <n v="20"/>
    <n v="4"/>
    <n v="56"/>
    <n v="0.4"/>
    <n v="0"/>
    <n v="0"/>
  </r>
  <r>
    <x v="9720"/>
    <n v="4"/>
    <n v="56"/>
    <n v="60"/>
    <n v="20"/>
    <n v="16"/>
    <x v="4"/>
    <n v="15"/>
    <n v="5"/>
    <n v="60"/>
    <n v="0.5"/>
    <n v="0"/>
    <n v="0"/>
  </r>
  <r>
    <x v="9721"/>
    <n v="5"/>
    <n v="60"/>
    <n v="65"/>
    <n v="15"/>
    <n v="21"/>
    <x v="16"/>
    <n v="27"/>
    <n v="-1"/>
    <n v="54"/>
    <n v="0"/>
    <n v="1"/>
    <n v="1"/>
  </r>
  <r>
    <x v="9722"/>
    <n v="-1"/>
    <n v="54"/>
    <n v="53"/>
    <n v="27"/>
    <n v="19"/>
    <x v="33"/>
    <n v="22"/>
    <n v="-4"/>
    <n v="62"/>
    <n v="0"/>
    <n v="1"/>
    <n v="4"/>
  </r>
  <r>
    <x v="9723"/>
    <n v="-4"/>
    <n v="62"/>
    <n v="58"/>
    <n v="22"/>
    <n v="20"/>
    <x v="8"/>
    <n v="22"/>
    <n v="-6"/>
    <n v="64"/>
    <n v="0"/>
    <n v="1"/>
    <n v="6"/>
  </r>
  <r>
    <x v="9724"/>
    <n v="-6"/>
    <n v="64"/>
    <n v="58"/>
    <n v="22"/>
    <n v="15"/>
    <x v="20"/>
    <n v="18"/>
    <n v="-9"/>
    <n v="71"/>
    <n v="0"/>
    <n v="1"/>
    <n v="9"/>
  </r>
  <r>
    <x v="9725"/>
    <n v="-9"/>
    <n v="71"/>
    <n v="62"/>
    <n v="18"/>
    <n v="27"/>
    <x v="33"/>
    <n v="17"/>
    <n v="1"/>
    <n v="62"/>
    <n v="0.1"/>
    <n v="0"/>
    <n v="0"/>
  </r>
  <r>
    <x v="9726"/>
    <n v="1"/>
    <n v="62"/>
    <n v="63"/>
    <n v="17"/>
    <n v="22"/>
    <x v="24"/>
    <n v="14"/>
    <n v="9"/>
    <n v="57"/>
    <n v="0.9"/>
    <n v="0"/>
    <n v="0"/>
  </r>
  <r>
    <x v="9727"/>
    <n v="9"/>
    <n v="57"/>
    <n v="66"/>
    <n v="14"/>
    <n v="22"/>
    <x v="10"/>
    <n v="22"/>
    <n v="9"/>
    <n v="49"/>
    <n v="0.9"/>
    <n v="0"/>
    <n v="0"/>
  </r>
  <r>
    <x v="9728"/>
    <n v="9"/>
    <n v="49"/>
    <n v="58"/>
    <n v="22"/>
    <n v="18"/>
    <x v="12"/>
    <n v="19"/>
    <n v="8"/>
    <n v="53"/>
    <n v="0.8"/>
    <n v="0"/>
    <n v="0"/>
  </r>
  <r>
    <x v="9729"/>
    <n v="8"/>
    <n v="53"/>
    <n v="61"/>
    <n v="19"/>
    <n v="17"/>
    <x v="27"/>
    <n v="20"/>
    <n v="5"/>
    <n v="55"/>
    <n v="0.5"/>
    <n v="0"/>
    <n v="0"/>
  </r>
  <r>
    <x v="9730"/>
    <n v="5"/>
    <n v="55"/>
    <n v="60"/>
    <n v="20"/>
    <n v="14"/>
    <x v="23"/>
    <n v="19"/>
    <n v="0"/>
    <n v="61"/>
    <n v="0"/>
    <n v="0"/>
    <n v="0"/>
  </r>
  <r>
    <x v="9731"/>
    <n v="0"/>
    <n v="61"/>
    <n v="61"/>
    <n v="19"/>
    <n v="22"/>
    <x v="28"/>
    <n v="15"/>
    <n v="7"/>
    <n v="58"/>
    <n v="0.70000000000000007"/>
    <n v="0"/>
    <n v="0"/>
  </r>
  <r>
    <x v="9732"/>
    <n v="7"/>
    <n v="58"/>
    <n v="65"/>
    <n v="15"/>
    <n v="19"/>
    <x v="16"/>
    <n v="22"/>
    <n v="4"/>
    <n v="54"/>
    <n v="0.4"/>
    <n v="0"/>
    <n v="0"/>
  </r>
  <r>
    <x v="9733"/>
    <n v="4"/>
    <n v="54"/>
    <n v="58"/>
    <n v="22"/>
    <n v="20"/>
    <x v="32"/>
    <n v="20"/>
    <n v="4"/>
    <n v="56"/>
    <n v="0.4"/>
    <n v="0"/>
    <n v="0"/>
  </r>
  <r>
    <x v="9734"/>
    <n v="4"/>
    <n v="56"/>
    <n v="60"/>
    <n v="20"/>
    <n v="19"/>
    <x v="24"/>
    <n v="18"/>
    <n v="5"/>
    <n v="57"/>
    <n v="0.5"/>
    <n v="0"/>
    <n v="0"/>
  </r>
  <r>
    <x v="9735"/>
    <n v="5"/>
    <n v="57"/>
    <n v="62"/>
    <n v="18"/>
    <n v="15"/>
    <x v="4"/>
    <n v="19"/>
    <n v="1"/>
    <n v="60"/>
    <n v="0.1"/>
    <n v="0"/>
    <n v="0"/>
  </r>
  <r>
    <x v="9736"/>
    <n v="1"/>
    <n v="60"/>
    <n v="61"/>
    <n v="19"/>
    <n v="22"/>
    <x v="24"/>
    <n v="19"/>
    <n v="4"/>
    <n v="57"/>
    <n v="0.4"/>
    <n v="0"/>
    <n v="0"/>
  </r>
  <r>
    <x v="9737"/>
    <n v="4"/>
    <n v="57"/>
    <n v="61"/>
    <n v="19"/>
    <n v="20"/>
    <x v="32"/>
    <n v="20"/>
    <n v="4"/>
    <n v="56"/>
    <n v="0.4"/>
    <n v="0"/>
    <n v="0"/>
  </r>
  <r>
    <x v="9738"/>
    <n v="4"/>
    <n v="56"/>
    <n v="60"/>
    <n v="20"/>
    <n v="18"/>
    <x v="28"/>
    <n v="15"/>
    <n v="7"/>
    <n v="58"/>
    <n v="0.70000000000000007"/>
    <n v="0"/>
    <n v="0"/>
  </r>
  <r>
    <x v="9739"/>
    <n v="7"/>
    <n v="58"/>
    <n v="65"/>
    <n v="15"/>
    <n v="19"/>
    <x v="16"/>
    <n v="19"/>
    <n v="7"/>
    <n v="54"/>
    <n v="0.70000000000000007"/>
    <n v="0"/>
    <n v="0"/>
  </r>
  <r>
    <x v="9740"/>
    <n v="7"/>
    <n v="54"/>
    <n v="61"/>
    <n v="19"/>
    <n v="19"/>
    <x v="16"/>
    <n v="17"/>
    <n v="9"/>
    <n v="54"/>
    <n v="0.9"/>
    <n v="0"/>
    <n v="0"/>
  </r>
  <r>
    <x v="9741"/>
    <n v="9"/>
    <n v="54"/>
    <n v="63"/>
    <n v="17"/>
    <n v="20"/>
    <x v="9"/>
    <n v="31"/>
    <n v="-2"/>
    <n v="51"/>
    <n v="0"/>
    <n v="1"/>
    <n v="2"/>
  </r>
  <r>
    <x v="9742"/>
    <n v="-2"/>
    <n v="51"/>
    <n v="49"/>
    <n v="31"/>
    <n v="15"/>
    <x v="21"/>
    <n v="24"/>
    <n v="-11"/>
    <n v="67"/>
    <n v="0"/>
    <n v="1"/>
    <n v="11"/>
  </r>
  <r>
    <x v="9743"/>
    <n v="-11"/>
    <n v="67"/>
    <n v="56"/>
    <n v="24"/>
    <n v="19"/>
    <x v="29"/>
    <n v="15"/>
    <n v="-7"/>
    <n v="72"/>
    <n v="0"/>
    <n v="1"/>
    <n v="7"/>
  </r>
  <r>
    <x v="9744"/>
    <n v="-7"/>
    <n v="72"/>
    <n v="65"/>
    <n v="15"/>
    <n v="17"/>
    <x v="6"/>
    <n v="22"/>
    <n v="-12"/>
    <n v="70"/>
    <n v="0"/>
    <n v="1"/>
    <n v="12"/>
  </r>
  <r>
    <x v="9745"/>
    <n v="-12"/>
    <n v="70"/>
    <n v="58"/>
    <n v="22"/>
    <n v="31"/>
    <x v="23"/>
    <n v="21"/>
    <n v="-2"/>
    <n v="61"/>
    <n v="0"/>
    <n v="1"/>
    <n v="2"/>
  </r>
  <r>
    <x v="9746"/>
    <n v="-2"/>
    <n v="61"/>
    <n v="59"/>
    <n v="21"/>
    <n v="24"/>
    <x v="28"/>
    <n v="18"/>
    <n v="4"/>
    <n v="58"/>
    <n v="0.4"/>
    <n v="0"/>
    <n v="0"/>
  </r>
  <r>
    <x v="9747"/>
    <n v="4"/>
    <n v="58"/>
    <n v="62"/>
    <n v="18"/>
    <n v="15"/>
    <x v="23"/>
    <n v="18"/>
    <n v="1"/>
    <n v="61"/>
    <n v="0.1"/>
    <n v="0"/>
    <n v="0"/>
  </r>
  <r>
    <x v="9748"/>
    <n v="1"/>
    <n v="61"/>
    <n v="62"/>
    <n v="18"/>
    <n v="22"/>
    <x v="24"/>
    <n v="24"/>
    <n v="-1"/>
    <n v="57"/>
    <n v="0"/>
    <n v="1"/>
    <n v="1"/>
  </r>
  <r>
    <x v="9749"/>
    <n v="-1"/>
    <n v="57"/>
    <n v="56"/>
    <n v="24"/>
    <n v="21"/>
    <x v="4"/>
    <n v="16"/>
    <n v="4"/>
    <n v="60"/>
    <n v="0.4"/>
    <n v="0"/>
    <n v="0"/>
  </r>
  <r>
    <x v="9750"/>
    <n v="4"/>
    <n v="60"/>
    <n v="64"/>
    <n v="16"/>
    <n v="18"/>
    <x v="28"/>
    <n v="16"/>
    <n v="6"/>
    <n v="58"/>
    <n v="0.60000000000000009"/>
    <n v="0"/>
    <n v="0"/>
  </r>
  <r>
    <x v="9751"/>
    <n v="6"/>
    <n v="58"/>
    <n v="64"/>
    <n v="16"/>
    <n v="18"/>
    <x v="32"/>
    <n v="20"/>
    <n v="4"/>
    <n v="56"/>
    <n v="0.4"/>
    <n v="0"/>
    <n v="0"/>
  </r>
  <r>
    <x v="9752"/>
    <n v="4"/>
    <n v="56"/>
    <n v="60"/>
    <n v="20"/>
    <n v="24"/>
    <x v="25"/>
    <n v="14"/>
    <n v="14"/>
    <n v="52"/>
    <n v="1.4000000000000001"/>
    <n v="0"/>
    <n v="0"/>
  </r>
  <r>
    <x v="9753"/>
    <n v="14"/>
    <n v="52"/>
    <n v="66"/>
    <n v="14"/>
    <n v="16"/>
    <x v="13"/>
    <n v="13"/>
    <n v="17"/>
    <n v="50"/>
    <n v="1.7000000000000002"/>
    <n v="0"/>
    <n v="0"/>
  </r>
  <r>
    <x v="9754"/>
    <n v="17"/>
    <n v="50"/>
    <n v="67"/>
    <n v="13"/>
    <n v="16"/>
    <x v="14"/>
    <n v="20"/>
    <n v="13"/>
    <n v="47"/>
    <n v="1.3"/>
    <n v="0"/>
    <n v="0"/>
  </r>
  <r>
    <x v="9755"/>
    <n v="13"/>
    <n v="47"/>
    <n v="60"/>
    <n v="20"/>
    <n v="20"/>
    <x v="14"/>
    <n v="19"/>
    <n v="14"/>
    <n v="47"/>
    <n v="1.4000000000000001"/>
    <n v="0"/>
    <n v="0"/>
  </r>
  <r>
    <x v="9756"/>
    <n v="14"/>
    <n v="47"/>
    <n v="61"/>
    <n v="19"/>
    <n v="14"/>
    <x v="25"/>
    <n v="25"/>
    <n v="3"/>
    <n v="52"/>
    <n v="0.30000000000000004"/>
    <n v="0"/>
    <n v="0"/>
  </r>
  <r>
    <x v="9757"/>
    <n v="3"/>
    <n v="52"/>
    <n v="55"/>
    <n v="25"/>
    <n v="13"/>
    <x v="8"/>
    <n v="23"/>
    <n v="-7"/>
    <n v="64"/>
    <n v="0"/>
    <n v="1"/>
    <n v="7"/>
  </r>
  <r>
    <x v="9758"/>
    <n v="-7"/>
    <n v="64"/>
    <n v="57"/>
    <n v="23"/>
    <n v="20"/>
    <x v="21"/>
    <n v="13"/>
    <n v="0"/>
    <n v="67"/>
    <n v="0"/>
    <n v="0"/>
    <n v="0"/>
  </r>
  <r>
    <x v="9759"/>
    <n v="0"/>
    <n v="67"/>
    <n v="67"/>
    <n v="13"/>
    <n v="19"/>
    <x v="23"/>
    <n v="17"/>
    <n v="2"/>
    <n v="61"/>
    <n v="0.2"/>
    <n v="0"/>
    <n v="0"/>
  </r>
  <r>
    <x v="9760"/>
    <n v="2"/>
    <n v="61"/>
    <n v="63"/>
    <n v="17"/>
    <n v="25"/>
    <x v="12"/>
    <n v="23"/>
    <n v="4"/>
    <n v="53"/>
    <n v="0.4"/>
    <n v="0"/>
    <n v="0"/>
  </r>
  <r>
    <x v="9761"/>
    <n v="4"/>
    <n v="53"/>
    <n v="57"/>
    <n v="23"/>
    <n v="23"/>
    <x v="12"/>
    <n v="21"/>
    <n v="6"/>
    <n v="53"/>
    <n v="0.60000000000000009"/>
    <n v="0"/>
    <n v="0"/>
  </r>
  <r>
    <x v="9762"/>
    <n v="6"/>
    <n v="53"/>
    <n v="59"/>
    <n v="21"/>
    <n v="13"/>
    <x v="23"/>
    <n v="22"/>
    <n v="-3"/>
    <n v="61"/>
    <n v="0"/>
    <n v="1"/>
    <n v="3"/>
  </r>
  <r>
    <x v="9763"/>
    <n v="-3"/>
    <n v="61"/>
    <n v="58"/>
    <n v="22"/>
    <n v="17"/>
    <x v="7"/>
    <n v="23"/>
    <n v="-9"/>
    <n v="66"/>
    <n v="0"/>
    <n v="1"/>
    <n v="9"/>
  </r>
  <r>
    <x v="9764"/>
    <n v="-9"/>
    <n v="66"/>
    <n v="57"/>
    <n v="23"/>
    <n v="23"/>
    <x v="7"/>
    <n v="18"/>
    <n v="-4"/>
    <n v="66"/>
    <n v="0"/>
    <n v="1"/>
    <n v="4"/>
  </r>
  <r>
    <x v="9765"/>
    <n v="-4"/>
    <n v="66"/>
    <n v="62"/>
    <n v="18"/>
    <n v="21"/>
    <x v="22"/>
    <n v="21"/>
    <n v="-4"/>
    <n v="63"/>
    <n v="0"/>
    <n v="1"/>
    <n v="4"/>
  </r>
  <r>
    <x v="9766"/>
    <n v="-4"/>
    <n v="63"/>
    <n v="59"/>
    <n v="21"/>
    <n v="22"/>
    <x v="33"/>
    <n v="26"/>
    <n v="-8"/>
    <n v="62"/>
    <n v="0"/>
    <n v="1"/>
    <n v="8"/>
  </r>
  <r>
    <x v="9767"/>
    <n v="-8"/>
    <n v="62"/>
    <n v="54"/>
    <n v="26"/>
    <n v="23"/>
    <x v="26"/>
    <n v="19"/>
    <n v="-4"/>
    <n v="65"/>
    <n v="0"/>
    <n v="1"/>
    <n v="4"/>
  </r>
  <r>
    <x v="9768"/>
    <n v="-4"/>
    <n v="65"/>
    <n v="61"/>
    <n v="19"/>
    <n v="18"/>
    <x v="7"/>
    <n v="29"/>
    <n v="-15"/>
    <n v="66"/>
    <n v="0"/>
    <n v="1"/>
    <n v="15"/>
  </r>
  <r>
    <x v="9769"/>
    <n v="-15"/>
    <n v="66"/>
    <n v="51"/>
    <n v="29"/>
    <n v="21"/>
    <x v="39"/>
    <n v="23"/>
    <n v="-17"/>
    <n v="74"/>
    <n v="0"/>
    <n v="1"/>
    <n v="17"/>
  </r>
  <r>
    <x v="9770"/>
    <n v="-17"/>
    <n v="74"/>
    <n v="57"/>
    <n v="23"/>
    <n v="26"/>
    <x v="20"/>
    <n v="28"/>
    <n v="-19"/>
    <n v="71"/>
    <n v="0"/>
    <n v="1"/>
    <n v="19"/>
  </r>
  <r>
    <x v="9771"/>
    <n v="-19"/>
    <n v="71"/>
    <n v="52"/>
    <n v="28"/>
    <n v="19"/>
    <x v="0"/>
    <n v="17"/>
    <n v="-17"/>
    <n v="80"/>
    <n v="0"/>
    <n v="1"/>
    <n v="17"/>
  </r>
  <r>
    <x v="9772"/>
    <n v="-17"/>
    <n v="80"/>
    <n v="63"/>
    <n v="17"/>
    <n v="29"/>
    <x v="17"/>
    <n v="16"/>
    <n v="-4"/>
    <n v="68"/>
    <n v="0"/>
    <n v="1"/>
    <n v="4"/>
  </r>
  <r>
    <x v="9773"/>
    <n v="-4"/>
    <n v="68"/>
    <n v="64"/>
    <n v="16"/>
    <n v="23"/>
    <x v="23"/>
    <n v="17"/>
    <n v="2"/>
    <n v="61"/>
    <n v="0.2"/>
    <n v="0"/>
    <n v="0"/>
  </r>
  <r>
    <x v="9774"/>
    <n v="2"/>
    <n v="61"/>
    <n v="63"/>
    <n v="17"/>
    <n v="28"/>
    <x v="13"/>
    <n v="28"/>
    <n v="2"/>
    <n v="50"/>
    <n v="0.2"/>
    <n v="0"/>
    <n v="0"/>
  </r>
  <r>
    <x v="9775"/>
    <n v="2"/>
    <n v="50"/>
    <n v="52"/>
    <n v="28"/>
    <n v="17"/>
    <x v="23"/>
    <n v="12"/>
    <n v="7"/>
    <n v="61"/>
    <n v="0.70000000000000007"/>
    <n v="0"/>
    <n v="0"/>
  </r>
  <r>
    <x v="9776"/>
    <n v="7"/>
    <n v="61"/>
    <n v="68"/>
    <n v="12"/>
    <n v="16"/>
    <x v="24"/>
    <n v="23"/>
    <n v="0"/>
    <n v="57"/>
    <n v="0"/>
    <n v="0"/>
    <n v="0"/>
  </r>
  <r>
    <x v="9777"/>
    <n v="0"/>
    <n v="57"/>
    <n v="57"/>
    <n v="23"/>
    <n v="17"/>
    <x v="22"/>
    <n v="13"/>
    <n v="4"/>
    <n v="63"/>
    <n v="0.4"/>
    <n v="0"/>
    <n v="0"/>
  </r>
  <r>
    <x v="9778"/>
    <n v="4"/>
    <n v="63"/>
    <n v="67"/>
    <n v="13"/>
    <n v="28"/>
    <x v="15"/>
    <n v="20"/>
    <n v="12"/>
    <n v="48"/>
    <n v="1.2000000000000002"/>
    <n v="0"/>
    <n v="0"/>
  </r>
  <r>
    <x v="9779"/>
    <n v="12"/>
    <n v="48"/>
    <n v="60"/>
    <n v="20"/>
    <n v="12"/>
    <x v="32"/>
    <n v="23"/>
    <n v="1"/>
    <n v="56"/>
    <n v="0.1"/>
    <n v="0"/>
    <n v="0"/>
  </r>
  <r>
    <x v="9780"/>
    <n v="1"/>
    <n v="56"/>
    <n v="57"/>
    <n v="23"/>
    <n v="23"/>
    <x v="32"/>
    <n v="21"/>
    <n v="3"/>
    <n v="56"/>
    <n v="0.30000000000000004"/>
    <n v="0"/>
    <n v="0"/>
  </r>
  <r>
    <x v="9781"/>
    <n v="3"/>
    <n v="56"/>
    <n v="59"/>
    <n v="21"/>
    <n v="13"/>
    <x v="8"/>
    <n v="14"/>
    <n v="2"/>
    <n v="64"/>
    <n v="0.2"/>
    <n v="0"/>
    <n v="0"/>
  </r>
  <r>
    <x v="9782"/>
    <n v="2"/>
    <n v="64"/>
    <n v="66"/>
    <n v="14"/>
    <n v="20"/>
    <x v="28"/>
    <n v="24"/>
    <n v="-2"/>
    <n v="58"/>
    <n v="0"/>
    <n v="1"/>
    <n v="2"/>
  </r>
  <r>
    <x v="9783"/>
    <n v="-2"/>
    <n v="58"/>
    <n v="56"/>
    <n v="24"/>
    <n v="23"/>
    <x v="5"/>
    <n v="23"/>
    <n v="-2"/>
    <n v="59"/>
    <n v="0"/>
    <n v="1"/>
    <n v="2"/>
  </r>
  <r>
    <x v="9784"/>
    <n v="-2"/>
    <n v="59"/>
    <n v="57"/>
    <n v="23"/>
    <n v="21"/>
    <x v="23"/>
    <n v="17"/>
    <n v="2"/>
    <n v="61"/>
    <n v="0.2"/>
    <n v="0"/>
    <n v="0"/>
  </r>
  <r>
    <x v="9785"/>
    <n v="2"/>
    <n v="61"/>
    <n v="63"/>
    <n v="17"/>
    <n v="14"/>
    <x v="8"/>
    <n v="22"/>
    <n v="-6"/>
    <n v="64"/>
    <n v="0"/>
    <n v="1"/>
    <n v="6"/>
  </r>
  <r>
    <x v="9786"/>
    <n v="-6"/>
    <n v="64"/>
    <n v="58"/>
    <n v="22"/>
    <n v="24"/>
    <x v="33"/>
    <n v="26"/>
    <n v="-8"/>
    <n v="62"/>
    <n v="0"/>
    <n v="1"/>
    <n v="8"/>
  </r>
  <r>
    <x v="9787"/>
    <n v="-8"/>
    <n v="62"/>
    <n v="54"/>
    <n v="26"/>
    <n v="23"/>
    <x v="26"/>
    <n v="20"/>
    <n v="-5"/>
    <n v="65"/>
    <n v="0"/>
    <n v="1"/>
    <n v="5"/>
  </r>
  <r>
    <x v="9788"/>
    <n v="-5"/>
    <n v="65"/>
    <n v="60"/>
    <n v="20"/>
    <n v="17"/>
    <x v="17"/>
    <n v="12"/>
    <n v="0"/>
    <n v="68"/>
    <n v="0"/>
    <n v="0"/>
    <n v="0"/>
  </r>
  <r>
    <x v="9789"/>
    <n v="0"/>
    <n v="68"/>
    <n v="68"/>
    <n v="12"/>
    <n v="22"/>
    <x v="28"/>
    <n v="22"/>
    <n v="0"/>
    <n v="58"/>
    <n v="0"/>
    <n v="0"/>
    <n v="0"/>
  </r>
  <r>
    <x v="9790"/>
    <n v="0"/>
    <n v="58"/>
    <n v="58"/>
    <n v="22"/>
    <n v="26"/>
    <x v="16"/>
    <n v="19"/>
    <n v="7"/>
    <n v="54"/>
    <n v="0.70000000000000007"/>
    <n v="0"/>
    <n v="0"/>
  </r>
  <r>
    <x v="9791"/>
    <n v="7"/>
    <n v="54"/>
    <n v="61"/>
    <n v="19"/>
    <n v="20"/>
    <x v="12"/>
    <n v="11"/>
    <n v="16"/>
    <n v="53"/>
    <n v="1.6"/>
    <n v="0"/>
    <n v="0"/>
  </r>
  <r>
    <x v="9792"/>
    <n v="16"/>
    <n v="53"/>
    <n v="69"/>
    <n v="11"/>
    <n v="12"/>
    <x v="25"/>
    <n v="33"/>
    <n v="-5"/>
    <n v="52"/>
    <n v="0"/>
    <n v="1"/>
    <n v="5"/>
  </r>
  <r>
    <x v="9793"/>
    <n v="-5"/>
    <n v="52"/>
    <n v="47"/>
    <n v="33"/>
    <n v="22"/>
    <x v="22"/>
    <n v="23"/>
    <n v="-6"/>
    <n v="63"/>
    <n v="0"/>
    <n v="1"/>
    <n v="6"/>
  </r>
  <r>
    <x v="9794"/>
    <n v="-6"/>
    <n v="63"/>
    <n v="57"/>
    <n v="23"/>
    <n v="19"/>
    <x v="21"/>
    <n v="17"/>
    <n v="-4"/>
    <n v="67"/>
    <n v="0"/>
    <n v="1"/>
    <n v="4"/>
  </r>
  <r>
    <x v="9795"/>
    <n v="-4"/>
    <n v="67"/>
    <n v="63"/>
    <n v="17"/>
    <n v="11"/>
    <x v="31"/>
    <n v="22"/>
    <n v="-15"/>
    <n v="73"/>
    <n v="0"/>
    <n v="1"/>
    <n v="15"/>
  </r>
  <r>
    <x v="9796"/>
    <n v="-15"/>
    <n v="73"/>
    <n v="58"/>
    <n v="22"/>
    <n v="33"/>
    <x v="33"/>
    <n v="20"/>
    <n v="-2"/>
    <n v="62"/>
    <n v="0"/>
    <n v="1"/>
    <n v="2"/>
  </r>
  <r>
    <x v="9797"/>
    <n v="-2"/>
    <n v="62"/>
    <n v="60"/>
    <n v="20"/>
    <n v="23"/>
    <x v="5"/>
    <n v="17"/>
    <n v="4"/>
    <n v="59"/>
    <n v="0.4"/>
    <n v="0"/>
    <n v="0"/>
  </r>
  <r>
    <x v="9798"/>
    <n v="4"/>
    <n v="59"/>
    <n v="63"/>
    <n v="17"/>
    <n v="17"/>
    <x v="5"/>
    <n v="15"/>
    <n v="6"/>
    <n v="59"/>
    <n v="0.60000000000000009"/>
    <n v="0"/>
    <n v="0"/>
  </r>
  <r>
    <x v="9799"/>
    <n v="6"/>
    <n v="59"/>
    <n v="65"/>
    <n v="15"/>
    <n v="22"/>
    <x v="25"/>
    <n v="22"/>
    <n v="6"/>
    <n v="52"/>
    <n v="0.60000000000000009"/>
    <n v="0"/>
    <n v="0"/>
  </r>
  <r>
    <x v="9800"/>
    <n v="6"/>
    <n v="52"/>
    <n v="58"/>
    <n v="22"/>
    <n v="20"/>
    <x v="16"/>
    <n v="17"/>
    <n v="9"/>
    <n v="54"/>
    <n v="0.9"/>
    <n v="0"/>
    <n v="0"/>
  </r>
  <r>
    <x v="9801"/>
    <n v="9"/>
    <n v="54"/>
    <n v="63"/>
    <n v="17"/>
    <n v="17"/>
    <x v="16"/>
    <n v="31"/>
    <n v="-5"/>
    <n v="54"/>
    <n v="0"/>
    <n v="1"/>
    <n v="5"/>
  </r>
  <r>
    <x v="9802"/>
    <n v="-5"/>
    <n v="54"/>
    <n v="49"/>
    <n v="31"/>
    <n v="15"/>
    <x v="6"/>
    <n v="14"/>
    <n v="-4"/>
    <n v="70"/>
    <n v="0"/>
    <n v="1"/>
    <n v="4"/>
  </r>
  <r>
    <x v="9803"/>
    <n v="-4"/>
    <n v="70"/>
    <n v="66"/>
    <n v="14"/>
    <n v="22"/>
    <x v="33"/>
    <n v="19"/>
    <n v="-1"/>
    <n v="62"/>
    <n v="0"/>
    <n v="1"/>
    <n v="1"/>
  </r>
  <r>
    <x v="9804"/>
    <n v="-1"/>
    <n v="62"/>
    <n v="61"/>
    <n v="19"/>
    <n v="17"/>
    <x v="8"/>
    <n v="19"/>
    <n v="-3"/>
    <n v="64"/>
    <n v="0"/>
    <n v="1"/>
    <n v="3"/>
  </r>
  <r>
    <x v="9805"/>
    <n v="-3"/>
    <n v="64"/>
    <n v="61"/>
    <n v="19"/>
    <n v="31"/>
    <x v="25"/>
    <n v="17"/>
    <n v="11"/>
    <n v="52"/>
    <n v="1.1000000000000001"/>
    <n v="0"/>
    <n v="0"/>
  </r>
  <r>
    <x v="9806"/>
    <n v="11"/>
    <n v="52"/>
    <n v="63"/>
    <n v="17"/>
    <n v="14"/>
    <x v="27"/>
    <n v="14"/>
    <n v="11"/>
    <n v="55"/>
    <n v="1.1000000000000001"/>
    <n v="0"/>
    <n v="0"/>
  </r>
  <r>
    <x v="9807"/>
    <n v="11"/>
    <n v="55"/>
    <n v="66"/>
    <n v="14"/>
    <n v="19"/>
    <x v="13"/>
    <n v="20"/>
    <n v="10"/>
    <n v="50"/>
    <n v="1"/>
    <n v="0"/>
    <n v="0"/>
  </r>
  <r>
    <x v="9808"/>
    <n v="10"/>
    <n v="50"/>
    <n v="60"/>
    <n v="20"/>
    <n v="19"/>
    <x v="9"/>
    <n v="21"/>
    <n v="8"/>
    <n v="51"/>
    <n v="0.8"/>
    <n v="0"/>
    <n v="0"/>
  </r>
  <r>
    <x v="9809"/>
    <n v="8"/>
    <n v="51"/>
    <n v="59"/>
    <n v="21"/>
    <n v="17"/>
    <x v="27"/>
    <n v="18"/>
    <n v="7"/>
    <n v="55"/>
    <n v="0.70000000000000007"/>
    <n v="0"/>
    <n v="0"/>
  </r>
  <r>
    <x v="9810"/>
    <n v="7"/>
    <n v="55"/>
    <n v="62"/>
    <n v="18"/>
    <n v="14"/>
    <x v="5"/>
    <n v="17"/>
    <n v="4"/>
    <n v="59"/>
    <n v="0.4"/>
    <n v="0"/>
    <n v="0"/>
  </r>
  <r>
    <x v="9811"/>
    <n v="4"/>
    <n v="59"/>
    <n v="63"/>
    <n v="17"/>
    <n v="20"/>
    <x v="32"/>
    <n v="24"/>
    <n v="0"/>
    <n v="56"/>
    <n v="0"/>
    <n v="0"/>
    <n v="0"/>
  </r>
  <r>
    <x v="9812"/>
    <n v="0"/>
    <n v="56"/>
    <n v="56"/>
    <n v="24"/>
    <n v="21"/>
    <x v="5"/>
    <n v="15"/>
    <n v="6"/>
    <n v="59"/>
    <n v="0.60000000000000009"/>
    <n v="0"/>
    <n v="0"/>
  </r>
  <r>
    <x v="9813"/>
    <n v="6"/>
    <n v="59"/>
    <n v="65"/>
    <n v="15"/>
    <n v="18"/>
    <x v="32"/>
    <n v="20"/>
    <n v="4"/>
    <n v="56"/>
    <n v="0.4"/>
    <n v="0"/>
    <n v="0"/>
  </r>
  <r>
    <x v="9814"/>
    <n v="4"/>
    <n v="56"/>
    <n v="60"/>
    <n v="20"/>
    <n v="17"/>
    <x v="5"/>
    <n v="20"/>
    <n v="1"/>
    <n v="59"/>
    <n v="0.1"/>
    <n v="0"/>
    <n v="0"/>
  </r>
  <r>
    <x v="9815"/>
    <n v="1"/>
    <n v="59"/>
    <n v="60"/>
    <n v="20"/>
    <n v="24"/>
    <x v="27"/>
    <n v="16"/>
    <n v="9"/>
    <n v="55"/>
    <n v="0.9"/>
    <n v="0"/>
    <n v="0"/>
  </r>
  <r>
    <x v="9816"/>
    <n v="9"/>
    <n v="55"/>
    <n v="64"/>
    <n v="16"/>
    <n v="15"/>
    <x v="32"/>
    <n v="19"/>
    <n v="5"/>
    <n v="56"/>
    <n v="0.5"/>
    <n v="0"/>
    <n v="0"/>
  </r>
  <r>
    <x v="9817"/>
    <n v="5"/>
    <n v="56"/>
    <n v="61"/>
    <n v="19"/>
    <n v="20"/>
    <x v="27"/>
    <n v="15"/>
    <n v="10"/>
    <n v="55"/>
    <n v="1"/>
    <n v="0"/>
    <n v="0"/>
  </r>
  <r>
    <x v="9818"/>
    <n v="10"/>
    <n v="55"/>
    <n v="65"/>
    <n v="15"/>
    <n v="20"/>
    <x v="13"/>
    <n v="17"/>
    <n v="13"/>
    <n v="50"/>
    <n v="1.3"/>
    <n v="0"/>
    <n v="0"/>
  </r>
  <r>
    <x v="9819"/>
    <n v="13"/>
    <n v="50"/>
    <n v="63"/>
    <n v="17"/>
    <n v="16"/>
    <x v="9"/>
    <n v="18"/>
    <n v="11"/>
    <n v="51"/>
    <n v="1.1000000000000001"/>
    <n v="0"/>
    <n v="0"/>
  </r>
  <r>
    <x v="9820"/>
    <n v="11"/>
    <n v="51"/>
    <n v="62"/>
    <n v="18"/>
    <n v="19"/>
    <x v="13"/>
    <n v="24"/>
    <n v="6"/>
    <n v="50"/>
    <n v="0.60000000000000009"/>
    <n v="0"/>
    <n v="0"/>
  </r>
  <r>
    <x v="9821"/>
    <n v="6"/>
    <n v="50"/>
    <n v="56"/>
    <n v="24"/>
    <n v="15"/>
    <x v="5"/>
    <n v="24"/>
    <n v="-3"/>
    <n v="59"/>
    <n v="0"/>
    <n v="1"/>
    <n v="3"/>
  </r>
  <r>
    <x v="9822"/>
    <n v="-3"/>
    <n v="59"/>
    <n v="56"/>
    <n v="24"/>
    <n v="17"/>
    <x v="7"/>
    <n v="31"/>
    <n v="-17"/>
    <n v="66"/>
    <n v="0"/>
    <n v="1"/>
    <n v="17"/>
  </r>
  <r>
    <x v="9823"/>
    <n v="-17"/>
    <n v="66"/>
    <n v="49"/>
    <n v="31"/>
    <n v="18"/>
    <x v="43"/>
    <n v="16"/>
    <n v="-15"/>
    <n v="79"/>
    <n v="0"/>
    <n v="1"/>
    <n v="15"/>
  </r>
  <r>
    <x v="9824"/>
    <n v="-15"/>
    <n v="79"/>
    <n v="64"/>
    <n v="16"/>
    <n v="24"/>
    <x v="20"/>
    <n v="27"/>
    <n v="-18"/>
    <n v="71"/>
    <n v="0"/>
    <n v="1"/>
    <n v="18"/>
  </r>
  <r>
    <x v="9825"/>
    <n v="-18"/>
    <n v="71"/>
    <n v="53"/>
    <n v="27"/>
    <n v="24"/>
    <x v="39"/>
    <n v="30"/>
    <n v="-24"/>
    <n v="74"/>
    <n v="0"/>
    <n v="1"/>
    <n v="24"/>
  </r>
  <r>
    <x v="9826"/>
    <n v="-24"/>
    <n v="74"/>
    <n v="50"/>
    <n v="30"/>
    <n v="31"/>
    <x v="31"/>
    <n v="17"/>
    <n v="-10"/>
    <n v="73"/>
    <n v="0"/>
    <n v="1"/>
    <n v="10"/>
  </r>
  <r>
    <x v="9827"/>
    <n v="-10"/>
    <n v="73"/>
    <n v="63"/>
    <n v="17"/>
    <n v="16"/>
    <x v="39"/>
    <n v="19"/>
    <n v="-13"/>
    <n v="74"/>
    <n v="0"/>
    <n v="1"/>
    <n v="13"/>
  </r>
  <r>
    <x v="9828"/>
    <n v="-13"/>
    <n v="74"/>
    <n v="61"/>
    <n v="19"/>
    <n v="27"/>
    <x v="7"/>
    <n v="15"/>
    <n v="-1"/>
    <n v="66"/>
    <n v="0"/>
    <n v="1"/>
    <n v="1"/>
  </r>
  <r>
    <x v="9829"/>
    <n v="-1"/>
    <n v="66"/>
    <n v="65"/>
    <n v="15"/>
    <n v="30"/>
    <x v="9"/>
    <n v="20"/>
    <n v="9"/>
    <n v="51"/>
    <n v="0.9"/>
    <n v="0"/>
    <n v="0"/>
  </r>
  <r>
    <x v="9830"/>
    <n v="9"/>
    <n v="51"/>
    <n v="60"/>
    <n v="20"/>
    <n v="17"/>
    <x v="16"/>
    <n v="16"/>
    <n v="10"/>
    <n v="54"/>
    <n v="1"/>
    <n v="0"/>
    <n v="0"/>
  </r>
  <r>
    <x v="9831"/>
    <n v="10"/>
    <n v="54"/>
    <n v="64"/>
    <n v="16"/>
    <n v="19"/>
    <x v="9"/>
    <n v="20"/>
    <n v="9"/>
    <n v="51"/>
    <n v="0.9"/>
    <n v="0"/>
    <n v="0"/>
  </r>
  <r>
    <x v="9832"/>
    <n v="9"/>
    <n v="51"/>
    <n v="60"/>
    <n v="20"/>
    <n v="15"/>
    <x v="32"/>
    <n v="21"/>
    <n v="3"/>
    <n v="56"/>
    <n v="0.30000000000000004"/>
    <n v="0"/>
    <n v="0"/>
  </r>
  <r>
    <x v="9833"/>
    <n v="3"/>
    <n v="56"/>
    <n v="59"/>
    <n v="21"/>
    <n v="20"/>
    <x v="24"/>
    <n v="23"/>
    <n v="0"/>
    <n v="57"/>
    <n v="0"/>
    <n v="0"/>
    <n v="0"/>
  </r>
  <r>
    <x v="9834"/>
    <n v="0"/>
    <n v="57"/>
    <n v="57"/>
    <n v="23"/>
    <n v="16"/>
    <x v="8"/>
    <n v="19"/>
    <n v="-3"/>
    <n v="64"/>
    <n v="0"/>
    <n v="1"/>
    <n v="3"/>
  </r>
  <r>
    <x v="9835"/>
    <n v="-3"/>
    <n v="64"/>
    <n v="61"/>
    <n v="19"/>
    <n v="20"/>
    <x v="22"/>
    <n v="13"/>
    <n v="4"/>
    <n v="63"/>
    <n v="0.4"/>
    <n v="0"/>
    <n v="0"/>
  </r>
  <r>
    <x v="9836"/>
    <n v="4"/>
    <n v="63"/>
    <n v="67"/>
    <n v="13"/>
    <n v="21"/>
    <x v="27"/>
    <n v="25"/>
    <n v="0"/>
    <n v="55"/>
    <n v="0"/>
    <n v="0"/>
    <n v="0"/>
  </r>
  <r>
    <x v="9837"/>
    <n v="0"/>
    <n v="55"/>
    <n v="55"/>
    <n v="25"/>
    <n v="23"/>
    <x v="24"/>
    <n v="26"/>
    <n v="-3"/>
    <n v="57"/>
    <n v="0"/>
    <n v="1"/>
    <n v="3"/>
  </r>
  <r>
    <x v="9838"/>
    <n v="-3"/>
    <n v="57"/>
    <n v="54"/>
    <n v="26"/>
    <n v="19"/>
    <x v="8"/>
    <n v="15"/>
    <n v="1"/>
    <n v="64"/>
    <n v="0.1"/>
    <n v="0"/>
    <n v="0"/>
  </r>
  <r>
    <x v="9839"/>
    <n v="1"/>
    <n v="64"/>
    <n v="65"/>
    <n v="15"/>
    <n v="13"/>
    <x v="7"/>
    <n v="20"/>
    <n v="-6"/>
    <n v="66"/>
    <n v="0"/>
    <n v="1"/>
    <n v="6"/>
  </r>
  <r>
    <x v="9840"/>
    <n v="-6"/>
    <n v="66"/>
    <n v="60"/>
    <n v="20"/>
    <n v="25"/>
    <x v="23"/>
    <n v="24"/>
    <n v="-5"/>
    <n v="61"/>
    <n v="0"/>
    <n v="1"/>
    <n v="5"/>
  </r>
  <r>
    <x v="9841"/>
    <n v="-5"/>
    <n v="61"/>
    <n v="56"/>
    <n v="24"/>
    <n v="26"/>
    <x v="5"/>
    <n v="13"/>
    <n v="8"/>
    <n v="59"/>
    <n v="0.8"/>
    <n v="0"/>
    <n v="0"/>
  </r>
  <r>
    <x v="9842"/>
    <n v="8"/>
    <n v="59"/>
    <n v="67"/>
    <n v="13"/>
    <n v="15"/>
    <x v="24"/>
    <n v="26"/>
    <n v="-3"/>
    <n v="57"/>
    <n v="0"/>
    <n v="1"/>
    <n v="3"/>
  </r>
  <r>
    <x v="9843"/>
    <n v="-3"/>
    <n v="57"/>
    <n v="54"/>
    <n v="26"/>
    <n v="20"/>
    <x v="22"/>
    <n v="19"/>
    <n v="-2"/>
    <n v="63"/>
    <n v="0"/>
    <n v="1"/>
    <n v="2"/>
  </r>
  <r>
    <x v="9844"/>
    <n v="-2"/>
    <n v="63"/>
    <n v="61"/>
    <n v="19"/>
    <n v="24"/>
    <x v="28"/>
    <n v="18"/>
    <n v="4"/>
    <n v="58"/>
    <n v="0.4"/>
    <n v="0"/>
    <n v="0"/>
  </r>
  <r>
    <x v="9845"/>
    <n v="4"/>
    <n v="58"/>
    <n v="62"/>
    <n v="18"/>
    <n v="13"/>
    <x v="22"/>
    <n v="17"/>
    <n v="0"/>
    <n v="63"/>
    <n v="0"/>
    <n v="0"/>
    <n v="0"/>
  </r>
  <r>
    <x v="9846"/>
    <n v="0"/>
    <n v="63"/>
    <n v="63"/>
    <n v="17"/>
    <n v="26"/>
    <x v="16"/>
    <n v="25"/>
    <n v="1"/>
    <n v="54"/>
    <n v="0.1"/>
    <n v="0"/>
    <n v="0"/>
  </r>
  <r>
    <x v="9847"/>
    <n v="1"/>
    <n v="54"/>
    <n v="55"/>
    <n v="25"/>
    <n v="19"/>
    <x v="4"/>
    <n v="20"/>
    <n v="0"/>
    <n v="60"/>
    <n v="0"/>
    <n v="0"/>
    <n v="0"/>
  </r>
  <r>
    <x v="9848"/>
    <n v="0"/>
    <n v="60"/>
    <n v="60"/>
    <n v="20"/>
    <n v="18"/>
    <x v="33"/>
    <n v="14"/>
    <n v="4"/>
    <n v="62"/>
    <n v="0.4"/>
    <n v="0"/>
    <n v="0"/>
  </r>
  <r>
    <x v="9849"/>
    <n v="4"/>
    <n v="62"/>
    <n v="66"/>
    <n v="14"/>
    <n v="17"/>
    <x v="5"/>
    <n v="17"/>
    <n v="4"/>
    <n v="59"/>
    <n v="0.4"/>
    <n v="0"/>
    <n v="0"/>
  </r>
  <r>
    <x v="9850"/>
    <n v="4"/>
    <n v="59"/>
    <n v="63"/>
    <n v="17"/>
    <n v="25"/>
    <x v="9"/>
    <n v="13"/>
    <n v="16"/>
    <n v="51"/>
    <n v="1.6"/>
    <n v="0"/>
    <n v="0"/>
  </r>
  <r>
    <x v="9851"/>
    <n v="16"/>
    <n v="51"/>
    <n v="67"/>
    <n v="13"/>
    <n v="20"/>
    <x v="45"/>
    <n v="27"/>
    <n v="9"/>
    <n v="44"/>
    <n v="0.9"/>
    <n v="0"/>
    <n v="0"/>
  </r>
  <r>
    <x v="9852"/>
    <n v="9"/>
    <n v="44"/>
    <n v="53"/>
    <n v="27"/>
    <n v="14"/>
    <x v="24"/>
    <n v="24"/>
    <n v="-1"/>
    <n v="57"/>
    <n v="0"/>
    <n v="1"/>
    <n v="1"/>
  </r>
  <r>
    <x v="9853"/>
    <n v="-1"/>
    <n v="57"/>
    <n v="56"/>
    <n v="24"/>
    <n v="17"/>
    <x v="8"/>
    <n v="20"/>
    <n v="-4"/>
    <n v="64"/>
    <n v="0"/>
    <n v="1"/>
    <n v="4"/>
  </r>
  <r>
    <x v="9854"/>
    <n v="-4"/>
    <n v="64"/>
    <n v="60"/>
    <n v="20"/>
    <n v="13"/>
    <x v="20"/>
    <n v="17"/>
    <n v="-8"/>
    <n v="71"/>
    <n v="0"/>
    <n v="1"/>
    <n v="8"/>
  </r>
  <r>
    <x v="9855"/>
    <n v="-8"/>
    <n v="71"/>
    <n v="63"/>
    <n v="17"/>
    <n v="27"/>
    <x v="23"/>
    <n v="17"/>
    <n v="2"/>
    <n v="61"/>
    <n v="0.2"/>
    <n v="0"/>
    <n v="0"/>
  </r>
  <r>
    <x v="9856"/>
    <n v="2"/>
    <n v="61"/>
    <n v="63"/>
    <n v="17"/>
    <n v="24"/>
    <x v="16"/>
    <n v="16"/>
    <n v="10"/>
    <n v="54"/>
    <n v="1"/>
    <n v="0"/>
    <n v="0"/>
  </r>
  <r>
    <x v="9857"/>
    <n v="10"/>
    <n v="54"/>
    <n v="64"/>
    <n v="16"/>
    <n v="20"/>
    <x v="13"/>
    <n v="17"/>
    <n v="13"/>
    <n v="50"/>
    <n v="1.3"/>
    <n v="0"/>
    <n v="0"/>
  </r>
  <r>
    <x v="9858"/>
    <n v="13"/>
    <n v="50"/>
    <n v="63"/>
    <n v="17"/>
    <n v="17"/>
    <x v="13"/>
    <n v="21"/>
    <n v="9"/>
    <n v="50"/>
    <n v="0.9"/>
    <n v="0"/>
    <n v="0"/>
  </r>
  <r>
    <x v="9859"/>
    <n v="9"/>
    <n v="50"/>
    <n v="59"/>
    <n v="21"/>
    <n v="17"/>
    <x v="16"/>
    <n v="18"/>
    <n v="8"/>
    <n v="54"/>
    <n v="0.8"/>
    <n v="0"/>
    <n v="0"/>
  </r>
  <r>
    <x v="9860"/>
    <n v="8"/>
    <n v="54"/>
    <n v="62"/>
    <n v="18"/>
    <n v="16"/>
    <x v="32"/>
    <n v="23"/>
    <n v="1"/>
    <n v="56"/>
    <n v="0.1"/>
    <n v="0"/>
    <n v="0"/>
  </r>
  <r>
    <x v="9861"/>
    <n v="1"/>
    <n v="56"/>
    <n v="57"/>
    <n v="23"/>
    <n v="17"/>
    <x v="33"/>
    <n v="25"/>
    <n v="-7"/>
    <n v="62"/>
    <n v="0"/>
    <n v="1"/>
    <n v="7"/>
  </r>
  <r>
    <x v="9862"/>
    <n v="-7"/>
    <n v="62"/>
    <n v="55"/>
    <n v="25"/>
    <n v="21"/>
    <x v="7"/>
    <n v="20"/>
    <n v="-6"/>
    <n v="66"/>
    <n v="0"/>
    <n v="1"/>
    <n v="6"/>
  </r>
  <r>
    <x v="9863"/>
    <n v="-6"/>
    <n v="66"/>
    <n v="60"/>
    <n v="20"/>
    <n v="18"/>
    <x v="17"/>
    <n v="12"/>
    <n v="0"/>
    <n v="68"/>
    <n v="0"/>
    <n v="0"/>
    <n v="0"/>
  </r>
  <r>
    <x v="9864"/>
    <n v="0"/>
    <n v="68"/>
    <n v="68"/>
    <n v="12"/>
    <n v="23"/>
    <x v="24"/>
    <n v="15"/>
    <n v="8"/>
    <n v="57"/>
    <n v="0.8"/>
    <n v="0"/>
    <n v="0"/>
  </r>
  <r>
    <x v="9865"/>
    <n v="8"/>
    <n v="57"/>
    <n v="65"/>
    <n v="15"/>
    <n v="25"/>
    <x v="14"/>
    <n v="16"/>
    <n v="17"/>
    <n v="47"/>
    <n v="1.7000000000000002"/>
    <n v="0"/>
    <n v="0"/>
  </r>
  <r>
    <x v="9866"/>
    <n v="17"/>
    <n v="47"/>
    <n v="64"/>
    <n v="16"/>
    <n v="20"/>
    <x v="51"/>
    <n v="28"/>
    <n v="9"/>
    <n v="43"/>
    <n v="0.9"/>
    <n v="0"/>
    <n v="0"/>
  </r>
  <r>
    <x v="9867"/>
    <n v="9"/>
    <n v="43"/>
    <n v="52"/>
    <n v="28"/>
    <n v="12"/>
    <x v="5"/>
    <n v="19"/>
    <n v="2"/>
    <n v="59"/>
    <n v="0.2"/>
    <n v="0"/>
    <n v="0"/>
  </r>
  <r>
    <x v="9868"/>
    <n v="2"/>
    <n v="59"/>
    <n v="61"/>
    <n v="19"/>
    <n v="15"/>
    <x v="22"/>
    <n v="22"/>
    <n v="-5"/>
    <n v="63"/>
    <n v="0"/>
    <n v="1"/>
    <n v="5"/>
  </r>
  <r>
    <x v="9869"/>
    <n v="-5"/>
    <n v="63"/>
    <n v="58"/>
    <n v="22"/>
    <n v="16"/>
    <x v="30"/>
    <n v="24"/>
    <n v="-13"/>
    <n v="69"/>
    <n v="0"/>
    <n v="1"/>
    <n v="13"/>
  </r>
  <r>
    <x v="9870"/>
    <n v="-13"/>
    <n v="69"/>
    <n v="56"/>
    <n v="24"/>
    <n v="28"/>
    <x v="26"/>
    <n v="14"/>
    <n v="1"/>
    <n v="65"/>
    <n v="0.1"/>
    <n v="0"/>
    <n v="0"/>
  </r>
  <r>
    <x v="9871"/>
    <n v="1"/>
    <n v="65"/>
    <n v="66"/>
    <n v="14"/>
    <n v="19"/>
    <x v="4"/>
    <n v="19"/>
    <n v="1"/>
    <n v="60"/>
    <n v="0.1"/>
    <n v="0"/>
    <n v="0"/>
  </r>
  <r>
    <x v="9872"/>
    <n v="1"/>
    <n v="60"/>
    <n v="61"/>
    <n v="19"/>
    <n v="22"/>
    <x v="24"/>
    <n v="24"/>
    <n v="-1"/>
    <n v="57"/>
    <n v="0"/>
    <n v="1"/>
    <n v="1"/>
  </r>
  <r>
    <x v="9873"/>
    <n v="-1"/>
    <n v="57"/>
    <n v="56"/>
    <n v="24"/>
    <n v="24"/>
    <x v="24"/>
    <n v="21"/>
    <n v="2"/>
    <n v="57"/>
    <n v="0.2"/>
    <n v="0"/>
    <n v="0"/>
  </r>
  <r>
    <x v="9874"/>
    <n v="2"/>
    <n v="57"/>
    <n v="59"/>
    <n v="21"/>
    <n v="14"/>
    <x v="8"/>
    <n v="18"/>
    <n v="-2"/>
    <n v="64"/>
    <n v="0"/>
    <n v="1"/>
    <n v="2"/>
  </r>
  <r>
    <x v="9875"/>
    <n v="-2"/>
    <n v="64"/>
    <n v="62"/>
    <n v="18"/>
    <n v="19"/>
    <x v="22"/>
    <n v="20"/>
    <n v="-3"/>
    <n v="63"/>
    <n v="0"/>
    <n v="1"/>
    <n v="3"/>
  </r>
  <r>
    <x v="9876"/>
    <n v="-3"/>
    <n v="63"/>
    <n v="60"/>
    <n v="20"/>
    <n v="24"/>
    <x v="5"/>
    <n v="21"/>
    <n v="0"/>
    <n v="59"/>
    <n v="0"/>
    <n v="0"/>
    <n v="0"/>
  </r>
  <r>
    <x v="9877"/>
    <n v="0"/>
    <n v="59"/>
    <n v="59"/>
    <n v="21"/>
    <n v="21"/>
    <x v="5"/>
    <n v="21"/>
    <n v="0"/>
    <n v="59"/>
    <n v="0"/>
    <n v="0"/>
    <n v="0"/>
  </r>
  <r>
    <x v="9878"/>
    <n v="0"/>
    <n v="59"/>
    <n v="59"/>
    <n v="21"/>
    <n v="18"/>
    <x v="33"/>
    <n v="14"/>
    <n v="4"/>
    <n v="62"/>
    <n v="0.4"/>
    <n v="0"/>
    <n v="0"/>
  </r>
  <r>
    <x v="9879"/>
    <n v="4"/>
    <n v="62"/>
    <n v="66"/>
    <n v="14"/>
    <n v="20"/>
    <x v="32"/>
    <n v="19"/>
    <n v="5"/>
    <n v="56"/>
    <n v="0.5"/>
    <n v="0"/>
    <n v="0"/>
  </r>
  <r>
    <x v="9880"/>
    <n v="5"/>
    <n v="56"/>
    <n v="61"/>
    <n v="19"/>
    <n v="21"/>
    <x v="16"/>
    <n v="21"/>
    <n v="5"/>
    <n v="54"/>
    <n v="0.5"/>
    <n v="0"/>
    <n v="0"/>
  </r>
  <r>
    <x v="9881"/>
    <n v="5"/>
    <n v="54"/>
    <n v="59"/>
    <n v="21"/>
    <n v="21"/>
    <x v="16"/>
    <n v="21"/>
    <n v="5"/>
    <n v="54"/>
    <n v="0.5"/>
    <n v="0"/>
    <n v="0"/>
  </r>
  <r>
    <x v="9882"/>
    <n v="5"/>
    <n v="54"/>
    <n v="59"/>
    <n v="21"/>
    <n v="14"/>
    <x v="23"/>
    <n v="20"/>
    <n v="-1"/>
    <n v="61"/>
    <n v="0"/>
    <n v="1"/>
    <n v="1"/>
  </r>
  <r>
    <x v="9883"/>
    <n v="-1"/>
    <n v="61"/>
    <n v="60"/>
    <n v="20"/>
    <n v="19"/>
    <x v="33"/>
    <n v="23"/>
    <n v="-5"/>
    <n v="62"/>
    <n v="0"/>
    <n v="1"/>
    <n v="5"/>
  </r>
  <r>
    <x v="9884"/>
    <n v="-5"/>
    <n v="62"/>
    <n v="57"/>
    <n v="23"/>
    <n v="21"/>
    <x v="8"/>
    <n v="27"/>
    <n v="-11"/>
    <n v="64"/>
    <n v="0"/>
    <n v="1"/>
    <n v="11"/>
  </r>
  <r>
    <x v="9885"/>
    <n v="-11"/>
    <n v="64"/>
    <n v="53"/>
    <n v="27"/>
    <n v="21"/>
    <x v="6"/>
    <n v="13"/>
    <n v="-3"/>
    <n v="70"/>
    <n v="0"/>
    <n v="1"/>
    <n v="3"/>
  </r>
  <r>
    <x v="9886"/>
    <n v="-3"/>
    <n v="70"/>
    <n v="67"/>
    <n v="13"/>
    <n v="20"/>
    <x v="22"/>
    <n v="28"/>
    <n v="-11"/>
    <n v="63"/>
    <n v="0"/>
    <n v="1"/>
    <n v="11"/>
  </r>
  <r>
    <x v="9887"/>
    <n v="-11"/>
    <n v="63"/>
    <n v="52"/>
    <n v="28"/>
    <n v="23"/>
    <x v="17"/>
    <n v="22"/>
    <n v="-10"/>
    <n v="68"/>
    <n v="0"/>
    <n v="1"/>
    <n v="10"/>
  </r>
  <r>
    <x v="9888"/>
    <n v="-10"/>
    <n v="68"/>
    <n v="58"/>
    <n v="22"/>
    <n v="27"/>
    <x v="22"/>
    <n v="17"/>
    <n v="0"/>
    <n v="63"/>
    <n v="0"/>
    <n v="0"/>
    <n v="0"/>
  </r>
  <r>
    <x v="9889"/>
    <n v="0"/>
    <n v="63"/>
    <n v="63"/>
    <n v="17"/>
    <n v="13"/>
    <x v="21"/>
    <n v="17"/>
    <n v="-4"/>
    <n v="67"/>
    <n v="0"/>
    <n v="1"/>
    <n v="4"/>
  </r>
  <r>
    <x v="9890"/>
    <n v="-4"/>
    <n v="67"/>
    <n v="63"/>
    <n v="17"/>
    <n v="28"/>
    <x v="32"/>
    <n v="12"/>
    <n v="12"/>
    <n v="56"/>
    <n v="1.2000000000000002"/>
    <n v="0"/>
    <n v="0"/>
  </r>
  <r>
    <x v="9891"/>
    <n v="12"/>
    <n v="56"/>
    <n v="68"/>
    <n v="12"/>
    <n v="22"/>
    <x v="38"/>
    <n v="16"/>
    <n v="18"/>
    <n v="46"/>
    <n v="1.8"/>
    <n v="0"/>
    <n v="0"/>
  </r>
  <r>
    <x v="9892"/>
    <n v="18"/>
    <n v="46"/>
    <n v="64"/>
    <n v="16"/>
    <n v="17"/>
    <x v="11"/>
    <n v="18"/>
    <n v="17"/>
    <n v="45"/>
    <n v="1.7000000000000002"/>
    <n v="0"/>
    <n v="0"/>
  </r>
  <r>
    <x v="9893"/>
    <n v="17"/>
    <n v="45"/>
    <n v="62"/>
    <n v="18"/>
    <n v="17"/>
    <x v="38"/>
    <n v="16"/>
    <n v="18"/>
    <n v="46"/>
    <n v="1.8"/>
    <n v="0"/>
    <n v="0"/>
  </r>
  <r>
    <x v="9894"/>
    <n v="18"/>
    <n v="46"/>
    <n v="64"/>
    <n v="16"/>
    <n v="12"/>
    <x v="13"/>
    <n v="23"/>
    <n v="7"/>
    <n v="50"/>
    <n v="0.70000000000000007"/>
    <n v="0"/>
    <n v="0"/>
  </r>
  <r>
    <x v="9895"/>
    <n v="7"/>
    <n v="50"/>
    <n v="57"/>
    <n v="23"/>
    <n v="16"/>
    <x v="24"/>
    <n v="17"/>
    <n v="6"/>
    <n v="57"/>
    <n v="0.60000000000000009"/>
    <n v="0"/>
    <n v="0"/>
  </r>
  <r>
    <x v="9896"/>
    <n v="6"/>
    <n v="57"/>
    <n v="63"/>
    <n v="17"/>
    <n v="18"/>
    <x v="32"/>
    <n v="20"/>
    <n v="4"/>
    <n v="56"/>
    <n v="0.4"/>
    <n v="0"/>
    <n v="0"/>
  </r>
  <r>
    <x v="9897"/>
    <n v="4"/>
    <n v="56"/>
    <n v="60"/>
    <n v="20"/>
    <n v="16"/>
    <x v="4"/>
    <n v="13"/>
    <n v="7"/>
    <n v="60"/>
    <n v="0.70000000000000007"/>
    <n v="0"/>
    <n v="0"/>
  </r>
  <r>
    <x v="9898"/>
    <n v="7"/>
    <n v="60"/>
    <n v="67"/>
    <n v="13"/>
    <n v="23"/>
    <x v="13"/>
    <n v="21"/>
    <n v="9"/>
    <n v="50"/>
    <n v="0.9"/>
    <n v="0"/>
    <n v="0"/>
  </r>
  <r>
    <x v="9899"/>
    <n v="9"/>
    <n v="50"/>
    <n v="59"/>
    <n v="21"/>
    <n v="17"/>
    <x v="16"/>
    <n v="20"/>
    <n v="6"/>
    <n v="54"/>
    <n v="0.60000000000000009"/>
    <n v="0"/>
    <n v="0"/>
  </r>
  <r>
    <x v="9900"/>
    <n v="6"/>
    <n v="54"/>
    <n v="60"/>
    <n v="20"/>
    <n v="20"/>
    <x v="16"/>
    <n v="27"/>
    <n v="-1"/>
    <n v="54"/>
    <n v="0"/>
    <n v="1"/>
    <n v="1"/>
  </r>
  <r>
    <x v="9901"/>
    <n v="-1"/>
    <n v="54"/>
    <n v="53"/>
    <n v="27"/>
    <n v="13"/>
    <x v="17"/>
    <n v="16"/>
    <n v="-4"/>
    <n v="68"/>
    <n v="0"/>
    <n v="1"/>
    <n v="4"/>
  </r>
  <r>
    <x v="9902"/>
    <n v="-4"/>
    <n v="68"/>
    <n v="64"/>
    <n v="16"/>
    <n v="21"/>
    <x v="22"/>
    <n v="20"/>
    <n v="-3"/>
    <n v="63"/>
    <n v="0"/>
    <n v="1"/>
    <n v="3"/>
  </r>
  <r>
    <x v="9903"/>
    <n v="-3"/>
    <n v="63"/>
    <n v="60"/>
    <n v="20"/>
    <n v="20"/>
    <x v="22"/>
    <n v="24"/>
    <n v="-7"/>
    <n v="63"/>
    <n v="0"/>
    <n v="1"/>
    <n v="7"/>
  </r>
  <r>
    <x v="9904"/>
    <n v="-7"/>
    <n v="63"/>
    <n v="56"/>
    <n v="24"/>
    <n v="27"/>
    <x v="4"/>
    <n v="20"/>
    <n v="0"/>
    <n v="60"/>
    <n v="0"/>
    <n v="0"/>
    <n v="0"/>
  </r>
  <r>
    <x v="9905"/>
    <n v="0"/>
    <n v="60"/>
    <n v="60"/>
    <n v="20"/>
    <n v="16"/>
    <x v="8"/>
    <n v="19"/>
    <n v="-3"/>
    <n v="64"/>
    <n v="0"/>
    <n v="1"/>
    <n v="3"/>
  </r>
  <r>
    <x v="9906"/>
    <n v="-3"/>
    <n v="64"/>
    <n v="61"/>
    <n v="19"/>
    <n v="20"/>
    <x v="22"/>
    <n v="16"/>
    <n v="1"/>
    <n v="63"/>
    <n v="0.1"/>
    <n v="0"/>
    <n v="0"/>
  </r>
  <r>
    <x v="9907"/>
    <n v="1"/>
    <n v="63"/>
    <n v="64"/>
    <n v="16"/>
    <n v="24"/>
    <x v="27"/>
    <n v="25"/>
    <n v="0"/>
    <n v="55"/>
    <n v="0"/>
    <n v="0"/>
    <n v="0"/>
  </r>
  <r>
    <x v="9908"/>
    <n v="0"/>
    <n v="55"/>
    <n v="55"/>
    <n v="25"/>
    <n v="20"/>
    <x v="4"/>
    <n v="25"/>
    <n v="-5"/>
    <n v="60"/>
    <n v="0"/>
    <n v="1"/>
    <n v="5"/>
  </r>
  <r>
    <x v="9909"/>
    <n v="-5"/>
    <n v="60"/>
    <n v="55"/>
    <n v="25"/>
    <n v="19"/>
    <x v="7"/>
    <n v="19"/>
    <n v="-5"/>
    <n v="66"/>
    <n v="0"/>
    <n v="1"/>
    <n v="5"/>
  </r>
  <r>
    <x v="9910"/>
    <n v="-5"/>
    <n v="66"/>
    <n v="61"/>
    <n v="19"/>
    <n v="16"/>
    <x v="30"/>
    <n v="20"/>
    <n v="-9"/>
    <n v="69"/>
    <n v="0"/>
    <n v="1"/>
    <n v="9"/>
  </r>
  <r>
    <x v="9911"/>
    <n v="-9"/>
    <n v="69"/>
    <n v="60"/>
    <n v="20"/>
    <n v="25"/>
    <x v="8"/>
    <n v="19"/>
    <n v="-3"/>
    <n v="64"/>
    <n v="0"/>
    <n v="1"/>
    <n v="3"/>
  </r>
  <r>
    <x v="9912"/>
    <n v="-3"/>
    <n v="64"/>
    <n v="61"/>
    <n v="19"/>
    <n v="25"/>
    <x v="28"/>
    <n v="22"/>
    <n v="0"/>
    <n v="58"/>
    <n v="0"/>
    <n v="0"/>
    <n v="0"/>
  </r>
  <r>
    <x v="9913"/>
    <n v="0"/>
    <n v="58"/>
    <n v="58"/>
    <n v="22"/>
    <n v="19"/>
    <x v="23"/>
    <n v="20"/>
    <n v="-1"/>
    <n v="61"/>
    <n v="0"/>
    <n v="1"/>
    <n v="1"/>
  </r>
  <r>
    <x v="9914"/>
    <n v="-1"/>
    <n v="61"/>
    <n v="60"/>
    <n v="20"/>
    <n v="20"/>
    <x v="23"/>
    <n v="18"/>
    <n v="1"/>
    <n v="61"/>
    <n v="0.1"/>
    <n v="0"/>
    <n v="0"/>
  </r>
  <r>
    <x v="9915"/>
    <n v="1"/>
    <n v="61"/>
    <n v="62"/>
    <n v="18"/>
    <n v="19"/>
    <x v="4"/>
    <n v="21"/>
    <n v="-1"/>
    <n v="60"/>
    <n v="0"/>
    <n v="1"/>
    <n v="1"/>
  </r>
  <r>
    <x v="9916"/>
    <n v="-1"/>
    <n v="60"/>
    <n v="59"/>
    <n v="21"/>
    <n v="22"/>
    <x v="5"/>
    <n v="21"/>
    <n v="0"/>
    <n v="59"/>
    <n v="0"/>
    <n v="0"/>
    <n v="0"/>
  </r>
  <r>
    <x v="9917"/>
    <n v="0"/>
    <n v="59"/>
    <n v="59"/>
    <n v="21"/>
    <n v="20"/>
    <x v="4"/>
    <n v="20"/>
    <n v="0"/>
    <n v="60"/>
    <n v="0"/>
    <n v="0"/>
    <n v="0"/>
  </r>
  <r>
    <x v="9918"/>
    <n v="0"/>
    <n v="60"/>
    <n v="60"/>
    <n v="20"/>
    <n v="18"/>
    <x v="33"/>
    <n v="15"/>
    <n v="3"/>
    <n v="62"/>
    <n v="0.30000000000000004"/>
    <n v="0"/>
    <n v="0"/>
  </r>
  <r>
    <x v="9919"/>
    <n v="3"/>
    <n v="62"/>
    <n v="65"/>
    <n v="15"/>
    <n v="21"/>
    <x v="32"/>
    <n v="27"/>
    <n v="-3"/>
    <n v="56"/>
    <n v="0"/>
    <n v="1"/>
    <n v="3"/>
  </r>
  <r>
    <x v="9920"/>
    <n v="-3"/>
    <n v="56"/>
    <n v="53"/>
    <n v="27"/>
    <n v="21"/>
    <x v="33"/>
    <n v="18"/>
    <n v="0"/>
    <n v="62"/>
    <n v="0"/>
    <n v="0"/>
    <n v="0"/>
  </r>
  <r>
    <x v="9921"/>
    <n v="0"/>
    <n v="62"/>
    <n v="62"/>
    <n v="18"/>
    <n v="20"/>
    <x v="4"/>
    <n v="25"/>
    <n v="-5"/>
    <n v="60"/>
    <n v="0"/>
    <n v="1"/>
    <n v="5"/>
  </r>
  <r>
    <x v="9922"/>
    <n v="-5"/>
    <n v="60"/>
    <n v="55"/>
    <n v="25"/>
    <n v="15"/>
    <x v="6"/>
    <n v="17"/>
    <n v="-7"/>
    <n v="70"/>
    <n v="0"/>
    <n v="1"/>
    <n v="7"/>
  </r>
  <r>
    <x v="9923"/>
    <n v="-7"/>
    <n v="70"/>
    <n v="63"/>
    <n v="17"/>
    <n v="27"/>
    <x v="4"/>
    <n v="18"/>
    <n v="2"/>
    <n v="60"/>
    <n v="0.2"/>
    <n v="0"/>
    <n v="0"/>
  </r>
  <r>
    <x v="9924"/>
    <n v="2"/>
    <n v="60"/>
    <n v="62"/>
    <n v="18"/>
    <n v="18"/>
    <x v="4"/>
    <n v="17"/>
    <n v="3"/>
    <n v="60"/>
    <n v="0.30000000000000004"/>
    <n v="0"/>
    <n v="0"/>
  </r>
  <r>
    <x v="9925"/>
    <n v="3"/>
    <n v="60"/>
    <n v="63"/>
    <n v="17"/>
    <n v="25"/>
    <x v="25"/>
    <n v="21"/>
    <n v="7"/>
    <n v="52"/>
    <n v="0.70000000000000007"/>
    <n v="0"/>
    <n v="0"/>
  </r>
  <r>
    <x v="9926"/>
    <n v="7"/>
    <n v="52"/>
    <n v="59"/>
    <n v="21"/>
    <n v="17"/>
    <x v="32"/>
    <n v="15"/>
    <n v="9"/>
    <n v="56"/>
    <n v="0.9"/>
    <n v="0"/>
    <n v="0"/>
  </r>
  <r>
    <x v="9927"/>
    <n v="9"/>
    <n v="56"/>
    <n v="65"/>
    <n v="15"/>
    <n v="18"/>
    <x v="12"/>
    <n v="20"/>
    <n v="7"/>
    <n v="53"/>
    <n v="0.70000000000000007"/>
    <n v="0"/>
    <n v="0"/>
  </r>
  <r>
    <x v="9928"/>
    <n v="7"/>
    <n v="53"/>
    <n v="60"/>
    <n v="20"/>
    <n v="17"/>
    <x v="32"/>
    <n v="16"/>
    <n v="8"/>
    <n v="56"/>
    <n v="0.8"/>
    <n v="0"/>
    <n v="0"/>
  </r>
  <r>
    <x v="9929"/>
    <n v="8"/>
    <n v="56"/>
    <n v="64"/>
    <n v="16"/>
    <n v="21"/>
    <x v="9"/>
    <n v="21"/>
    <n v="8"/>
    <n v="51"/>
    <n v="0.8"/>
    <n v="0"/>
    <n v="0"/>
  </r>
  <r>
    <x v="9930"/>
    <n v="8"/>
    <n v="51"/>
    <n v="59"/>
    <n v="21"/>
    <n v="15"/>
    <x v="24"/>
    <n v="21"/>
    <n v="2"/>
    <n v="57"/>
    <n v="0.2"/>
    <n v="0"/>
    <n v="0"/>
  </r>
  <r>
    <x v="9931"/>
    <n v="2"/>
    <n v="57"/>
    <n v="59"/>
    <n v="21"/>
    <n v="20"/>
    <x v="28"/>
    <n v="18"/>
    <n v="4"/>
    <n v="58"/>
    <n v="0.4"/>
    <n v="0"/>
    <n v="0"/>
  </r>
  <r>
    <x v="9932"/>
    <n v="4"/>
    <n v="58"/>
    <n v="62"/>
    <n v="18"/>
    <n v="16"/>
    <x v="4"/>
    <n v="19"/>
    <n v="1"/>
    <n v="60"/>
    <n v="0.1"/>
    <n v="0"/>
    <n v="0"/>
  </r>
  <r>
    <x v="9933"/>
    <n v="1"/>
    <n v="60"/>
    <n v="61"/>
    <n v="19"/>
    <n v="21"/>
    <x v="28"/>
    <n v="21"/>
    <n v="1"/>
    <n v="58"/>
    <n v="0.1"/>
    <n v="0"/>
    <n v="0"/>
  </r>
  <r>
    <x v="9934"/>
    <n v="1"/>
    <n v="58"/>
    <n v="59"/>
    <n v="21"/>
    <n v="21"/>
    <x v="28"/>
    <n v="17"/>
    <n v="5"/>
    <n v="58"/>
    <n v="0.5"/>
    <n v="0"/>
    <n v="0"/>
  </r>
  <r>
    <x v="9935"/>
    <n v="5"/>
    <n v="58"/>
    <n v="63"/>
    <n v="17"/>
    <n v="18"/>
    <x v="24"/>
    <n v="16"/>
    <n v="7"/>
    <n v="57"/>
    <n v="0.70000000000000007"/>
    <n v="0"/>
    <n v="0"/>
  </r>
  <r>
    <x v="9936"/>
    <n v="7"/>
    <n v="57"/>
    <n v="64"/>
    <n v="16"/>
    <n v="19"/>
    <x v="16"/>
    <n v="14"/>
    <n v="12"/>
    <n v="54"/>
    <n v="1.2000000000000002"/>
    <n v="0"/>
    <n v="0"/>
  </r>
  <r>
    <x v="9937"/>
    <n v="12"/>
    <n v="54"/>
    <n v="66"/>
    <n v="14"/>
    <n v="21"/>
    <x v="14"/>
    <n v="27"/>
    <n v="6"/>
    <n v="47"/>
    <n v="0.60000000000000009"/>
    <n v="0"/>
    <n v="0"/>
  </r>
  <r>
    <x v="9938"/>
    <n v="6"/>
    <n v="47"/>
    <n v="53"/>
    <n v="27"/>
    <n v="17"/>
    <x v="24"/>
    <n v="19"/>
    <n v="4"/>
    <n v="57"/>
    <n v="0.4"/>
    <n v="0"/>
    <n v="0"/>
  </r>
  <r>
    <x v="9939"/>
    <n v="4"/>
    <n v="57"/>
    <n v="61"/>
    <n v="19"/>
    <n v="16"/>
    <x v="4"/>
    <n v="26"/>
    <n v="-6"/>
    <n v="60"/>
    <n v="0"/>
    <n v="1"/>
    <n v="6"/>
  </r>
  <r>
    <x v="9940"/>
    <n v="-6"/>
    <n v="60"/>
    <n v="54"/>
    <n v="26"/>
    <n v="14"/>
    <x v="29"/>
    <n v="28"/>
    <n v="-20"/>
    <n v="72"/>
    <n v="0"/>
    <n v="1"/>
    <n v="20"/>
  </r>
  <r>
    <x v="9941"/>
    <n v="-20"/>
    <n v="72"/>
    <n v="52"/>
    <n v="28"/>
    <n v="27"/>
    <x v="31"/>
    <n v="19"/>
    <n v="-12"/>
    <n v="73"/>
    <n v="0"/>
    <n v="1"/>
    <n v="12"/>
  </r>
  <r>
    <x v="9942"/>
    <n v="-12"/>
    <n v="73"/>
    <n v="61"/>
    <n v="19"/>
    <n v="19"/>
    <x v="31"/>
    <n v="18"/>
    <n v="-11"/>
    <n v="73"/>
    <n v="0"/>
    <n v="1"/>
    <n v="11"/>
  </r>
  <r>
    <x v="9943"/>
    <n v="-11"/>
    <n v="73"/>
    <n v="62"/>
    <n v="18"/>
    <n v="26"/>
    <x v="26"/>
    <n v="12"/>
    <n v="3"/>
    <n v="65"/>
    <n v="0.30000000000000004"/>
    <n v="0"/>
    <n v="0"/>
  </r>
  <r>
    <x v="9944"/>
    <n v="3"/>
    <n v="65"/>
    <n v="68"/>
    <n v="12"/>
    <n v="28"/>
    <x v="10"/>
    <n v="20"/>
    <n v="11"/>
    <n v="49"/>
    <n v="1.1000000000000001"/>
    <n v="0"/>
    <n v="0"/>
  </r>
  <r>
    <x v="9945"/>
    <n v="11"/>
    <n v="49"/>
    <n v="60"/>
    <n v="20"/>
    <n v="19"/>
    <x v="13"/>
    <n v="24"/>
    <n v="6"/>
    <n v="50"/>
    <n v="0.60000000000000009"/>
    <n v="0"/>
    <n v="0"/>
  </r>
  <r>
    <x v="9946"/>
    <n v="6"/>
    <n v="50"/>
    <n v="56"/>
    <n v="24"/>
    <n v="18"/>
    <x v="32"/>
    <n v="18"/>
    <n v="6"/>
    <n v="56"/>
    <n v="0.60000000000000009"/>
    <n v="0"/>
    <n v="0"/>
  </r>
  <r>
    <x v="9947"/>
    <n v="6"/>
    <n v="56"/>
    <n v="62"/>
    <n v="18"/>
    <n v="12"/>
    <x v="33"/>
    <n v="19"/>
    <n v="-1"/>
    <n v="62"/>
    <n v="0"/>
    <n v="1"/>
    <n v="1"/>
  </r>
  <r>
    <x v="9948"/>
    <n v="-1"/>
    <n v="62"/>
    <n v="61"/>
    <n v="19"/>
    <n v="20"/>
    <x v="23"/>
    <n v="17"/>
    <n v="2"/>
    <n v="61"/>
    <n v="0.2"/>
    <n v="0"/>
    <n v="0"/>
  </r>
  <r>
    <x v="9949"/>
    <n v="2"/>
    <n v="61"/>
    <n v="63"/>
    <n v="17"/>
    <n v="24"/>
    <x v="16"/>
    <n v="19"/>
    <n v="7"/>
    <n v="54"/>
    <n v="0.70000000000000007"/>
    <n v="0"/>
    <n v="0"/>
  </r>
  <r>
    <x v="9950"/>
    <n v="7"/>
    <n v="54"/>
    <n v="61"/>
    <n v="19"/>
    <n v="18"/>
    <x v="27"/>
    <n v="21"/>
    <n v="4"/>
    <n v="55"/>
    <n v="0.4"/>
    <n v="0"/>
    <n v="0"/>
  </r>
  <r>
    <x v="9951"/>
    <n v="4"/>
    <n v="55"/>
    <n v="59"/>
    <n v="21"/>
    <n v="19"/>
    <x v="24"/>
    <n v="29"/>
    <n v="-6"/>
    <n v="57"/>
    <n v="0"/>
    <n v="1"/>
    <n v="6"/>
  </r>
  <r>
    <x v="9952"/>
    <n v="-6"/>
    <n v="57"/>
    <n v="51"/>
    <n v="29"/>
    <n v="17"/>
    <x v="30"/>
    <n v="25"/>
    <n v="-14"/>
    <n v="69"/>
    <n v="0"/>
    <n v="1"/>
    <n v="14"/>
  </r>
  <r>
    <x v="9953"/>
    <n v="-14"/>
    <n v="69"/>
    <n v="55"/>
    <n v="25"/>
    <n v="19"/>
    <x v="44"/>
    <n v="18"/>
    <n v="-13"/>
    <n v="75"/>
    <n v="0"/>
    <n v="1"/>
    <n v="13"/>
  </r>
  <r>
    <x v="9954"/>
    <n v="-13"/>
    <n v="75"/>
    <n v="62"/>
    <n v="18"/>
    <n v="21"/>
    <x v="29"/>
    <n v="17"/>
    <n v="-9"/>
    <n v="72"/>
    <n v="0"/>
    <n v="1"/>
    <n v="9"/>
  </r>
  <r>
    <x v="9955"/>
    <n v="-9"/>
    <n v="72"/>
    <n v="63"/>
    <n v="17"/>
    <n v="29"/>
    <x v="4"/>
    <n v="19"/>
    <n v="1"/>
    <n v="60"/>
    <n v="0.1"/>
    <n v="0"/>
    <n v="0"/>
  </r>
  <r>
    <x v="9956"/>
    <n v="1"/>
    <n v="60"/>
    <n v="61"/>
    <n v="19"/>
    <n v="25"/>
    <x v="16"/>
    <n v="17"/>
    <n v="9"/>
    <n v="54"/>
    <n v="0.9"/>
    <n v="0"/>
    <n v="0"/>
  </r>
  <r>
    <x v="9957"/>
    <n v="9"/>
    <n v="54"/>
    <n v="63"/>
    <n v="17"/>
    <n v="18"/>
    <x v="12"/>
    <n v="14"/>
    <n v="13"/>
    <n v="53"/>
    <n v="1.3"/>
    <n v="0"/>
    <n v="0"/>
  </r>
  <r>
    <x v="9958"/>
    <n v="13"/>
    <n v="53"/>
    <n v="66"/>
    <n v="14"/>
    <n v="17"/>
    <x v="13"/>
    <n v="25"/>
    <n v="5"/>
    <n v="50"/>
    <n v="0.5"/>
    <n v="0"/>
    <n v="0"/>
  </r>
  <r>
    <x v="9959"/>
    <n v="5"/>
    <n v="50"/>
    <n v="55"/>
    <n v="25"/>
    <n v="19"/>
    <x v="32"/>
    <n v="12"/>
    <n v="12"/>
    <n v="56"/>
    <n v="1.2000000000000002"/>
    <n v="0"/>
    <n v="0"/>
  </r>
  <r>
    <x v="9960"/>
    <n v="12"/>
    <n v="56"/>
    <n v="68"/>
    <n v="12"/>
    <n v="17"/>
    <x v="9"/>
    <n v="20"/>
    <n v="9"/>
    <n v="51"/>
    <n v="0.9"/>
    <n v="0"/>
    <n v="0"/>
  </r>
  <r>
    <x v="9961"/>
    <n v="9"/>
    <n v="51"/>
    <n v="60"/>
    <n v="20"/>
    <n v="14"/>
    <x v="24"/>
    <n v="10"/>
    <n v="13"/>
    <n v="57"/>
    <n v="1.3"/>
    <n v="0"/>
    <n v="0"/>
  </r>
  <r>
    <x v="9962"/>
    <n v="13"/>
    <n v="57"/>
    <n v="70"/>
    <n v="10"/>
    <n v="25"/>
    <x v="40"/>
    <n v="30"/>
    <n v="8"/>
    <n v="42"/>
    <n v="0.8"/>
    <n v="0"/>
    <n v="0"/>
  </r>
  <r>
    <x v="9963"/>
    <n v="8"/>
    <n v="42"/>
    <n v="50"/>
    <n v="30"/>
    <n v="12"/>
    <x v="4"/>
    <n v="27"/>
    <n v="-7"/>
    <n v="60"/>
    <n v="0"/>
    <n v="1"/>
    <n v="7"/>
  </r>
  <r>
    <x v="9964"/>
    <n v="-7"/>
    <n v="60"/>
    <n v="53"/>
    <n v="27"/>
    <n v="20"/>
    <x v="21"/>
    <n v="18"/>
    <n v="-5"/>
    <n v="67"/>
    <n v="0"/>
    <n v="1"/>
    <n v="5"/>
  </r>
  <r>
    <x v="9965"/>
    <n v="-5"/>
    <n v="67"/>
    <n v="62"/>
    <n v="18"/>
    <n v="10"/>
    <x v="44"/>
    <n v="22"/>
    <n v="-17"/>
    <n v="75"/>
    <n v="0"/>
    <n v="1"/>
    <n v="17"/>
  </r>
  <r>
    <x v="9966"/>
    <n v="-17"/>
    <n v="75"/>
    <n v="58"/>
    <n v="22"/>
    <n v="30"/>
    <x v="21"/>
    <n v="18"/>
    <n v="-5"/>
    <n v="67"/>
    <n v="0"/>
    <n v="1"/>
    <n v="5"/>
  </r>
  <r>
    <x v="9967"/>
    <n v="-5"/>
    <n v="67"/>
    <n v="62"/>
    <n v="18"/>
    <n v="27"/>
    <x v="28"/>
    <n v="16"/>
    <n v="6"/>
    <n v="58"/>
    <n v="0.60000000000000009"/>
    <n v="0"/>
    <n v="0"/>
  </r>
  <r>
    <x v="9968"/>
    <n v="6"/>
    <n v="58"/>
    <n v="64"/>
    <n v="16"/>
    <n v="18"/>
    <x v="32"/>
    <n v="18"/>
    <n v="6"/>
    <n v="56"/>
    <n v="0.60000000000000009"/>
    <n v="0"/>
    <n v="0"/>
  </r>
  <r>
    <x v="9969"/>
    <n v="6"/>
    <n v="56"/>
    <n v="62"/>
    <n v="18"/>
    <n v="22"/>
    <x v="25"/>
    <n v="18"/>
    <n v="10"/>
    <n v="52"/>
    <n v="1"/>
    <n v="0"/>
    <n v="0"/>
  </r>
  <r>
    <x v="9970"/>
    <n v="10"/>
    <n v="52"/>
    <n v="62"/>
    <n v="18"/>
    <n v="18"/>
    <x v="25"/>
    <n v="21"/>
    <n v="7"/>
    <n v="52"/>
    <n v="0.70000000000000007"/>
    <n v="0"/>
    <n v="0"/>
  </r>
  <r>
    <x v="9971"/>
    <n v="7"/>
    <n v="52"/>
    <n v="59"/>
    <n v="21"/>
    <n v="16"/>
    <x v="24"/>
    <n v="25"/>
    <n v="-2"/>
    <n v="57"/>
    <n v="0"/>
    <n v="1"/>
    <n v="2"/>
  </r>
  <r>
    <x v="9972"/>
    <n v="-2"/>
    <n v="57"/>
    <n v="55"/>
    <n v="25"/>
    <n v="18"/>
    <x v="8"/>
    <n v="20"/>
    <n v="-4"/>
    <n v="64"/>
    <n v="0"/>
    <n v="1"/>
    <n v="4"/>
  </r>
  <r>
    <x v="9973"/>
    <n v="-4"/>
    <n v="64"/>
    <n v="60"/>
    <n v="20"/>
    <n v="18"/>
    <x v="7"/>
    <n v="21"/>
    <n v="-7"/>
    <n v="66"/>
    <n v="0"/>
    <n v="1"/>
    <n v="7"/>
  </r>
  <r>
    <x v="9974"/>
    <n v="-7"/>
    <n v="66"/>
    <n v="59"/>
    <n v="21"/>
    <n v="21"/>
    <x v="7"/>
    <n v="22"/>
    <n v="-8"/>
    <n v="66"/>
    <n v="0"/>
    <n v="1"/>
    <n v="8"/>
  </r>
  <r>
    <x v="9975"/>
    <n v="-8"/>
    <n v="66"/>
    <n v="58"/>
    <n v="22"/>
    <n v="25"/>
    <x v="22"/>
    <n v="20"/>
    <n v="-3"/>
    <n v="63"/>
    <n v="0"/>
    <n v="1"/>
    <n v="3"/>
  </r>
  <r>
    <x v="9976"/>
    <n v="-3"/>
    <n v="63"/>
    <n v="60"/>
    <n v="20"/>
    <n v="20"/>
    <x v="22"/>
    <n v="15"/>
    <n v="2"/>
    <n v="63"/>
    <n v="0.2"/>
    <n v="0"/>
    <n v="0"/>
  </r>
  <r>
    <x v="9977"/>
    <n v="2"/>
    <n v="63"/>
    <n v="65"/>
    <n v="15"/>
    <n v="21"/>
    <x v="24"/>
    <n v="20"/>
    <n v="3"/>
    <n v="57"/>
    <n v="0.30000000000000004"/>
    <n v="0"/>
    <n v="0"/>
  </r>
  <r>
    <x v="9978"/>
    <n v="3"/>
    <n v="57"/>
    <n v="60"/>
    <n v="20"/>
    <n v="22"/>
    <x v="27"/>
    <n v="21"/>
    <n v="4"/>
    <n v="55"/>
    <n v="0.4"/>
    <n v="0"/>
    <n v="0"/>
  </r>
  <r>
    <x v="9979"/>
    <n v="4"/>
    <n v="55"/>
    <n v="59"/>
    <n v="21"/>
    <n v="20"/>
    <x v="32"/>
    <n v="20"/>
    <n v="4"/>
    <n v="56"/>
    <n v="0.4"/>
    <n v="0"/>
    <n v="0"/>
  </r>
  <r>
    <x v="9980"/>
    <n v="4"/>
    <n v="56"/>
    <n v="60"/>
    <n v="20"/>
    <n v="15"/>
    <x v="23"/>
    <n v="22"/>
    <n v="-3"/>
    <n v="61"/>
    <n v="0"/>
    <n v="1"/>
    <n v="3"/>
  </r>
  <r>
    <x v="9981"/>
    <n v="-3"/>
    <n v="61"/>
    <n v="58"/>
    <n v="22"/>
    <n v="20"/>
    <x v="22"/>
    <n v="13"/>
    <n v="4"/>
    <n v="63"/>
    <n v="0.4"/>
    <n v="0"/>
    <n v="0"/>
  </r>
  <r>
    <x v="9982"/>
    <n v="4"/>
    <n v="63"/>
    <n v="67"/>
    <n v="13"/>
    <n v="21"/>
    <x v="27"/>
    <n v="18"/>
    <n v="7"/>
    <n v="55"/>
    <n v="0.70000000000000007"/>
    <n v="0"/>
    <n v="0"/>
  </r>
  <r>
    <x v="9983"/>
    <n v="7"/>
    <n v="55"/>
    <n v="62"/>
    <n v="18"/>
    <n v="20"/>
    <x v="12"/>
    <n v="14"/>
    <n v="13"/>
    <n v="53"/>
    <n v="1.3"/>
    <n v="0"/>
    <n v="0"/>
  </r>
  <r>
    <x v="9984"/>
    <n v="13"/>
    <n v="53"/>
    <n v="66"/>
    <n v="14"/>
    <n v="22"/>
    <x v="11"/>
    <n v="15"/>
    <n v="20"/>
    <n v="45"/>
    <n v="2"/>
    <n v="0"/>
    <n v="0"/>
  </r>
  <r>
    <x v="9985"/>
    <n v="20"/>
    <n v="45"/>
    <n v="65"/>
    <n v="15"/>
    <n v="13"/>
    <x v="14"/>
    <n v="21"/>
    <n v="12"/>
    <n v="47"/>
    <n v="1.2000000000000002"/>
    <n v="0"/>
    <n v="0"/>
  </r>
  <r>
    <x v="9986"/>
    <n v="12"/>
    <n v="47"/>
    <n v="59"/>
    <n v="21"/>
    <n v="18"/>
    <x v="13"/>
    <n v="19"/>
    <n v="11"/>
    <n v="50"/>
    <n v="1.1000000000000001"/>
    <n v="0"/>
    <n v="0"/>
  </r>
  <r>
    <x v="9987"/>
    <n v="11"/>
    <n v="50"/>
    <n v="61"/>
    <n v="19"/>
    <n v="14"/>
    <x v="27"/>
    <n v="17"/>
    <n v="8"/>
    <n v="55"/>
    <n v="0.8"/>
    <n v="0"/>
    <n v="0"/>
  </r>
  <r>
    <x v="9988"/>
    <n v="8"/>
    <n v="55"/>
    <n v="63"/>
    <n v="17"/>
    <n v="15"/>
    <x v="24"/>
    <n v="23"/>
    <n v="0"/>
    <n v="57"/>
    <n v="0"/>
    <n v="0"/>
    <n v="0"/>
  </r>
  <r>
    <x v="9989"/>
    <n v="0"/>
    <n v="57"/>
    <n v="57"/>
    <n v="23"/>
    <n v="21"/>
    <x v="5"/>
    <n v="24"/>
    <n v="-3"/>
    <n v="59"/>
    <n v="0"/>
    <n v="1"/>
    <n v="3"/>
  </r>
  <r>
    <x v="9990"/>
    <n v="-3"/>
    <n v="59"/>
    <n v="56"/>
    <n v="24"/>
    <n v="19"/>
    <x v="8"/>
    <n v="22"/>
    <n v="-6"/>
    <n v="64"/>
    <n v="0"/>
    <n v="1"/>
    <n v="6"/>
  </r>
  <r>
    <x v="9991"/>
    <n v="-6"/>
    <n v="64"/>
    <n v="58"/>
    <n v="22"/>
    <n v="17"/>
    <x v="30"/>
    <n v="19"/>
    <n v="-8"/>
    <n v="69"/>
    <n v="0"/>
    <n v="1"/>
    <n v="8"/>
  </r>
  <r>
    <x v="9992"/>
    <n v="-8"/>
    <n v="69"/>
    <n v="61"/>
    <n v="19"/>
    <n v="23"/>
    <x v="26"/>
    <n v="19"/>
    <n v="-4"/>
    <n v="65"/>
    <n v="0"/>
    <n v="1"/>
    <n v="4"/>
  </r>
  <r>
    <x v="9993"/>
    <n v="-4"/>
    <n v="65"/>
    <n v="61"/>
    <n v="19"/>
    <n v="24"/>
    <x v="4"/>
    <n v="25"/>
    <n v="-5"/>
    <n v="60"/>
    <n v="0"/>
    <n v="1"/>
    <n v="5"/>
  </r>
  <r>
    <x v="9994"/>
    <n v="-5"/>
    <n v="60"/>
    <n v="55"/>
    <n v="25"/>
    <n v="22"/>
    <x v="22"/>
    <n v="22"/>
    <n v="-5"/>
    <n v="63"/>
    <n v="0"/>
    <n v="1"/>
    <n v="5"/>
  </r>
  <r>
    <x v="9995"/>
    <n v="-5"/>
    <n v="63"/>
    <n v="58"/>
    <n v="22"/>
    <n v="19"/>
    <x v="7"/>
    <n v="21"/>
    <n v="-7"/>
    <n v="66"/>
    <n v="0"/>
    <n v="1"/>
    <n v="7"/>
  </r>
  <r>
    <x v="9996"/>
    <n v="-7"/>
    <n v="66"/>
    <n v="59"/>
    <n v="21"/>
    <n v="19"/>
    <x v="17"/>
    <n v="18"/>
    <n v="-6"/>
    <n v="68"/>
    <n v="0"/>
    <n v="1"/>
    <n v="6"/>
  </r>
  <r>
    <x v="9997"/>
    <n v="-6"/>
    <n v="68"/>
    <n v="62"/>
    <n v="18"/>
    <n v="25"/>
    <x v="23"/>
    <n v="20"/>
    <n v="-1"/>
    <n v="61"/>
    <n v="0"/>
    <n v="1"/>
    <n v="1"/>
  </r>
  <r>
    <x v="9998"/>
    <n v="-1"/>
    <n v="61"/>
    <n v="60"/>
    <n v="20"/>
    <n v="22"/>
    <x v="5"/>
    <n v="22"/>
    <n v="-1"/>
    <n v="59"/>
    <n v="0"/>
    <n v="1"/>
    <n v="1"/>
  </r>
  <r>
    <x v="9999"/>
    <n v="-1"/>
    <n v="59"/>
    <n v="58"/>
    <n v="22"/>
    <n v="21"/>
    <x v="4"/>
    <n v="17"/>
    <n v="3"/>
    <n v="60"/>
    <n v="0.30000000000000004"/>
    <n v="0"/>
    <n v="0"/>
  </r>
  <r>
    <x v="10000"/>
    <n v="3"/>
    <n v="60"/>
    <n v="63"/>
    <n v="17"/>
    <n v="18"/>
    <x v="5"/>
    <n v="14"/>
    <n v="7"/>
    <n v="59"/>
    <n v="0.70000000000000007"/>
    <n v="0"/>
    <n v="0"/>
  </r>
  <r>
    <x v="10001"/>
    <n v="7"/>
    <n v="59"/>
    <n v="66"/>
    <n v="14"/>
    <n v="20"/>
    <x v="12"/>
    <n v="25"/>
    <n v="2"/>
    <n v="53"/>
    <n v="0.2"/>
    <n v="0"/>
    <n v="0"/>
  </r>
  <r>
    <x v="10002"/>
    <n v="2"/>
    <n v="53"/>
    <n v="55"/>
    <n v="25"/>
    <n v="22"/>
    <x v="32"/>
    <n v="19"/>
    <n v="5"/>
    <n v="56"/>
    <n v="0.5"/>
    <n v="0"/>
    <n v="0"/>
  </r>
  <r>
    <x v="10003"/>
    <n v="5"/>
    <n v="56"/>
    <n v="61"/>
    <n v="19"/>
    <n v="17"/>
    <x v="28"/>
    <n v="13"/>
    <n v="9"/>
    <n v="58"/>
    <n v="0.9"/>
    <n v="0"/>
    <n v="0"/>
  </r>
  <r>
    <x v="10004"/>
    <n v="9"/>
    <n v="58"/>
    <n v="67"/>
    <n v="13"/>
    <n v="14"/>
    <x v="24"/>
    <n v="19"/>
    <n v="4"/>
    <n v="57"/>
    <n v="0.4"/>
    <n v="0"/>
    <n v="0"/>
  </r>
  <r>
    <x v="10005"/>
    <n v="4"/>
    <n v="57"/>
    <n v="61"/>
    <n v="19"/>
    <n v="25"/>
    <x v="9"/>
    <n v="19"/>
    <n v="10"/>
    <n v="51"/>
    <n v="1"/>
    <n v="0"/>
    <n v="0"/>
  </r>
  <r>
    <x v="10006"/>
    <n v="10"/>
    <n v="51"/>
    <n v="61"/>
    <n v="19"/>
    <n v="19"/>
    <x v="9"/>
    <n v="18"/>
    <n v="11"/>
    <n v="51"/>
    <n v="1.1000000000000001"/>
    <n v="0"/>
    <n v="0"/>
  </r>
  <r>
    <x v="10007"/>
    <n v="11"/>
    <n v="51"/>
    <n v="62"/>
    <n v="18"/>
    <n v="13"/>
    <x v="32"/>
    <n v="13"/>
    <n v="11"/>
    <n v="56"/>
    <n v="1.1000000000000001"/>
    <n v="0"/>
    <n v="0"/>
  </r>
  <r>
    <x v="10008"/>
    <n v="11"/>
    <n v="56"/>
    <n v="67"/>
    <n v="13"/>
    <n v="19"/>
    <x v="13"/>
    <n v="17"/>
    <n v="13"/>
    <n v="50"/>
    <n v="1.3"/>
    <n v="0"/>
    <n v="0"/>
  </r>
  <r>
    <x v="10009"/>
    <n v="13"/>
    <n v="50"/>
    <n v="63"/>
    <n v="17"/>
    <n v="19"/>
    <x v="15"/>
    <n v="13"/>
    <n v="19"/>
    <n v="48"/>
    <n v="1.9000000000000001"/>
    <n v="0"/>
    <n v="0"/>
  </r>
  <r>
    <x v="10010"/>
    <n v="19"/>
    <n v="48"/>
    <n v="67"/>
    <n v="13"/>
    <n v="18"/>
    <x v="51"/>
    <n v="13"/>
    <n v="24"/>
    <n v="43"/>
    <n v="2.4000000000000004"/>
    <n v="0"/>
    <n v="0"/>
  </r>
  <r>
    <x v="10011"/>
    <n v="24"/>
    <n v="43"/>
    <n v="67"/>
    <n v="13"/>
    <n v="13"/>
    <x v="51"/>
    <n v="17"/>
    <n v="20"/>
    <n v="43"/>
    <n v="2"/>
    <n v="0"/>
    <n v="0"/>
  </r>
  <r>
    <x v="10012"/>
    <n v="20"/>
    <n v="43"/>
    <n v="63"/>
    <n v="17"/>
    <n v="17"/>
    <x v="51"/>
    <n v="20"/>
    <n v="17"/>
    <n v="43"/>
    <n v="1.7000000000000002"/>
    <n v="0"/>
    <n v="0"/>
  </r>
  <r>
    <x v="10013"/>
    <n v="17"/>
    <n v="43"/>
    <n v="60"/>
    <n v="20"/>
    <n v="13"/>
    <x v="13"/>
    <n v="16"/>
    <n v="14"/>
    <n v="50"/>
    <n v="1.4000000000000001"/>
    <n v="0"/>
    <n v="0"/>
  </r>
  <r>
    <x v="10014"/>
    <n v="14"/>
    <n v="50"/>
    <n v="64"/>
    <n v="16"/>
    <n v="13"/>
    <x v="12"/>
    <n v="17"/>
    <n v="10"/>
    <n v="53"/>
    <n v="1"/>
    <n v="0"/>
    <n v="0"/>
  </r>
  <r>
    <x v="10015"/>
    <n v="10"/>
    <n v="53"/>
    <n v="63"/>
    <n v="17"/>
    <n v="17"/>
    <x v="12"/>
    <n v="19"/>
    <n v="8"/>
    <n v="53"/>
    <n v="0.8"/>
    <n v="0"/>
    <n v="0"/>
  </r>
  <r>
    <x v="10016"/>
    <n v="8"/>
    <n v="53"/>
    <n v="61"/>
    <n v="19"/>
    <n v="20"/>
    <x v="25"/>
    <n v="22"/>
    <n v="6"/>
    <n v="52"/>
    <n v="0.60000000000000009"/>
    <n v="0"/>
    <n v="0"/>
  </r>
  <r>
    <x v="10017"/>
    <n v="6"/>
    <n v="52"/>
    <n v="58"/>
    <n v="22"/>
    <n v="16"/>
    <x v="28"/>
    <n v="24"/>
    <n v="-2"/>
    <n v="58"/>
    <n v="0"/>
    <n v="1"/>
    <n v="2"/>
  </r>
  <r>
    <x v="10018"/>
    <n v="-2"/>
    <n v="58"/>
    <n v="56"/>
    <n v="24"/>
    <n v="17"/>
    <x v="26"/>
    <n v="21"/>
    <n v="-6"/>
    <n v="65"/>
    <n v="0"/>
    <n v="1"/>
    <n v="6"/>
  </r>
  <r>
    <x v="10019"/>
    <n v="-6"/>
    <n v="65"/>
    <n v="59"/>
    <n v="21"/>
    <n v="19"/>
    <x v="21"/>
    <n v="22"/>
    <n v="-9"/>
    <n v="67"/>
    <n v="0"/>
    <n v="1"/>
    <n v="9"/>
  </r>
  <r>
    <x v="10020"/>
    <n v="-9"/>
    <n v="67"/>
    <n v="58"/>
    <n v="22"/>
    <n v="22"/>
    <x v="21"/>
    <n v="11"/>
    <n v="2"/>
    <n v="67"/>
    <n v="0.2"/>
    <n v="0"/>
    <n v="0"/>
  </r>
  <r>
    <x v="10021"/>
    <n v="2"/>
    <n v="67"/>
    <n v="69"/>
    <n v="11"/>
    <n v="24"/>
    <x v="16"/>
    <n v="17"/>
    <n v="9"/>
    <n v="54"/>
    <n v="0.9"/>
    <n v="0"/>
    <n v="0"/>
  </r>
  <r>
    <x v="10022"/>
    <n v="9"/>
    <n v="54"/>
    <n v="63"/>
    <n v="17"/>
    <n v="21"/>
    <x v="13"/>
    <n v="25"/>
    <n v="5"/>
    <n v="50"/>
    <n v="0.5"/>
    <n v="0"/>
    <n v="0"/>
  </r>
  <r>
    <x v="10023"/>
    <n v="5"/>
    <n v="50"/>
    <n v="55"/>
    <n v="25"/>
    <n v="22"/>
    <x v="12"/>
    <n v="13"/>
    <n v="14"/>
    <n v="53"/>
    <n v="1.4000000000000001"/>
    <n v="0"/>
    <n v="0"/>
  </r>
  <r>
    <x v="10024"/>
    <n v="14"/>
    <n v="53"/>
    <n v="67"/>
    <n v="13"/>
    <n v="11"/>
    <x v="27"/>
    <n v="21"/>
    <n v="4"/>
    <n v="55"/>
    <n v="0.4"/>
    <n v="0"/>
    <n v="0"/>
  </r>
  <r>
    <x v="10025"/>
    <n v="4"/>
    <n v="55"/>
    <n v="59"/>
    <n v="21"/>
    <n v="17"/>
    <x v="5"/>
    <n v="20"/>
    <n v="1"/>
    <n v="59"/>
    <n v="0.1"/>
    <n v="0"/>
    <n v="0"/>
  </r>
  <r>
    <x v="10026"/>
    <n v="1"/>
    <n v="59"/>
    <n v="60"/>
    <n v="20"/>
    <n v="25"/>
    <x v="16"/>
    <n v="17"/>
    <n v="9"/>
    <n v="54"/>
    <n v="0.9"/>
    <n v="0"/>
    <n v="0"/>
  </r>
  <r>
    <x v="10027"/>
    <n v="9"/>
    <n v="54"/>
    <n v="63"/>
    <n v="17"/>
    <n v="13"/>
    <x v="28"/>
    <n v="33"/>
    <n v="-11"/>
    <n v="58"/>
    <n v="0"/>
    <n v="1"/>
    <n v="11"/>
  </r>
  <r>
    <x v="10028"/>
    <n v="-11"/>
    <n v="58"/>
    <n v="47"/>
    <n v="33"/>
    <n v="21"/>
    <x v="6"/>
    <n v="15"/>
    <n v="-5"/>
    <n v="70"/>
    <n v="0"/>
    <n v="1"/>
    <n v="5"/>
  </r>
  <r>
    <x v="10029"/>
    <n v="-5"/>
    <n v="70"/>
    <n v="65"/>
    <n v="15"/>
    <n v="20"/>
    <x v="26"/>
    <n v="21"/>
    <n v="-6"/>
    <n v="65"/>
    <n v="0"/>
    <n v="1"/>
    <n v="6"/>
  </r>
  <r>
    <x v="10030"/>
    <n v="-6"/>
    <n v="65"/>
    <n v="59"/>
    <n v="21"/>
    <n v="17"/>
    <x v="30"/>
    <n v="15"/>
    <n v="-4"/>
    <n v="69"/>
    <n v="0"/>
    <n v="1"/>
    <n v="4"/>
  </r>
  <r>
    <x v="10031"/>
    <n v="-4"/>
    <n v="69"/>
    <n v="65"/>
    <n v="15"/>
    <n v="33"/>
    <x v="9"/>
    <n v="14"/>
    <n v="15"/>
    <n v="51"/>
    <n v="1.5"/>
    <n v="0"/>
    <n v="0"/>
  </r>
  <r>
    <x v="10032"/>
    <n v="15"/>
    <n v="51"/>
    <n v="66"/>
    <n v="14"/>
    <n v="15"/>
    <x v="13"/>
    <n v="23"/>
    <n v="7"/>
    <n v="50"/>
    <n v="0.70000000000000007"/>
    <n v="0"/>
    <n v="0"/>
  </r>
  <r>
    <x v="10033"/>
    <n v="7"/>
    <n v="50"/>
    <n v="57"/>
    <n v="23"/>
    <n v="21"/>
    <x v="25"/>
    <n v="20"/>
    <n v="8"/>
    <n v="52"/>
    <n v="0.8"/>
    <n v="0"/>
    <n v="0"/>
  </r>
  <r>
    <x v="10034"/>
    <n v="8"/>
    <n v="52"/>
    <n v="60"/>
    <n v="20"/>
    <n v="15"/>
    <x v="24"/>
    <n v="15"/>
    <n v="8"/>
    <n v="57"/>
    <n v="0.8"/>
    <n v="0"/>
    <n v="0"/>
  </r>
  <r>
    <x v="10035"/>
    <n v="8"/>
    <n v="57"/>
    <n v="65"/>
    <n v="15"/>
    <n v="14"/>
    <x v="28"/>
    <n v="18"/>
    <n v="4"/>
    <n v="58"/>
    <n v="0.4"/>
    <n v="0"/>
    <n v="0"/>
  </r>
  <r>
    <x v="10036"/>
    <n v="4"/>
    <n v="58"/>
    <n v="62"/>
    <n v="18"/>
    <n v="23"/>
    <x v="12"/>
    <n v="18"/>
    <n v="9"/>
    <n v="53"/>
    <n v="0.9"/>
    <n v="0"/>
    <n v="0"/>
  </r>
  <r>
    <x v="10037"/>
    <n v="9"/>
    <n v="53"/>
    <n v="62"/>
    <n v="18"/>
    <n v="20"/>
    <x v="9"/>
    <n v="19"/>
    <n v="10"/>
    <n v="51"/>
    <n v="1"/>
    <n v="0"/>
    <n v="0"/>
  </r>
  <r>
    <x v="10038"/>
    <n v="10"/>
    <n v="51"/>
    <n v="61"/>
    <n v="19"/>
    <n v="15"/>
    <x v="27"/>
    <n v="20"/>
    <n v="5"/>
    <n v="55"/>
    <n v="0.5"/>
    <n v="0"/>
    <n v="0"/>
  </r>
  <r>
    <x v="10039"/>
    <n v="5"/>
    <n v="55"/>
    <n v="60"/>
    <n v="20"/>
    <n v="18"/>
    <x v="24"/>
    <n v="10"/>
    <n v="13"/>
    <n v="57"/>
    <n v="1.3"/>
    <n v="0"/>
    <n v="0"/>
  </r>
  <r>
    <x v="10040"/>
    <n v="13"/>
    <n v="57"/>
    <n v="70"/>
    <n v="10"/>
    <n v="18"/>
    <x v="10"/>
    <n v="17"/>
    <n v="14"/>
    <n v="49"/>
    <n v="1.4000000000000001"/>
    <n v="0"/>
    <n v="0"/>
  </r>
  <r>
    <x v="10041"/>
    <n v="14"/>
    <n v="49"/>
    <n v="63"/>
    <n v="17"/>
    <n v="19"/>
    <x v="14"/>
    <n v="14"/>
    <n v="19"/>
    <n v="47"/>
    <n v="1.9000000000000001"/>
    <n v="0"/>
    <n v="0"/>
  </r>
  <r>
    <x v="10042"/>
    <n v="19"/>
    <n v="47"/>
    <n v="66"/>
    <n v="14"/>
    <n v="20"/>
    <x v="52"/>
    <n v="24"/>
    <n v="15"/>
    <n v="41"/>
    <n v="1.5"/>
    <n v="0"/>
    <n v="0"/>
  </r>
  <r>
    <x v="10043"/>
    <n v="15"/>
    <n v="41"/>
    <n v="56"/>
    <n v="24"/>
    <n v="10"/>
    <x v="27"/>
    <n v="19"/>
    <n v="6"/>
    <n v="55"/>
    <n v="0.60000000000000009"/>
    <n v="0"/>
    <n v="0"/>
  </r>
  <r>
    <x v="10044"/>
    <n v="6"/>
    <n v="55"/>
    <n v="61"/>
    <n v="19"/>
    <n v="17"/>
    <x v="24"/>
    <n v="8"/>
    <n v="15"/>
    <n v="57"/>
    <n v="1.5"/>
    <n v="0"/>
    <n v="0"/>
  </r>
  <r>
    <x v="10045"/>
    <n v="15"/>
    <n v="57"/>
    <n v="72"/>
    <n v="8"/>
    <n v="14"/>
    <x v="9"/>
    <n v="15"/>
    <n v="14"/>
    <n v="51"/>
    <n v="1.4000000000000001"/>
    <n v="0"/>
    <n v="0"/>
  </r>
  <r>
    <x v="10046"/>
    <n v="14"/>
    <n v="51"/>
    <n v="65"/>
    <n v="15"/>
    <n v="24"/>
    <x v="40"/>
    <n v="14"/>
    <n v="24"/>
    <n v="42"/>
    <n v="2.4000000000000004"/>
    <n v="0"/>
    <n v="0"/>
  </r>
  <r>
    <x v="10047"/>
    <n v="24"/>
    <n v="42"/>
    <n v="66"/>
    <n v="14"/>
    <n v="19"/>
    <x v="55"/>
    <n v="26"/>
    <n v="17"/>
    <n v="37"/>
    <n v="1.7000000000000002"/>
    <n v="0"/>
    <n v="0"/>
  </r>
  <r>
    <x v="10048"/>
    <n v="17"/>
    <n v="37"/>
    <n v="54"/>
    <n v="26"/>
    <n v="8"/>
    <x v="27"/>
    <n v="19"/>
    <n v="6"/>
    <n v="55"/>
    <n v="0.60000000000000009"/>
    <n v="0"/>
    <n v="0"/>
  </r>
  <r>
    <x v="10049"/>
    <n v="6"/>
    <n v="55"/>
    <n v="61"/>
    <n v="19"/>
    <n v="15"/>
    <x v="5"/>
    <n v="34"/>
    <n v="-13"/>
    <n v="59"/>
    <n v="0"/>
    <n v="1"/>
    <n v="13"/>
  </r>
  <r>
    <x v="10050"/>
    <n v="-13"/>
    <n v="59"/>
    <n v="46"/>
    <n v="34"/>
    <n v="14"/>
    <x v="43"/>
    <n v="13"/>
    <n v="-12"/>
    <n v="79"/>
    <n v="0"/>
    <n v="1"/>
    <n v="12"/>
  </r>
  <r>
    <x v="10051"/>
    <n v="-12"/>
    <n v="79"/>
    <n v="67"/>
    <n v="13"/>
    <n v="26"/>
    <x v="7"/>
    <n v="23"/>
    <n v="-9"/>
    <n v="66"/>
    <n v="0"/>
    <n v="1"/>
    <n v="9"/>
  </r>
  <r>
    <x v="10052"/>
    <n v="-9"/>
    <n v="66"/>
    <n v="57"/>
    <n v="23"/>
    <n v="19"/>
    <x v="6"/>
    <n v="16"/>
    <n v="-6"/>
    <n v="70"/>
    <n v="0"/>
    <n v="1"/>
    <n v="6"/>
  </r>
  <r>
    <x v="10053"/>
    <n v="-6"/>
    <n v="70"/>
    <n v="64"/>
    <n v="16"/>
    <n v="34"/>
    <x v="25"/>
    <n v="20"/>
    <n v="8"/>
    <n v="52"/>
    <n v="0.8"/>
    <n v="0"/>
    <n v="0"/>
  </r>
  <r>
    <x v="10054"/>
    <n v="8"/>
    <n v="52"/>
    <n v="60"/>
    <n v="20"/>
    <n v="13"/>
    <x v="5"/>
    <n v="12"/>
    <n v="9"/>
    <n v="59"/>
    <n v="0.9"/>
    <n v="0"/>
    <n v="0"/>
  </r>
  <r>
    <x v="10055"/>
    <n v="9"/>
    <n v="59"/>
    <n v="68"/>
    <n v="12"/>
    <n v="23"/>
    <x v="15"/>
    <n v="24"/>
    <n v="8"/>
    <n v="48"/>
    <n v="0.8"/>
    <n v="0"/>
    <n v="0"/>
  </r>
  <r>
    <x v="10056"/>
    <n v="8"/>
    <n v="48"/>
    <n v="56"/>
    <n v="24"/>
    <n v="16"/>
    <x v="32"/>
    <n v="23"/>
    <n v="1"/>
    <n v="56"/>
    <n v="0.1"/>
    <n v="0"/>
    <n v="0"/>
  </r>
  <r>
    <x v="10057"/>
    <n v="1"/>
    <n v="56"/>
    <n v="57"/>
    <n v="23"/>
    <n v="20"/>
    <x v="5"/>
    <n v="21"/>
    <n v="0"/>
    <n v="59"/>
    <n v="0"/>
    <n v="0"/>
    <n v="0"/>
  </r>
  <r>
    <x v="10058"/>
    <n v="0"/>
    <n v="59"/>
    <n v="59"/>
    <n v="21"/>
    <n v="12"/>
    <x v="17"/>
    <n v="23"/>
    <n v="-11"/>
    <n v="68"/>
    <n v="0"/>
    <n v="1"/>
    <n v="11"/>
  </r>
  <r>
    <x v="10059"/>
    <n v="-11"/>
    <n v="68"/>
    <n v="57"/>
    <n v="23"/>
    <n v="24"/>
    <x v="21"/>
    <n v="14"/>
    <n v="-1"/>
    <n v="67"/>
    <n v="0"/>
    <n v="1"/>
    <n v="1"/>
  </r>
  <r>
    <x v="10060"/>
    <n v="-1"/>
    <n v="67"/>
    <n v="66"/>
    <n v="14"/>
    <n v="23"/>
    <x v="28"/>
    <n v="19"/>
    <n v="3"/>
    <n v="58"/>
    <n v="0.30000000000000004"/>
    <n v="0"/>
    <n v="0"/>
  </r>
  <r>
    <x v="10061"/>
    <n v="3"/>
    <n v="58"/>
    <n v="61"/>
    <n v="19"/>
    <n v="21"/>
    <x v="32"/>
    <n v="17"/>
    <n v="7"/>
    <n v="56"/>
    <n v="0.70000000000000007"/>
    <n v="0"/>
    <n v="0"/>
  </r>
  <r>
    <x v="10062"/>
    <n v="7"/>
    <n v="56"/>
    <n v="63"/>
    <n v="17"/>
    <n v="23"/>
    <x v="13"/>
    <n v="16"/>
    <n v="14"/>
    <n v="50"/>
    <n v="1.4000000000000001"/>
    <n v="0"/>
    <n v="0"/>
  </r>
  <r>
    <x v="10063"/>
    <n v="14"/>
    <n v="50"/>
    <n v="64"/>
    <n v="16"/>
    <n v="14"/>
    <x v="25"/>
    <n v="17"/>
    <n v="11"/>
    <n v="52"/>
    <n v="1.1000000000000001"/>
    <n v="0"/>
    <n v="0"/>
  </r>
  <r>
    <x v="10064"/>
    <n v="11"/>
    <n v="52"/>
    <n v="63"/>
    <n v="17"/>
    <n v="19"/>
    <x v="13"/>
    <n v="18"/>
    <n v="12"/>
    <n v="50"/>
    <n v="1.2000000000000002"/>
    <n v="0"/>
    <n v="0"/>
  </r>
  <r>
    <x v="10065"/>
    <n v="12"/>
    <n v="50"/>
    <n v="62"/>
    <n v="18"/>
    <n v="17"/>
    <x v="9"/>
    <n v="20"/>
    <n v="9"/>
    <n v="51"/>
    <n v="0.9"/>
    <n v="0"/>
    <n v="0"/>
  </r>
  <r>
    <x v="10066"/>
    <n v="9"/>
    <n v="51"/>
    <n v="60"/>
    <n v="20"/>
    <n v="16"/>
    <x v="27"/>
    <n v="14"/>
    <n v="11"/>
    <n v="55"/>
    <n v="1.1000000000000001"/>
    <n v="0"/>
    <n v="0"/>
  </r>
  <r>
    <x v="10067"/>
    <n v="11"/>
    <n v="55"/>
    <n v="66"/>
    <n v="14"/>
    <n v="17"/>
    <x v="25"/>
    <n v="22"/>
    <n v="6"/>
    <n v="52"/>
    <n v="0.60000000000000009"/>
    <n v="0"/>
    <n v="0"/>
  </r>
  <r>
    <x v="10068"/>
    <n v="6"/>
    <n v="52"/>
    <n v="58"/>
    <n v="22"/>
    <n v="18"/>
    <x v="32"/>
    <n v="18"/>
    <n v="6"/>
    <n v="56"/>
    <n v="0.60000000000000009"/>
    <n v="0"/>
    <n v="0"/>
  </r>
  <r>
    <x v="10069"/>
    <n v="6"/>
    <n v="56"/>
    <n v="62"/>
    <n v="18"/>
    <n v="20"/>
    <x v="16"/>
    <n v="26"/>
    <n v="0"/>
    <n v="54"/>
    <n v="0"/>
    <n v="0"/>
    <n v="0"/>
  </r>
  <r>
    <x v="10070"/>
    <n v="0"/>
    <n v="54"/>
    <n v="54"/>
    <n v="26"/>
    <n v="14"/>
    <x v="7"/>
    <n v="17"/>
    <n v="-3"/>
    <n v="66"/>
    <n v="0"/>
    <n v="1"/>
    <n v="3"/>
  </r>
  <r>
    <x v="10071"/>
    <n v="-3"/>
    <n v="66"/>
    <n v="63"/>
    <n v="17"/>
    <n v="22"/>
    <x v="23"/>
    <n v="17"/>
    <n v="2"/>
    <n v="61"/>
    <n v="0.2"/>
    <n v="0"/>
    <n v="0"/>
  </r>
  <r>
    <x v="10072"/>
    <n v="2"/>
    <n v="61"/>
    <n v="63"/>
    <n v="17"/>
    <n v="18"/>
    <x v="4"/>
    <n v="20"/>
    <n v="0"/>
    <n v="60"/>
    <n v="0"/>
    <n v="0"/>
    <n v="0"/>
  </r>
  <r>
    <x v="10073"/>
    <n v="0"/>
    <n v="60"/>
    <n v="60"/>
    <n v="20"/>
    <n v="26"/>
    <x v="16"/>
    <n v="27"/>
    <n v="-1"/>
    <n v="54"/>
    <n v="0"/>
    <n v="1"/>
    <n v="1"/>
  </r>
  <r>
    <x v="10074"/>
    <n v="-1"/>
    <n v="54"/>
    <n v="53"/>
    <n v="27"/>
    <n v="17"/>
    <x v="8"/>
    <n v="16"/>
    <n v="0"/>
    <n v="64"/>
    <n v="0"/>
    <n v="0"/>
    <n v="0"/>
  </r>
  <r>
    <x v="10075"/>
    <n v="0"/>
    <n v="64"/>
    <n v="64"/>
    <n v="16"/>
    <n v="17"/>
    <x v="22"/>
    <n v="21"/>
    <n v="-4"/>
    <n v="63"/>
    <n v="0"/>
    <n v="1"/>
    <n v="4"/>
  </r>
  <r>
    <x v="10076"/>
    <n v="-4"/>
    <n v="63"/>
    <n v="59"/>
    <n v="21"/>
    <n v="20"/>
    <x v="8"/>
    <n v="24"/>
    <n v="-8"/>
    <n v="64"/>
    <n v="0"/>
    <n v="1"/>
    <n v="8"/>
  </r>
  <r>
    <x v="10077"/>
    <n v="-8"/>
    <n v="64"/>
    <n v="56"/>
    <n v="24"/>
    <n v="27"/>
    <x v="23"/>
    <n v="24"/>
    <n v="-5"/>
    <n v="61"/>
    <n v="0"/>
    <n v="1"/>
    <n v="5"/>
  </r>
  <r>
    <x v="10078"/>
    <n v="-5"/>
    <n v="61"/>
    <n v="56"/>
    <n v="24"/>
    <n v="16"/>
    <x v="30"/>
    <n v="27"/>
    <n v="-16"/>
    <n v="69"/>
    <n v="0"/>
    <n v="1"/>
    <n v="16"/>
  </r>
  <r>
    <x v="10079"/>
    <n v="-16"/>
    <n v="69"/>
    <n v="53"/>
    <n v="27"/>
    <n v="21"/>
    <x v="44"/>
    <n v="20"/>
    <n v="-15"/>
    <n v="75"/>
    <n v="0"/>
    <n v="1"/>
    <n v="15"/>
  </r>
  <r>
    <x v="10080"/>
    <n v="-15"/>
    <n v="75"/>
    <n v="60"/>
    <n v="20"/>
    <n v="24"/>
    <x v="20"/>
    <n v="19"/>
    <n v="-10"/>
    <n v="71"/>
    <n v="0"/>
    <n v="1"/>
    <n v="10"/>
  </r>
  <r>
    <x v="10081"/>
    <n v="-10"/>
    <n v="71"/>
    <n v="61"/>
    <n v="19"/>
    <n v="24"/>
    <x v="7"/>
    <n v="20"/>
    <n v="-6"/>
    <n v="66"/>
    <n v="0"/>
    <n v="1"/>
    <n v="6"/>
  </r>
  <r>
    <x v="10082"/>
    <n v="-6"/>
    <n v="66"/>
    <n v="60"/>
    <n v="20"/>
    <n v="27"/>
    <x v="5"/>
    <n v="25"/>
    <n v="-4"/>
    <n v="59"/>
    <n v="0"/>
    <n v="1"/>
    <n v="4"/>
  </r>
  <r>
    <x v="10083"/>
    <n v="-4"/>
    <n v="59"/>
    <n v="55"/>
    <n v="25"/>
    <n v="20"/>
    <x v="8"/>
    <n v="27"/>
    <n v="-11"/>
    <n v="64"/>
    <n v="0"/>
    <n v="1"/>
    <n v="11"/>
  </r>
  <r>
    <x v="10084"/>
    <n v="-11"/>
    <n v="64"/>
    <n v="53"/>
    <n v="27"/>
    <n v="19"/>
    <x v="29"/>
    <n v="22"/>
    <n v="-14"/>
    <n v="72"/>
    <n v="0"/>
    <n v="1"/>
    <n v="14"/>
  </r>
  <r>
    <x v="10085"/>
    <n v="-14"/>
    <n v="72"/>
    <n v="58"/>
    <n v="22"/>
    <n v="20"/>
    <x v="39"/>
    <n v="19"/>
    <n v="-13"/>
    <n v="74"/>
    <n v="0"/>
    <n v="1"/>
    <n v="13"/>
  </r>
  <r>
    <x v="10086"/>
    <n v="-13"/>
    <n v="74"/>
    <n v="61"/>
    <n v="19"/>
    <n v="25"/>
    <x v="17"/>
    <n v="18"/>
    <n v="-6"/>
    <n v="68"/>
    <n v="0"/>
    <n v="1"/>
    <n v="6"/>
  </r>
  <r>
    <x v="10087"/>
    <n v="-6"/>
    <n v="68"/>
    <n v="62"/>
    <n v="18"/>
    <n v="27"/>
    <x v="5"/>
    <n v="16"/>
    <n v="5"/>
    <n v="59"/>
    <n v="0.5"/>
    <n v="0"/>
    <n v="0"/>
  </r>
  <r>
    <x v="10088"/>
    <n v="5"/>
    <n v="59"/>
    <n v="64"/>
    <n v="16"/>
    <n v="22"/>
    <x v="12"/>
    <n v="17"/>
    <n v="10"/>
    <n v="53"/>
    <n v="1"/>
    <n v="0"/>
    <n v="0"/>
  </r>
  <r>
    <x v="10089"/>
    <n v="10"/>
    <n v="53"/>
    <n v="63"/>
    <n v="17"/>
    <n v="19"/>
    <x v="9"/>
    <n v="27"/>
    <n v="2"/>
    <n v="51"/>
    <n v="0.2"/>
    <n v="0"/>
    <n v="0"/>
  </r>
  <r>
    <x v="10090"/>
    <n v="2"/>
    <n v="51"/>
    <n v="53"/>
    <n v="27"/>
    <n v="18"/>
    <x v="4"/>
    <n v="25"/>
    <n v="-5"/>
    <n v="60"/>
    <n v="0"/>
    <n v="1"/>
    <n v="5"/>
  </r>
  <r>
    <x v="10091"/>
    <n v="-5"/>
    <n v="60"/>
    <n v="55"/>
    <n v="25"/>
    <n v="16"/>
    <x v="30"/>
    <n v="16"/>
    <n v="-5"/>
    <n v="69"/>
    <n v="0"/>
    <n v="1"/>
    <n v="5"/>
  </r>
  <r>
    <x v="10092"/>
    <n v="-5"/>
    <n v="69"/>
    <n v="64"/>
    <n v="16"/>
    <n v="17"/>
    <x v="17"/>
    <n v="23"/>
    <n v="-11"/>
    <n v="68"/>
    <n v="0"/>
    <n v="1"/>
    <n v="11"/>
  </r>
  <r>
    <x v="10093"/>
    <n v="-11"/>
    <n v="68"/>
    <n v="57"/>
    <n v="23"/>
    <n v="27"/>
    <x v="8"/>
    <n v="26"/>
    <n v="-10"/>
    <n v="64"/>
    <n v="0"/>
    <n v="1"/>
    <n v="10"/>
  </r>
  <r>
    <x v="10094"/>
    <n v="-10"/>
    <n v="64"/>
    <n v="54"/>
    <n v="26"/>
    <n v="25"/>
    <x v="26"/>
    <n v="12"/>
    <n v="3"/>
    <n v="65"/>
    <n v="0.30000000000000004"/>
    <n v="0"/>
    <n v="0"/>
  </r>
  <r>
    <x v="10095"/>
    <n v="3"/>
    <n v="65"/>
    <n v="68"/>
    <n v="12"/>
    <n v="16"/>
    <x v="23"/>
    <n v="21"/>
    <n v="-2"/>
    <n v="61"/>
    <n v="0"/>
    <n v="1"/>
    <n v="2"/>
  </r>
  <r>
    <x v="10096"/>
    <n v="-2"/>
    <n v="61"/>
    <n v="59"/>
    <n v="21"/>
    <n v="23"/>
    <x v="5"/>
    <n v="20"/>
    <n v="1"/>
    <n v="59"/>
    <n v="0.1"/>
    <n v="0"/>
    <n v="0"/>
  </r>
  <r>
    <x v="10097"/>
    <n v="1"/>
    <n v="59"/>
    <n v="60"/>
    <n v="20"/>
    <n v="26"/>
    <x v="12"/>
    <n v="12"/>
    <n v="15"/>
    <n v="53"/>
    <n v="1.5"/>
    <n v="0"/>
    <n v="0"/>
  </r>
  <r>
    <x v="10098"/>
    <n v="15"/>
    <n v="53"/>
    <n v="68"/>
    <n v="12"/>
    <n v="12"/>
    <x v="12"/>
    <n v="21"/>
    <n v="6"/>
    <n v="53"/>
    <n v="0.60000000000000009"/>
    <n v="0"/>
    <n v="0"/>
  </r>
  <r>
    <x v="10099"/>
    <n v="6"/>
    <n v="53"/>
    <n v="59"/>
    <n v="21"/>
    <n v="21"/>
    <x v="12"/>
    <n v="21"/>
    <n v="6"/>
    <n v="53"/>
    <n v="0.60000000000000009"/>
    <n v="0"/>
    <n v="0"/>
  </r>
  <r>
    <x v="10100"/>
    <n v="6"/>
    <n v="53"/>
    <n v="59"/>
    <n v="21"/>
    <n v="20"/>
    <x v="16"/>
    <n v="23"/>
    <n v="3"/>
    <n v="54"/>
    <n v="0.30000000000000004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000-000000000000}" name="PivotTable4" cacheId="0" applyNumberFormats="0" applyBorderFormats="0" applyFontFormats="0" applyPatternFormats="0" applyAlignmentFormats="0" applyWidthHeightFormats="1" dataCaption="Values" updatedVersion="4" minRefreshableVersion="3" useAutoFormatting="1" itemPrintTitles="1" createdVersion="4" indent="0" outline="1" outlineData="1" gridDropZones="1" multipleFieldFilters="0">
  <location ref="A3:C66" firstHeaderRow="1" firstDataRow="2" firstDataCol="1" rowPageCount="1" colPageCount="1"/>
  <pivotFields count="13">
    <pivotField axis="axisPage" dataField="1" multipleItemSelectionAllowed="1" showAll="0">
      <items count="10102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12"/>
        <item h="1" x="13"/>
        <item h="1" x="14"/>
        <item h="1" x="15"/>
        <item h="1" x="16"/>
        <item h="1" x="17"/>
        <item h="1" x="18"/>
        <item h="1" x="19"/>
        <item h="1" x="20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x="33"/>
        <item h="1" x="34"/>
        <item h="1" x="35"/>
        <item h="1" x="36"/>
        <item h="1" x="37"/>
        <item h="1" x="38"/>
        <item h="1" x="39"/>
        <item h="1" x="4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x="54"/>
        <item h="1" x="55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2"/>
        <item x="763"/>
        <item x="764"/>
        <item x="765"/>
        <item x="766"/>
        <item x="767"/>
        <item x="768"/>
        <item x="769"/>
        <item x="770"/>
        <item x="771"/>
        <item x="772"/>
        <item x="773"/>
        <item x="774"/>
        <item x="775"/>
        <item x="776"/>
        <item x="777"/>
        <item x="778"/>
        <item x="779"/>
        <item x="780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805"/>
        <item x="806"/>
        <item x="807"/>
        <item x="808"/>
        <item x="809"/>
        <item x="810"/>
        <item x="811"/>
        <item x="812"/>
        <item x="813"/>
        <item x="814"/>
        <item x="815"/>
        <item x="816"/>
        <item x="817"/>
        <item x="818"/>
        <item x="819"/>
        <item x="820"/>
        <item x="821"/>
        <item x="822"/>
        <item x="823"/>
        <item x="824"/>
        <item x="825"/>
        <item x="826"/>
        <item x="827"/>
        <item x="828"/>
        <item x="829"/>
        <item x="830"/>
        <item x="831"/>
        <item x="832"/>
        <item x="833"/>
        <item x="834"/>
        <item x="835"/>
        <item x="836"/>
        <item x="837"/>
        <item x="838"/>
        <item x="839"/>
        <item x="840"/>
        <item x="841"/>
        <item x="842"/>
        <item x="843"/>
        <item x="844"/>
        <item x="845"/>
        <item x="846"/>
        <item x="847"/>
        <item x="848"/>
        <item x="849"/>
        <item x="850"/>
        <item x="851"/>
        <item x="852"/>
        <item x="853"/>
        <item x="854"/>
        <item x="855"/>
        <item x="856"/>
        <item x="857"/>
        <item x="858"/>
        <item x="859"/>
        <item x="860"/>
        <item x="861"/>
        <item x="862"/>
        <item x="863"/>
        <item x="864"/>
        <item x="865"/>
        <item x="866"/>
        <item x="867"/>
        <item x="868"/>
        <item x="869"/>
        <item x="870"/>
        <item x="871"/>
        <item x="872"/>
        <item x="873"/>
        <item x="874"/>
        <item x="875"/>
        <item x="876"/>
        <item x="877"/>
        <item x="878"/>
        <item x="879"/>
        <item x="880"/>
        <item x="881"/>
        <item x="882"/>
        <item x="883"/>
        <item x="884"/>
        <item x="885"/>
        <item x="886"/>
        <item x="887"/>
        <item x="888"/>
        <item x="889"/>
        <item x="890"/>
        <item x="891"/>
        <item x="892"/>
        <item x="893"/>
        <item x="894"/>
        <item x="895"/>
        <item x="896"/>
        <item x="897"/>
        <item x="898"/>
        <item x="899"/>
        <item x="900"/>
        <item x="901"/>
        <item x="902"/>
        <item x="903"/>
        <item x="904"/>
        <item x="905"/>
        <item x="906"/>
        <item x="907"/>
        <item x="908"/>
        <item x="909"/>
        <item x="910"/>
        <item x="911"/>
        <item x="912"/>
        <item x="913"/>
        <item x="914"/>
        <item x="915"/>
        <item x="916"/>
        <item x="917"/>
        <item x="918"/>
        <item x="919"/>
        <item x="920"/>
        <item x="921"/>
        <item x="922"/>
        <item x="923"/>
        <item x="924"/>
        <item x="925"/>
        <item x="926"/>
        <item x="927"/>
        <item x="928"/>
        <item x="929"/>
        <item x="930"/>
        <item x="931"/>
        <item x="932"/>
        <item x="933"/>
        <item x="934"/>
        <item x="935"/>
        <item x="936"/>
        <item x="937"/>
        <item x="938"/>
        <item x="939"/>
        <item x="940"/>
        <item x="941"/>
        <item x="942"/>
        <item x="943"/>
        <item x="944"/>
        <item x="945"/>
        <item x="946"/>
        <item x="947"/>
        <item x="948"/>
        <item x="949"/>
        <item x="950"/>
        <item x="951"/>
        <item x="952"/>
        <item x="953"/>
        <item x="954"/>
        <item x="955"/>
        <item x="956"/>
        <item x="957"/>
        <item x="958"/>
        <item x="959"/>
        <item x="960"/>
        <item x="961"/>
        <item x="962"/>
        <item x="963"/>
        <item x="964"/>
        <item x="965"/>
        <item x="966"/>
        <item x="967"/>
        <item x="968"/>
        <item x="969"/>
        <item x="970"/>
        <item x="971"/>
        <item x="972"/>
        <item x="973"/>
        <item x="974"/>
        <item x="975"/>
        <item x="976"/>
        <item x="977"/>
        <item x="978"/>
        <item x="979"/>
        <item x="980"/>
        <item x="981"/>
        <item x="982"/>
        <item x="983"/>
        <item x="984"/>
        <item x="985"/>
        <item x="986"/>
        <item x="987"/>
        <item x="988"/>
        <item x="989"/>
        <item x="990"/>
        <item x="991"/>
        <item x="992"/>
        <item x="993"/>
        <item x="994"/>
        <item x="995"/>
        <item x="996"/>
        <item x="997"/>
        <item x="998"/>
        <item x="999"/>
        <item x="1000"/>
        <item x="1001"/>
        <item x="1002"/>
        <item x="1003"/>
        <item x="1004"/>
        <item x="1005"/>
        <item x="1006"/>
        <item x="1007"/>
        <item x="1008"/>
        <item x="1009"/>
        <item x="1010"/>
        <item x="1011"/>
        <item x="1012"/>
        <item x="1013"/>
        <item x="1014"/>
        <item x="1015"/>
        <item x="1016"/>
        <item x="1017"/>
        <item x="1018"/>
        <item x="1019"/>
        <item x="1020"/>
        <item x="1021"/>
        <item x="1022"/>
        <item x="1023"/>
        <item x="1024"/>
        <item x="1025"/>
        <item x="1026"/>
        <item x="1027"/>
        <item x="1028"/>
        <item x="1029"/>
        <item x="1030"/>
        <item x="1031"/>
        <item x="1032"/>
        <item x="1033"/>
        <item x="1034"/>
        <item x="1035"/>
        <item x="1036"/>
        <item x="1037"/>
        <item x="1038"/>
        <item x="1039"/>
        <item x="1040"/>
        <item x="1041"/>
        <item x="1042"/>
        <item x="1043"/>
        <item x="1044"/>
        <item x="1045"/>
        <item x="1046"/>
        <item x="1047"/>
        <item x="1048"/>
        <item x="1049"/>
        <item x="1050"/>
        <item x="1051"/>
        <item x="1052"/>
        <item x="1053"/>
        <item x="1054"/>
        <item x="1055"/>
        <item x="1056"/>
        <item x="1057"/>
        <item x="1058"/>
        <item x="1059"/>
        <item x="1060"/>
        <item x="1061"/>
        <item x="1062"/>
        <item x="1063"/>
        <item x="1064"/>
        <item x="1065"/>
        <item x="1066"/>
        <item x="1067"/>
        <item x="1068"/>
        <item x="1069"/>
        <item x="1070"/>
        <item x="1071"/>
        <item x="1072"/>
        <item x="1073"/>
        <item x="1074"/>
        <item x="1075"/>
        <item x="1076"/>
        <item x="1077"/>
        <item x="1078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x="1111"/>
        <item x="1112"/>
        <item x="1113"/>
        <item x="1114"/>
        <item x="1115"/>
        <item x="1116"/>
        <item x="1117"/>
        <item x="1118"/>
        <item x="1119"/>
        <item x="1120"/>
        <item x="1121"/>
        <item x="1122"/>
        <item x="1123"/>
        <item x="1124"/>
        <item x="1125"/>
        <item x="1126"/>
        <item x="1127"/>
        <item x="1128"/>
        <item x="1129"/>
        <item x="1130"/>
        <item x="1131"/>
        <item x="1132"/>
        <item x="1133"/>
        <item x="1134"/>
        <item x="1135"/>
        <item x="1136"/>
        <item x="1137"/>
        <item x="1138"/>
        <item x="1139"/>
        <item x="1140"/>
        <item x="1141"/>
        <item x="1142"/>
        <item x="1143"/>
        <item x="1144"/>
        <item x="1145"/>
        <item x="1146"/>
        <item x="1147"/>
        <item x="1148"/>
        <item x="1149"/>
        <item x="1150"/>
        <item x="1151"/>
        <item x="1152"/>
        <item x="1153"/>
        <item x="1154"/>
        <item x="1155"/>
        <item x="1156"/>
        <item x="1157"/>
        <item x="1158"/>
        <item x="1159"/>
        <item x="1160"/>
        <item x="1161"/>
        <item x="1162"/>
        <item x="1163"/>
        <item x="1164"/>
        <item x="1165"/>
        <item x="1166"/>
        <item x="1167"/>
        <item x="1168"/>
        <item x="1169"/>
        <item x="1170"/>
        <item x="1171"/>
        <item x="1172"/>
        <item x="1173"/>
        <item x="1174"/>
        <item x="1175"/>
        <item x="1176"/>
        <item x="1177"/>
        <item x="1178"/>
        <item x="1179"/>
        <item x="1180"/>
        <item x="1181"/>
        <item x="1182"/>
        <item x="1183"/>
        <item x="1184"/>
        <item x="1185"/>
        <item x="1186"/>
        <item x="1187"/>
        <item x="1188"/>
        <item x="1189"/>
        <item x="1190"/>
        <item x="1191"/>
        <item x="1192"/>
        <item x="1193"/>
        <item x="1194"/>
        <item x="1195"/>
        <item x="1196"/>
        <item x="1197"/>
        <item x="1198"/>
        <item x="1199"/>
        <item x="1200"/>
        <item x="1201"/>
        <item x="1202"/>
        <item x="1203"/>
        <item x="1204"/>
        <item x="1205"/>
        <item x="1206"/>
        <item x="1207"/>
        <item x="1208"/>
        <item x="1209"/>
        <item x="1210"/>
        <item x="1211"/>
        <item x="1212"/>
        <item x="1213"/>
        <item x="1214"/>
        <item x="1215"/>
        <item x="1216"/>
        <item x="1217"/>
        <item x="1218"/>
        <item x="1219"/>
        <item x="1220"/>
        <item x="1221"/>
        <item x="1222"/>
        <item x="1223"/>
        <item x="1224"/>
        <item x="1225"/>
        <item x="1226"/>
        <item x="1227"/>
        <item x="1228"/>
        <item x="1229"/>
        <item x="1230"/>
        <item x="1231"/>
        <item x="1232"/>
        <item x="1233"/>
        <item x="1234"/>
        <item x="1235"/>
        <item x="1236"/>
        <item x="1237"/>
        <item x="1238"/>
        <item x="1239"/>
        <item x="1240"/>
        <item x="1241"/>
        <item x="1242"/>
        <item x="1243"/>
        <item x="1244"/>
        <item x="1245"/>
        <item x="1246"/>
        <item x="1247"/>
        <item x="1248"/>
        <item x="1249"/>
        <item x="1250"/>
        <item x="1251"/>
        <item x="1252"/>
        <item x="1253"/>
        <item x="1254"/>
        <item x="1255"/>
        <item x="1256"/>
        <item x="1257"/>
        <item x="1258"/>
        <item x="1259"/>
        <item x="1260"/>
        <item x="1261"/>
        <item x="1262"/>
        <item x="1263"/>
        <item x="1264"/>
        <item x="1265"/>
        <item x="1266"/>
        <item x="1267"/>
        <item x="1268"/>
        <item x="1269"/>
        <item x="1270"/>
        <item x="1271"/>
        <item x="1272"/>
        <item x="1273"/>
        <item x="1274"/>
        <item x="1275"/>
        <item x="1276"/>
        <item x="1277"/>
        <item x="1278"/>
        <item x="1279"/>
        <item x="1280"/>
        <item x="1281"/>
        <item x="1282"/>
        <item x="1283"/>
        <item x="1284"/>
        <item x="1285"/>
        <item x="1286"/>
        <item x="1287"/>
        <item x="1288"/>
        <item x="1289"/>
        <item x="1290"/>
        <item x="1291"/>
        <item x="1292"/>
        <item x="1293"/>
        <item x="1294"/>
        <item x="1295"/>
        <item x="1296"/>
        <item x="1297"/>
        <item x="1298"/>
        <item x="1299"/>
        <item x="1300"/>
        <item x="1301"/>
        <item x="1302"/>
        <item x="1303"/>
        <item x="1304"/>
        <item x="1305"/>
        <item x="1306"/>
        <item x="1307"/>
        <item x="1308"/>
        <item x="1309"/>
        <item x="1310"/>
        <item x="1311"/>
        <item x="1312"/>
        <item x="1313"/>
        <item x="1314"/>
        <item x="1315"/>
        <item x="1316"/>
        <item x="1317"/>
        <item x="1318"/>
        <item x="1319"/>
        <item x="1320"/>
        <item x="1321"/>
        <item x="1322"/>
        <item x="1323"/>
        <item x="1324"/>
        <item x="1325"/>
        <item x="1326"/>
        <item x="1327"/>
        <item x="1328"/>
        <item x="1329"/>
        <item x="1330"/>
        <item x="1331"/>
        <item x="1332"/>
        <item x="1333"/>
        <item x="1334"/>
        <item x="1335"/>
        <item x="1336"/>
        <item x="1337"/>
        <item x="1338"/>
        <item x="1339"/>
        <item x="1340"/>
        <item x="1341"/>
        <item x="1342"/>
        <item x="1343"/>
        <item x="1344"/>
        <item x="1345"/>
        <item x="1346"/>
        <item x="1347"/>
        <item x="1348"/>
        <item x="1349"/>
        <item x="1350"/>
        <item x="1351"/>
        <item x="1352"/>
        <item x="1353"/>
        <item x="1354"/>
        <item x="1355"/>
        <item x="1356"/>
        <item x="1357"/>
        <item x="1358"/>
        <item x="1359"/>
        <item x="1360"/>
        <item x="1361"/>
        <item x="1362"/>
        <item x="1363"/>
        <item x="1364"/>
        <item x="1365"/>
        <item x="1366"/>
        <item x="1367"/>
        <item x="1368"/>
        <item x="1369"/>
        <item x="1370"/>
        <item x="1371"/>
        <item x="1372"/>
        <item x="1373"/>
        <item x="1374"/>
        <item x="1375"/>
        <item x="1376"/>
        <item x="1377"/>
        <item x="1378"/>
        <item x="1379"/>
        <item x="1380"/>
        <item x="1381"/>
        <item x="1382"/>
        <item x="1383"/>
        <item x="1384"/>
        <item x="1385"/>
        <item x="1386"/>
        <item x="1387"/>
        <item x="1388"/>
        <item x="1389"/>
        <item x="1390"/>
        <item x="1391"/>
        <item x="1392"/>
        <item x="1393"/>
        <item x="1394"/>
        <item x="1395"/>
        <item x="1396"/>
        <item x="1397"/>
        <item x="1398"/>
        <item x="1399"/>
        <item x="1400"/>
        <item x="1401"/>
        <item x="1402"/>
        <item x="1403"/>
        <item x="1404"/>
        <item x="1405"/>
        <item x="1406"/>
        <item x="1407"/>
        <item x="1408"/>
        <item x="1409"/>
        <item x="1410"/>
        <item x="1411"/>
        <item x="1412"/>
        <item x="1413"/>
        <item x="1414"/>
        <item x="1415"/>
        <item x="1416"/>
        <item x="1417"/>
        <item x="1418"/>
        <item x="1419"/>
        <item x="1420"/>
        <item x="1421"/>
        <item x="1422"/>
        <item x="1423"/>
        <item x="1424"/>
        <item x="1425"/>
        <item x="1426"/>
        <item x="1427"/>
        <item x="1428"/>
        <item x="1429"/>
        <item x="1430"/>
        <item x="1431"/>
        <item x="1432"/>
        <item x="1433"/>
        <item x="1434"/>
        <item x="1435"/>
        <item x="1436"/>
        <item x="1437"/>
        <item x="1438"/>
        <item x="1439"/>
        <item x="1440"/>
        <item x="1441"/>
        <item x="1442"/>
        <item x="1443"/>
        <item x="1444"/>
        <item x="1445"/>
        <item x="1446"/>
        <item x="1447"/>
        <item x="1448"/>
        <item x="1449"/>
        <item x="1450"/>
        <item x="1451"/>
        <item x="1452"/>
        <item x="1453"/>
        <item x="1454"/>
        <item x="1455"/>
        <item x="1456"/>
        <item x="1457"/>
        <item x="1458"/>
        <item x="1459"/>
        <item x="1460"/>
        <item x="1461"/>
        <item x="1462"/>
        <item x="1463"/>
        <item x="1464"/>
        <item x="1465"/>
        <item x="1466"/>
        <item x="1467"/>
        <item x="1468"/>
        <item x="1469"/>
        <item x="1470"/>
        <item x="1471"/>
        <item x="1472"/>
        <item x="1473"/>
        <item x="1474"/>
        <item x="1475"/>
        <item x="1476"/>
        <item x="1477"/>
        <item x="1478"/>
        <item x="1479"/>
        <item x="1480"/>
        <item x="1481"/>
        <item x="1482"/>
        <item x="1483"/>
        <item x="1484"/>
        <item x="1485"/>
        <item x="1486"/>
        <item x="1487"/>
        <item x="1488"/>
        <item x="1489"/>
        <item x="1490"/>
        <item x="1491"/>
        <item x="1492"/>
        <item x="1493"/>
        <item x="1494"/>
        <item x="1495"/>
        <item x="1496"/>
        <item x="1497"/>
        <item x="1498"/>
        <item x="1499"/>
        <item x="1500"/>
        <item x="1501"/>
        <item x="1502"/>
        <item x="1503"/>
        <item x="1504"/>
        <item x="1505"/>
        <item x="1506"/>
        <item x="1507"/>
        <item x="1508"/>
        <item x="1509"/>
        <item x="1510"/>
        <item x="1511"/>
        <item x="1512"/>
        <item x="1513"/>
        <item x="1514"/>
        <item x="1515"/>
        <item x="1516"/>
        <item x="1517"/>
        <item x="1518"/>
        <item x="1519"/>
        <item x="1520"/>
        <item x="1521"/>
        <item x="1522"/>
        <item x="1523"/>
        <item x="1524"/>
        <item x="1525"/>
        <item x="1526"/>
        <item x="1527"/>
        <item x="1528"/>
        <item x="1529"/>
        <item x="1530"/>
        <item x="1531"/>
        <item x="1532"/>
        <item x="1533"/>
        <item x="1534"/>
        <item x="1535"/>
        <item x="1536"/>
        <item x="1537"/>
        <item x="1538"/>
        <item x="1539"/>
        <item x="1540"/>
        <item x="1541"/>
        <item x="1542"/>
        <item x="1543"/>
        <item x="1544"/>
        <item x="1545"/>
        <item x="1546"/>
        <item x="1547"/>
        <item x="1548"/>
        <item x="1549"/>
        <item x="1550"/>
        <item x="1551"/>
        <item x="1552"/>
        <item x="1553"/>
        <item x="1554"/>
        <item x="1555"/>
        <item x="1556"/>
        <item x="1557"/>
        <item x="1558"/>
        <item x="1559"/>
        <item x="1560"/>
        <item x="1561"/>
        <item x="1562"/>
        <item x="1563"/>
        <item x="1564"/>
        <item x="1565"/>
        <item x="1566"/>
        <item x="1567"/>
        <item x="1568"/>
        <item x="1569"/>
        <item x="1570"/>
        <item x="1571"/>
        <item x="1572"/>
        <item x="1573"/>
        <item x="1574"/>
        <item x="1575"/>
        <item x="1576"/>
        <item x="1577"/>
        <item x="1578"/>
        <item x="1579"/>
        <item x="1580"/>
        <item x="1581"/>
        <item x="1582"/>
        <item x="1583"/>
        <item x="1584"/>
        <item x="1585"/>
        <item x="1586"/>
        <item x="1587"/>
        <item x="1588"/>
        <item x="1589"/>
        <item x="1590"/>
        <item x="1591"/>
        <item x="1592"/>
        <item x="1593"/>
        <item x="1594"/>
        <item x="1595"/>
        <item x="1596"/>
        <item x="1597"/>
        <item x="1598"/>
        <item x="1599"/>
        <item x="1600"/>
        <item x="1601"/>
        <item x="1602"/>
        <item x="1603"/>
        <item x="1604"/>
        <item x="1605"/>
        <item x="1606"/>
        <item x="1607"/>
        <item x="1608"/>
        <item x="1609"/>
        <item x="1610"/>
        <item x="1611"/>
        <item x="1612"/>
        <item x="1613"/>
        <item x="1614"/>
        <item x="1615"/>
        <item x="1616"/>
        <item x="1617"/>
        <item x="1618"/>
        <item x="1619"/>
        <item x="1620"/>
        <item x="1621"/>
        <item x="1622"/>
        <item x="1623"/>
        <item x="1624"/>
        <item x="1625"/>
        <item x="1626"/>
        <item x="1627"/>
        <item x="1628"/>
        <item x="1629"/>
        <item x="1630"/>
        <item x="1631"/>
        <item x="1632"/>
        <item x="1633"/>
        <item x="1634"/>
        <item x="1635"/>
        <item x="1636"/>
        <item x="1637"/>
        <item x="1638"/>
        <item x="1639"/>
        <item x="1640"/>
        <item x="1641"/>
        <item x="1642"/>
        <item x="1643"/>
        <item x="1644"/>
        <item x="1645"/>
        <item x="1646"/>
        <item x="1647"/>
        <item x="1648"/>
        <item x="1649"/>
        <item x="1650"/>
        <item x="1651"/>
        <item x="1652"/>
        <item x="1653"/>
        <item x="1654"/>
        <item x="1655"/>
        <item x="1656"/>
        <item x="1657"/>
        <item x="1658"/>
        <item x="1659"/>
        <item x="1660"/>
        <item x="1661"/>
        <item x="1662"/>
        <item x="1663"/>
        <item x="1664"/>
        <item x="1665"/>
        <item x="1666"/>
        <item x="1667"/>
        <item x="1668"/>
        <item x="1669"/>
        <item x="1670"/>
        <item x="1671"/>
        <item x="1672"/>
        <item x="1673"/>
        <item x="1674"/>
        <item x="1675"/>
        <item x="1676"/>
        <item x="1677"/>
        <item x="1678"/>
        <item x="1679"/>
        <item x="1680"/>
        <item x="1681"/>
        <item x="1682"/>
        <item x="1683"/>
        <item x="1684"/>
        <item x="1685"/>
        <item x="1686"/>
        <item x="1687"/>
        <item x="1688"/>
        <item x="1689"/>
        <item x="1690"/>
        <item x="1691"/>
        <item x="1692"/>
        <item x="1693"/>
        <item x="1694"/>
        <item x="1695"/>
        <item x="1696"/>
        <item x="1697"/>
        <item x="1698"/>
        <item x="1699"/>
        <item x="1700"/>
        <item x="1701"/>
        <item x="1702"/>
        <item x="1703"/>
        <item x="1704"/>
        <item x="1705"/>
        <item x="1706"/>
        <item x="1707"/>
        <item x="1708"/>
        <item x="1709"/>
        <item x="1710"/>
        <item x="1711"/>
        <item x="1712"/>
        <item x="1713"/>
        <item x="1714"/>
        <item x="1715"/>
        <item x="1716"/>
        <item x="1717"/>
        <item x="1718"/>
        <item x="1719"/>
        <item x="1720"/>
        <item x="1721"/>
        <item x="1722"/>
        <item x="1723"/>
        <item x="1724"/>
        <item x="1725"/>
        <item x="1726"/>
        <item x="1727"/>
        <item x="1728"/>
        <item x="1729"/>
        <item x="1730"/>
        <item x="1731"/>
        <item x="1732"/>
        <item x="1733"/>
        <item x="1734"/>
        <item x="1735"/>
        <item x="1736"/>
        <item x="1737"/>
        <item x="1738"/>
        <item x="1739"/>
        <item x="1740"/>
        <item x="1741"/>
        <item x="1742"/>
        <item x="1743"/>
        <item x="1744"/>
        <item x="1745"/>
        <item x="1746"/>
        <item x="1747"/>
        <item x="1748"/>
        <item x="1749"/>
        <item x="1750"/>
        <item x="1751"/>
        <item x="1752"/>
        <item x="1753"/>
        <item x="1754"/>
        <item x="1755"/>
        <item x="1756"/>
        <item x="1757"/>
        <item x="1758"/>
        <item x="1759"/>
        <item x="1760"/>
        <item x="1761"/>
        <item x="1762"/>
        <item x="1763"/>
        <item x="1764"/>
        <item x="1765"/>
        <item x="1766"/>
        <item x="1767"/>
        <item x="1768"/>
        <item x="1769"/>
        <item x="1770"/>
        <item x="1771"/>
        <item x="1772"/>
        <item x="1773"/>
        <item x="1774"/>
        <item x="1775"/>
        <item x="1776"/>
        <item x="1777"/>
        <item x="1778"/>
        <item x="1779"/>
        <item x="1780"/>
        <item x="1781"/>
        <item x="1782"/>
        <item x="1783"/>
        <item x="1784"/>
        <item x="1785"/>
        <item x="1786"/>
        <item x="1787"/>
        <item x="1788"/>
        <item x="1789"/>
        <item x="1790"/>
        <item x="1791"/>
        <item x="1792"/>
        <item x="1793"/>
        <item x="1794"/>
        <item x="1795"/>
        <item x="1796"/>
        <item x="1797"/>
        <item x="1798"/>
        <item x="1799"/>
        <item x="1800"/>
        <item x="1801"/>
        <item x="1802"/>
        <item x="1803"/>
        <item x="1804"/>
        <item x="1805"/>
        <item x="1806"/>
        <item x="1807"/>
        <item x="1808"/>
        <item x="1809"/>
        <item x="1810"/>
        <item x="1811"/>
        <item x="1812"/>
        <item x="1813"/>
        <item x="1814"/>
        <item x="1815"/>
        <item x="1816"/>
        <item x="1817"/>
        <item x="1818"/>
        <item x="1819"/>
        <item x="1820"/>
        <item x="1821"/>
        <item x="1822"/>
        <item x="1823"/>
        <item x="1824"/>
        <item x="1825"/>
        <item x="1826"/>
        <item x="1827"/>
        <item x="1828"/>
        <item x="1829"/>
        <item x="1830"/>
        <item x="1831"/>
        <item x="1832"/>
        <item x="1833"/>
        <item x="1834"/>
        <item x="1835"/>
        <item x="1836"/>
        <item x="1837"/>
        <item x="1838"/>
        <item x="1839"/>
        <item x="1840"/>
        <item x="1841"/>
        <item x="1842"/>
        <item x="1843"/>
        <item x="1844"/>
        <item x="1845"/>
        <item x="1846"/>
        <item x="1847"/>
        <item x="1848"/>
        <item x="1849"/>
        <item x="1850"/>
        <item x="1851"/>
        <item x="1852"/>
        <item x="1853"/>
        <item x="1854"/>
        <item x="1855"/>
        <item x="1856"/>
        <item x="1857"/>
        <item x="1858"/>
        <item x="1859"/>
        <item x="1860"/>
        <item x="1861"/>
        <item x="1862"/>
        <item x="1863"/>
        <item x="1864"/>
        <item x="1865"/>
        <item x="1866"/>
        <item x="1867"/>
        <item x="1868"/>
        <item x="1869"/>
        <item x="1870"/>
        <item x="1871"/>
        <item x="1872"/>
        <item x="1873"/>
        <item x="1874"/>
        <item x="1875"/>
        <item x="1876"/>
        <item x="1877"/>
        <item x="1878"/>
        <item x="1879"/>
        <item x="1880"/>
        <item x="1881"/>
        <item x="1882"/>
        <item x="1883"/>
        <item x="1884"/>
        <item x="1885"/>
        <item x="1886"/>
        <item x="1887"/>
        <item x="1888"/>
        <item x="1889"/>
        <item x="1890"/>
        <item x="1891"/>
        <item x="1892"/>
        <item x="1893"/>
        <item x="1894"/>
        <item x="1895"/>
        <item x="1896"/>
        <item x="1897"/>
        <item x="1898"/>
        <item x="1899"/>
        <item x="1900"/>
        <item x="1901"/>
        <item x="1902"/>
        <item x="1903"/>
        <item x="1904"/>
        <item x="1905"/>
        <item x="1906"/>
        <item x="1907"/>
        <item x="1908"/>
        <item x="1909"/>
        <item x="1910"/>
        <item x="1911"/>
        <item x="1912"/>
        <item x="1913"/>
        <item x="1914"/>
        <item x="1915"/>
        <item x="1916"/>
        <item x="1917"/>
        <item x="1918"/>
        <item x="1919"/>
        <item x="1920"/>
        <item x="1921"/>
        <item x="1922"/>
        <item x="1923"/>
        <item x="1924"/>
        <item x="1925"/>
        <item x="1926"/>
        <item x="1927"/>
        <item x="1928"/>
        <item x="1929"/>
        <item x="1930"/>
        <item x="1931"/>
        <item x="1932"/>
        <item x="1933"/>
        <item x="1934"/>
        <item x="1935"/>
        <item x="1936"/>
        <item x="1937"/>
        <item x="1938"/>
        <item x="1939"/>
        <item x="1940"/>
        <item x="1941"/>
        <item x="1942"/>
        <item x="1943"/>
        <item x="1944"/>
        <item x="1945"/>
        <item x="1946"/>
        <item x="1947"/>
        <item x="1948"/>
        <item x="1949"/>
        <item x="1950"/>
        <item x="1951"/>
        <item x="1952"/>
        <item x="1953"/>
        <item x="1954"/>
        <item x="1955"/>
        <item x="1956"/>
        <item x="1957"/>
        <item x="1958"/>
        <item x="1959"/>
        <item x="1960"/>
        <item x="1961"/>
        <item x="1962"/>
        <item x="1963"/>
        <item x="1964"/>
        <item x="1965"/>
        <item x="1966"/>
        <item x="1967"/>
        <item x="1968"/>
        <item x="1969"/>
        <item x="1970"/>
        <item x="1971"/>
        <item x="1972"/>
        <item x="1973"/>
        <item x="1974"/>
        <item x="1975"/>
        <item x="1976"/>
        <item x="1977"/>
        <item x="1978"/>
        <item x="1979"/>
        <item x="1980"/>
        <item x="1981"/>
        <item x="1982"/>
        <item x="1983"/>
        <item x="1984"/>
        <item x="1985"/>
        <item x="1986"/>
        <item x="1987"/>
        <item x="1988"/>
        <item x="1989"/>
        <item x="1990"/>
        <item x="1991"/>
        <item x="1992"/>
        <item x="1993"/>
        <item x="1994"/>
        <item x="1995"/>
        <item x="1996"/>
        <item x="1997"/>
        <item x="1998"/>
        <item x="1999"/>
        <item x="2000"/>
        <item x="2001"/>
        <item x="2002"/>
        <item x="2003"/>
        <item x="2004"/>
        <item x="2005"/>
        <item x="2006"/>
        <item x="2007"/>
        <item x="2008"/>
        <item x="2009"/>
        <item x="2010"/>
        <item x="2011"/>
        <item x="2012"/>
        <item x="2013"/>
        <item x="2014"/>
        <item x="2015"/>
        <item x="2016"/>
        <item x="2017"/>
        <item x="2018"/>
        <item x="2019"/>
        <item x="2020"/>
        <item x="2021"/>
        <item x="2022"/>
        <item x="2023"/>
        <item x="2024"/>
        <item x="2025"/>
        <item x="2026"/>
        <item x="2027"/>
        <item x="2028"/>
        <item x="2029"/>
        <item x="2030"/>
        <item x="2031"/>
        <item x="2032"/>
        <item x="2033"/>
        <item x="2034"/>
        <item x="2035"/>
        <item x="2036"/>
        <item x="2037"/>
        <item x="2038"/>
        <item x="2039"/>
        <item x="2040"/>
        <item x="2041"/>
        <item x="2042"/>
        <item x="2043"/>
        <item x="2044"/>
        <item x="2045"/>
        <item x="2046"/>
        <item x="2047"/>
        <item x="2048"/>
        <item x="2049"/>
        <item x="2050"/>
        <item x="2051"/>
        <item x="2052"/>
        <item x="2053"/>
        <item x="2054"/>
        <item x="2055"/>
        <item x="2056"/>
        <item x="2057"/>
        <item x="2058"/>
        <item x="2059"/>
        <item x="2060"/>
        <item x="2061"/>
        <item x="2062"/>
        <item x="2063"/>
        <item x="2064"/>
        <item x="2065"/>
        <item x="2066"/>
        <item x="2067"/>
        <item x="2068"/>
        <item x="2069"/>
        <item x="2070"/>
        <item x="2071"/>
        <item x="2072"/>
        <item x="2073"/>
        <item x="2074"/>
        <item x="2075"/>
        <item x="2076"/>
        <item x="2077"/>
        <item x="2078"/>
        <item x="2079"/>
        <item x="2080"/>
        <item x="2081"/>
        <item x="2082"/>
        <item x="2083"/>
        <item x="2084"/>
        <item x="2085"/>
        <item x="2086"/>
        <item x="2087"/>
        <item x="2088"/>
        <item x="2089"/>
        <item x="2090"/>
        <item x="2091"/>
        <item x="2092"/>
        <item x="2093"/>
        <item x="2094"/>
        <item x="2095"/>
        <item x="2096"/>
        <item x="2097"/>
        <item x="2098"/>
        <item x="2099"/>
        <item x="2100"/>
        <item x="2101"/>
        <item x="2102"/>
        <item x="2103"/>
        <item x="2104"/>
        <item x="2105"/>
        <item x="2106"/>
        <item x="2107"/>
        <item x="2108"/>
        <item x="2109"/>
        <item x="2110"/>
        <item x="2111"/>
        <item x="2112"/>
        <item x="2113"/>
        <item x="2114"/>
        <item x="2115"/>
        <item x="2116"/>
        <item x="2117"/>
        <item x="2118"/>
        <item x="2119"/>
        <item x="2120"/>
        <item x="2121"/>
        <item x="2122"/>
        <item x="2123"/>
        <item x="2124"/>
        <item x="2125"/>
        <item x="2126"/>
        <item x="2127"/>
        <item x="2128"/>
        <item x="2129"/>
        <item x="2130"/>
        <item x="2131"/>
        <item x="2132"/>
        <item x="2133"/>
        <item x="2134"/>
        <item x="2135"/>
        <item x="2136"/>
        <item x="2137"/>
        <item x="2138"/>
        <item x="2139"/>
        <item x="2140"/>
        <item x="2141"/>
        <item x="2142"/>
        <item x="2143"/>
        <item x="2144"/>
        <item x="2145"/>
        <item x="2146"/>
        <item x="2147"/>
        <item x="2148"/>
        <item x="2149"/>
        <item x="2150"/>
        <item x="2151"/>
        <item x="2152"/>
        <item x="2153"/>
        <item x="2154"/>
        <item x="2155"/>
        <item x="2156"/>
        <item x="2157"/>
        <item x="2158"/>
        <item x="2159"/>
        <item x="2160"/>
        <item x="2161"/>
        <item x="2162"/>
        <item x="2163"/>
        <item x="2164"/>
        <item x="2165"/>
        <item x="2166"/>
        <item x="2167"/>
        <item x="2168"/>
        <item x="2169"/>
        <item x="2170"/>
        <item x="2171"/>
        <item x="2172"/>
        <item x="2173"/>
        <item x="2174"/>
        <item x="2175"/>
        <item x="2176"/>
        <item x="2177"/>
        <item x="2178"/>
        <item x="2179"/>
        <item x="2180"/>
        <item x="2181"/>
        <item x="2182"/>
        <item x="2183"/>
        <item x="2184"/>
        <item x="2185"/>
        <item x="2186"/>
        <item x="2187"/>
        <item x="2188"/>
        <item x="2189"/>
        <item x="2190"/>
        <item x="2191"/>
        <item x="2192"/>
        <item x="2193"/>
        <item x="2194"/>
        <item x="2195"/>
        <item x="2196"/>
        <item x="2197"/>
        <item x="2198"/>
        <item x="2199"/>
        <item x="2200"/>
        <item x="2201"/>
        <item x="2202"/>
        <item x="2203"/>
        <item x="2204"/>
        <item x="2205"/>
        <item x="2206"/>
        <item x="2207"/>
        <item x="2208"/>
        <item x="2209"/>
        <item x="2210"/>
        <item x="2211"/>
        <item x="2212"/>
        <item x="2213"/>
        <item x="2214"/>
        <item x="2215"/>
        <item x="2216"/>
        <item x="2217"/>
        <item x="2218"/>
        <item x="2219"/>
        <item x="2220"/>
        <item x="2221"/>
        <item x="2222"/>
        <item x="2223"/>
        <item x="2224"/>
        <item x="2225"/>
        <item x="2226"/>
        <item x="2227"/>
        <item x="2228"/>
        <item x="2229"/>
        <item x="2230"/>
        <item x="2231"/>
        <item x="2232"/>
        <item x="2233"/>
        <item x="2234"/>
        <item x="2235"/>
        <item x="2236"/>
        <item x="2237"/>
        <item x="2238"/>
        <item x="2239"/>
        <item x="2240"/>
        <item x="2241"/>
        <item x="2242"/>
        <item x="2243"/>
        <item x="2244"/>
        <item x="2245"/>
        <item x="2246"/>
        <item x="2247"/>
        <item x="2248"/>
        <item x="2249"/>
        <item x="2250"/>
        <item x="2251"/>
        <item x="2252"/>
        <item x="2253"/>
        <item x="2254"/>
        <item x="2255"/>
        <item x="2256"/>
        <item x="2257"/>
        <item x="2258"/>
        <item x="2259"/>
        <item x="2260"/>
        <item x="2261"/>
        <item x="2262"/>
        <item x="2263"/>
        <item x="2264"/>
        <item x="2265"/>
        <item x="2266"/>
        <item x="2267"/>
        <item x="2268"/>
        <item x="2269"/>
        <item x="2270"/>
        <item x="2271"/>
        <item x="2272"/>
        <item x="2273"/>
        <item x="2274"/>
        <item x="2275"/>
        <item x="2276"/>
        <item x="2277"/>
        <item x="2278"/>
        <item x="2279"/>
        <item x="2280"/>
        <item x="2281"/>
        <item x="2282"/>
        <item x="2283"/>
        <item x="2284"/>
        <item x="2285"/>
        <item x="2286"/>
        <item x="2287"/>
        <item x="2288"/>
        <item x="2289"/>
        <item x="2290"/>
        <item x="2291"/>
        <item x="2292"/>
        <item x="2293"/>
        <item x="2294"/>
        <item x="2295"/>
        <item x="2296"/>
        <item x="2297"/>
        <item x="2298"/>
        <item x="2299"/>
        <item x="2300"/>
        <item x="2301"/>
        <item x="2302"/>
        <item x="2303"/>
        <item x="2304"/>
        <item x="2305"/>
        <item x="2306"/>
        <item x="2307"/>
        <item x="2308"/>
        <item x="2309"/>
        <item x="2310"/>
        <item x="2311"/>
        <item x="2312"/>
        <item x="2313"/>
        <item x="2314"/>
        <item x="2315"/>
        <item x="2316"/>
        <item x="2317"/>
        <item x="2318"/>
        <item x="2319"/>
        <item x="2320"/>
        <item x="2321"/>
        <item x="2322"/>
        <item x="2323"/>
        <item x="2324"/>
        <item x="2325"/>
        <item x="2326"/>
        <item x="2327"/>
        <item x="2328"/>
        <item x="2329"/>
        <item x="2330"/>
        <item x="2331"/>
        <item x="2332"/>
        <item x="2333"/>
        <item x="2334"/>
        <item x="2335"/>
        <item x="2336"/>
        <item x="2337"/>
        <item x="2338"/>
        <item x="2339"/>
        <item x="2340"/>
        <item x="2341"/>
        <item x="2342"/>
        <item x="2343"/>
        <item x="2344"/>
        <item x="2345"/>
        <item x="2346"/>
        <item x="2347"/>
        <item x="2348"/>
        <item x="2349"/>
        <item x="2350"/>
        <item x="2351"/>
        <item x="2352"/>
        <item x="2353"/>
        <item x="2354"/>
        <item x="2355"/>
        <item x="2356"/>
        <item x="2357"/>
        <item x="2358"/>
        <item x="2359"/>
        <item x="2360"/>
        <item x="2361"/>
        <item x="2362"/>
        <item x="2363"/>
        <item x="2364"/>
        <item x="2365"/>
        <item x="2366"/>
        <item x="2367"/>
        <item x="2368"/>
        <item x="2369"/>
        <item x="2370"/>
        <item x="2371"/>
        <item x="2372"/>
        <item x="2373"/>
        <item x="2374"/>
        <item x="2375"/>
        <item x="2376"/>
        <item x="2377"/>
        <item x="2378"/>
        <item x="2379"/>
        <item x="2380"/>
        <item x="2381"/>
        <item x="2382"/>
        <item x="2383"/>
        <item x="2384"/>
        <item x="2385"/>
        <item x="2386"/>
        <item x="2387"/>
        <item x="2388"/>
        <item x="2389"/>
        <item x="2390"/>
        <item x="2391"/>
        <item x="2392"/>
        <item x="2393"/>
        <item x="2394"/>
        <item x="2395"/>
        <item x="2396"/>
        <item x="2397"/>
        <item x="2398"/>
        <item x="2399"/>
        <item x="2400"/>
        <item x="2401"/>
        <item x="2402"/>
        <item x="2403"/>
        <item x="2404"/>
        <item x="2405"/>
        <item x="2406"/>
        <item x="2407"/>
        <item x="2408"/>
        <item x="2409"/>
        <item x="2410"/>
        <item x="2411"/>
        <item x="2412"/>
        <item x="2413"/>
        <item x="2414"/>
        <item x="2415"/>
        <item x="2416"/>
        <item x="2417"/>
        <item x="2418"/>
        <item x="2419"/>
        <item x="2420"/>
        <item x="2421"/>
        <item x="2422"/>
        <item x="2423"/>
        <item x="2424"/>
        <item x="2425"/>
        <item x="2426"/>
        <item x="2427"/>
        <item x="2428"/>
        <item x="2429"/>
        <item x="2430"/>
        <item x="2431"/>
        <item x="2432"/>
        <item x="2433"/>
        <item x="2434"/>
        <item x="2435"/>
        <item x="2436"/>
        <item x="2437"/>
        <item x="2438"/>
        <item x="2439"/>
        <item x="2440"/>
        <item x="2441"/>
        <item x="2442"/>
        <item x="2443"/>
        <item x="2444"/>
        <item x="2445"/>
        <item x="2446"/>
        <item x="2447"/>
        <item x="2448"/>
        <item x="2449"/>
        <item x="2450"/>
        <item x="2451"/>
        <item x="2452"/>
        <item x="2453"/>
        <item x="2454"/>
        <item x="2455"/>
        <item x="2456"/>
        <item x="2457"/>
        <item x="2458"/>
        <item x="2459"/>
        <item x="2460"/>
        <item x="2461"/>
        <item x="2462"/>
        <item x="2463"/>
        <item x="2464"/>
        <item x="2465"/>
        <item x="2466"/>
        <item x="2467"/>
        <item x="2468"/>
        <item x="2469"/>
        <item x="2470"/>
        <item x="2471"/>
        <item x="2472"/>
        <item x="2473"/>
        <item x="2474"/>
        <item x="2475"/>
        <item x="2476"/>
        <item x="2477"/>
        <item x="2478"/>
        <item x="2479"/>
        <item x="2480"/>
        <item x="2481"/>
        <item x="2482"/>
        <item x="2483"/>
        <item x="2484"/>
        <item x="2485"/>
        <item x="2486"/>
        <item x="2487"/>
        <item x="2488"/>
        <item x="2489"/>
        <item x="2490"/>
        <item x="2491"/>
        <item x="2492"/>
        <item x="2493"/>
        <item x="2494"/>
        <item x="2495"/>
        <item x="2496"/>
        <item x="2497"/>
        <item x="2498"/>
        <item x="2499"/>
        <item x="2500"/>
        <item x="2501"/>
        <item x="2502"/>
        <item x="2503"/>
        <item x="2504"/>
        <item x="2505"/>
        <item x="2506"/>
        <item x="2507"/>
        <item x="2508"/>
        <item x="2509"/>
        <item x="2510"/>
        <item x="2511"/>
        <item x="2512"/>
        <item x="2513"/>
        <item x="2514"/>
        <item x="2515"/>
        <item x="2516"/>
        <item x="2517"/>
        <item x="2518"/>
        <item x="2519"/>
        <item x="2520"/>
        <item x="2521"/>
        <item x="2522"/>
        <item x="2523"/>
        <item x="2524"/>
        <item x="2525"/>
        <item x="2526"/>
        <item x="2527"/>
        <item x="2528"/>
        <item x="2529"/>
        <item x="2530"/>
        <item x="2531"/>
        <item x="2532"/>
        <item x="2533"/>
        <item x="2534"/>
        <item x="2535"/>
        <item x="2536"/>
        <item x="2537"/>
        <item x="2538"/>
        <item x="2539"/>
        <item x="2540"/>
        <item x="2541"/>
        <item x="2542"/>
        <item x="2543"/>
        <item x="2544"/>
        <item x="2545"/>
        <item x="2546"/>
        <item x="2547"/>
        <item x="2548"/>
        <item x="2549"/>
        <item x="2550"/>
        <item x="2551"/>
        <item x="2552"/>
        <item x="2553"/>
        <item x="2554"/>
        <item x="2555"/>
        <item x="2556"/>
        <item x="2557"/>
        <item x="2558"/>
        <item x="2559"/>
        <item x="2560"/>
        <item x="2561"/>
        <item x="2562"/>
        <item x="2563"/>
        <item x="2564"/>
        <item x="2565"/>
        <item x="2566"/>
        <item x="2567"/>
        <item x="2568"/>
        <item x="2569"/>
        <item x="2570"/>
        <item x="2571"/>
        <item x="2572"/>
        <item x="2573"/>
        <item x="2574"/>
        <item x="2575"/>
        <item x="2576"/>
        <item x="2577"/>
        <item x="2578"/>
        <item x="2579"/>
        <item x="2580"/>
        <item x="2581"/>
        <item x="2582"/>
        <item x="2583"/>
        <item x="2584"/>
        <item x="2585"/>
        <item x="2586"/>
        <item x="2587"/>
        <item x="2588"/>
        <item x="2589"/>
        <item x="2590"/>
        <item x="2591"/>
        <item x="2592"/>
        <item x="2593"/>
        <item x="2594"/>
        <item x="2595"/>
        <item x="2596"/>
        <item x="2597"/>
        <item x="2598"/>
        <item x="2599"/>
        <item x="2600"/>
        <item x="2601"/>
        <item x="2602"/>
        <item x="2603"/>
        <item x="2604"/>
        <item x="2605"/>
        <item x="2606"/>
        <item x="2607"/>
        <item x="2608"/>
        <item x="2609"/>
        <item x="2610"/>
        <item x="2611"/>
        <item x="2612"/>
        <item x="2613"/>
        <item x="2614"/>
        <item x="2615"/>
        <item x="2616"/>
        <item x="2617"/>
        <item x="2618"/>
        <item x="2619"/>
        <item x="2620"/>
        <item x="2621"/>
        <item x="2622"/>
        <item x="2623"/>
        <item x="2624"/>
        <item x="2625"/>
        <item x="2626"/>
        <item x="2627"/>
        <item x="2628"/>
        <item x="2629"/>
        <item x="2630"/>
        <item x="2631"/>
        <item x="2632"/>
        <item x="2633"/>
        <item x="2634"/>
        <item x="2635"/>
        <item x="2636"/>
        <item x="2637"/>
        <item x="2638"/>
        <item x="2639"/>
        <item x="2640"/>
        <item x="2641"/>
        <item x="2642"/>
        <item x="2643"/>
        <item x="2644"/>
        <item x="2645"/>
        <item x="2646"/>
        <item x="2647"/>
        <item x="2648"/>
        <item x="2649"/>
        <item x="2650"/>
        <item x="2651"/>
        <item x="2652"/>
        <item x="2653"/>
        <item x="2654"/>
        <item x="2655"/>
        <item x="2656"/>
        <item x="2657"/>
        <item x="2658"/>
        <item x="2659"/>
        <item x="2660"/>
        <item x="2661"/>
        <item x="2662"/>
        <item x="2663"/>
        <item x="2664"/>
        <item x="2665"/>
        <item x="2666"/>
        <item x="2667"/>
        <item x="2668"/>
        <item x="2669"/>
        <item x="2670"/>
        <item x="2671"/>
        <item x="2672"/>
        <item x="2673"/>
        <item x="2674"/>
        <item x="2675"/>
        <item x="2676"/>
        <item x="2677"/>
        <item x="2678"/>
        <item x="2679"/>
        <item x="2680"/>
        <item x="2681"/>
        <item x="2682"/>
        <item x="2683"/>
        <item x="2684"/>
        <item x="2685"/>
        <item x="2686"/>
        <item x="2687"/>
        <item x="2688"/>
        <item x="2689"/>
        <item x="2690"/>
        <item x="2691"/>
        <item x="2692"/>
        <item x="2693"/>
        <item x="2694"/>
        <item x="2695"/>
        <item x="2696"/>
        <item x="2697"/>
        <item x="2698"/>
        <item x="2699"/>
        <item x="2700"/>
        <item x="2701"/>
        <item x="2702"/>
        <item x="2703"/>
        <item x="2704"/>
        <item x="2705"/>
        <item x="2706"/>
        <item x="2707"/>
        <item x="2708"/>
        <item x="2709"/>
        <item x="2710"/>
        <item x="2711"/>
        <item x="2712"/>
        <item x="2713"/>
        <item x="2714"/>
        <item x="2715"/>
        <item x="2716"/>
        <item x="2717"/>
        <item x="2718"/>
        <item x="2719"/>
        <item x="2720"/>
        <item x="2721"/>
        <item x="2722"/>
        <item x="2723"/>
        <item x="2724"/>
        <item x="2725"/>
        <item x="2726"/>
        <item x="2727"/>
        <item x="2728"/>
        <item x="2729"/>
        <item x="2730"/>
        <item x="2731"/>
        <item x="2732"/>
        <item x="2733"/>
        <item x="2734"/>
        <item x="2735"/>
        <item x="2736"/>
        <item x="2737"/>
        <item x="2738"/>
        <item x="2739"/>
        <item x="2740"/>
        <item x="2741"/>
        <item x="2742"/>
        <item x="2743"/>
        <item x="2744"/>
        <item x="2745"/>
        <item x="2746"/>
        <item x="2747"/>
        <item x="2748"/>
        <item x="2749"/>
        <item x="2750"/>
        <item x="2751"/>
        <item x="2752"/>
        <item x="2753"/>
        <item x="2754"/>
        <item x="2755"/>
        <item x="2756"/>
        <item x="2757"/>
        <item x="2758"/>
        <item x="2759"/>
        <item x="2760"/>
        <item x="2761"/>
        <item x="2762"/>
        <item x="2763"/>
        <item x="2764"/>
        <item x="2765"/>
        <item x="2766"/>
        <item x="2767"/>
        <item x="2768"/>
        <item x="2769"/>
        <item x="2770"/>
        <item x="2771"/>
        <item x="2772"/>
        <item x="2773"/>
        <item x="2774"/>
        <item x="2775"/>
        <item x="2776"/>
        <item x="2777"/>
        <item x="2778"/>
        <item x="2779"/>
        <item x="2780"/>
        <item x="2781"/>
        <item x="2782"/>
        <item x="2783"/>
        <item x="2784"/>
        <item x="2785"/>
        <item x="2786"/>
        <item x="2787"/>
        <item x="2788"/>
        <item x="2789"/>
        <item x="2790"/>
        <item x="2791"/>
        <item x="2792"/>
        <item x="2793"/>
        <item x="2794"/>
        <item x="2795"/>
        <item x="2796"/>
        <item x="2797"/>
        <item x="2798"/>
        <item x="2799"/>
        <item x="2800"/>
        <item x="2801"/>
        <item x="2802"/>
        <item x="2803"/>
        <item x="2804"/>
        <item x="2805"/>
        <item x="2806"/>
        <item x="2807"/>
        <item x="2808"/>
        <item x="2809"/>
        <item x="2810"/>
        <item x="2811"/>
        <item x="2812"/>
        <item x="2813"/>
        <item x="2814"/>
        <item x="2815"/>
        <item x="2816"/>
        <item x="2817"/>
        <item x="2818"/>
        <item x="2819"/>
        <item x="2820"/>
        <item x="2821"/>
        <item x="2822"/>
        <item x="2823"/>
        <item x="2824"/>
        <item x="2825"/>
        <item x="2826"/>
        <item x="2827"/>
        <item x="2828"/>
        <item x="2829"/>
        <item x="2830"/>
        <item x="2831"/>
        <item x="2832"/>
        <item x="2833"/>
        <item x="2834"/>
        <item x="2835"/>
        <item x="2836"/>
        <item x="2837"/>
        <item x="2838"/>
        <item x="2839"/>
        <item x="2840"/>
        <item x="2841"/>
        <item x="2842"/>
        <item x="2843"/>
        <item x="2844"/>
        <item x="2845"/>
        <item x="2846"/>
        <item x="2847"/>
        <item x="2848"/>
        <item x="2849"/>
        <item x="2850"/>
        <item x="2851"/>
        <item x="2852"/>
        <item x="2853"/>
        <item x="2854"/>
        <item x="2855"/>
        <item x="2856"/>
        <item x="2857"/>
        <item x="2858"/>
        <item x="2859"/>
        <item x="2860"/>
        <item x="2861"/>
        <item x="2862"/>
        <item x="2863"/>
        <item x="2864"/>
        <item x="2865"/>
        <item x="2866"/>
        <item x="2867"/>
        <item x="2868"/>
        <item x="2869"/>
        <item x="2870"/>
        <item x="2871"/>
        <item x="2872"/>
        <item x="2873"/>
        <item x="2874"/>
        <item x="2875"/>
        <item x="2876"/>
        <item x="2877"/>
        <item x="2878"/>
        <item x="2879"/>
        <item x="2880"/>
        <item x="2881"/>
        <item x="2882"/>
        <item x="2883"/>
        <item x="2884"/>
        <item x="2885"/>
        <item x="2886"/>
        <item x="2887"/>
        <item x="2888"/>
        <item x="2889"/>
        <item x="2890"/>
        <item x="2891"/>
        <item x="2892"/>
        <item x="2893"/>
        <item x="2894"/>
        <item x="2895"/>
        <item x="2896"/>
        <item x="2897"/>
        <item x="2898"/>
        <item x="2899"/>
        <item x="2900"/>
        <item x="2901"/>
        <item x="2902"/>
        <item x="2903"/>
        <item x="2904"/>
        <item x="2905"/>
        <item x="2906"/>
        <item x="2907"/>
        <item x="2908"/>
        <item x="2909"/>
        <item x="2910"/>
        <item x="2911"/>
        <item x="2912"/>
        <item x="2913"/>
        <item x="2914"/>
        <item x="2915"/>
        <item x="2916"/>
        <item x="2917"/>
        <item x="2918"/>
        <item x="2919"/>
        <item x="2920"/>
        <item x="2921"/>
        <item x="2922"/>
        <item x="2923"/>
        <item x="2924"/>
        <item x="2925"/>
        <item x="2926"/>
        <item x="2927"/>
        <item x="2928"/>
        <item x="2929"/>
        <item x="2930"/>
        <item x="2931"/>
        <item x="2932"/>
        <item x="2933"/>
        <item x="2934"/>
        <item x="2935"/>
        <item x="2936"/>
        <item x="2937"/>
        <item x="2938"/>
        <item x="2939"/>
        <item x="2940"/>
        <item x="2941"/>
        <item x="2942"/>
        <item x="2943"/>
        <item x="2944"/>
        <item x="2945"/>
        <item x="2946"/>
        <item x="2947"/>
        <item x="2948"/>
        <item x="2949"/>
        <item x="2950"/>
        <item x="2951"/>
        <item x="2952"/>
        <item x="2953"/>
        <item x="2954"/>
        <item x="2955"/>
        <item x="2956"/>
        <item x="2957"/>
        <item x="2958"/>
        <item x="2959"/>
        <item x="2960"/>
        <item x="2961"/>
        <item x="2962"/>
        <item x="2963"/>
        <item x="2964"/>
        <item x="2965"/>
        <item x="2966"/>
        <item x="2967"/>
        <item x="2968"/>
        <item x="2969"/>
        <item x="2970"/>
        <item x="2971"/>
        <item x="2972"/>
        <item x="2973"/>
        <item x="2974"/>
        <item x="2975"/>
        <item x="2976"/>
        <item x="2977"/>
        <item x="2978"/>
        <item x="2979"/>
        <item x="2980"/>
        <item x="2981"/>
        <item x="2982"/>
        <item x="2983"/>
        <item x="2984"/>
        <item x="2985"/>
        <item x="2986"/>
        <item x="2987"/>
        <item x="2988"/>
        <item x="2989"/>
        <item x="2990"/>
        <item x="2991"/>
        <item x="2992"/>
        <item x="2993"/>
        <item x="2994"/>
        <item x="2995"/>
        <item x="2996"/>
        <item x="2997"/>
        <item x="2998"/>
        <item x="2999"/>
        <item x="3000"/>
        <item x="3001"/>
        <item x="3002"/>
        <item x="3003"/>
        <item x="3004"/>
        <item x="3005"/>
        <item x="3006"/>
        <item x="3007"/>
        <item x="3008"/>
        <item x="3009"/>
        <item x="3010"/>
        <item x="3011"/>
        <item x="3012"/>
        <item x="3013"/>
        <item x="3014"/>
        <item x="3015"/>
        <item x="3016"/>
        <item x="3017"/>
        <item x="3018"/>
        <item x="3019"/>
        <item x="3020"/>
        <item x="3021"/>
        <item x="3022"/>
        <item x="3023"/>
        <item x="3024"/>
        <item x="3025"/>
        <item x="3026"/>
        <item x="3027"/>
        <item x="3028"/>
        <item x="3029"/>
        <item x="3030"/>
        <item x="3031"/>
        <item x="3032"/>
        <item x="3033"/>
        <item x="3034"/>
        <item x="3035"/>
        <item x="3036"/>
        <item x="3037"/>
        <item x="3038"/>
        <item x="3039"/>
        <item x="3040"/>
        <item x="3041"/>
        <item x="3042"/>
        <item x="3043"/>
        <item x="3044"/>
        <item x="3045"/>
        <item x="3046"/>
        <item x="3047"/>
        <item x="3048"/>
        <item x="3049"/>
        <item x="3050"/>
        <item x="3051"/>
        <item x="3052"/>
        <item x="3053"/>
        <item x="3054"/>
        <item x="3055"/>
        <item x="3056"/>
        <item x="3057"/>
        <item x="3058"/>
        <item x="3059"/>
        <item x="3060"/>
        <item x="3061"/>
        <item x="3062"/>
        <item x="3063"/>
        <item x="3064"/>
        <item x="3065"/>
        <item x="3066"/>
        <item x="3067"/>
        <item x="3068"/>
        <item x="3069"/>
        <item x="3070"/>
        <item x="3071"/>
        <item x="3072"/>
        <item x="3073"/>
        <item x="3074"/>
        <item x="3075"/>
        <item x="3076"/>
        <item x="3077"/>
        <item x="3078"/>
        <item x="3079"/>
        <item x="3080"/>
        <item x="3081"/>
        <item x="3082"/>
        <item x="3083"/>
        <item x="3084"/>
        <item x="3085"/>
        <item x="3086"/>
        <item x="3087"/>
        <item x="3088"/>
        <item x="3089"/>
        <item x="3090"/>
        <item x="3091"/>
        <item x="3092"/>
        <item x="3093"/>
        <item x="3094"/>
        <item x="3095"/>
        <item x="3096"/>
        <item x="3097"/>
        <item x="3098"/>
        <item x="3099"/>
        <item x="3100"/>
        <item x="3101"/>
        <item x="3102"/>
        <item x="3103"/>
        <item x="3104"/>
        <item x="3105"/>
        <item x="3106"/>
        <item x="3107"/>
        <item x="3108"/>
        <item x="3109"/>
        <item x="3110"/>
        <item x="3111"/>
        <item x="3112"/>
        <item x="3113"/>
        <item x="3114"/>
        <item x="3115"/>
        <item x="3116"/>
        <item x="3117"/>
        <item x="3118"/>
        <item x="3119"/>
        <item x="3120"/>
        <item x="3121"/>
        <item x="3122"/>
        <item x="3123"/>
        <item x="3124"/>
        <item x="3125"/>
        <item x="3126"/>
        <item x="3127"/>
        <item x="3128"/>
        <item x="3129"/>
        <item x="3130"/>
        <item x="3131"/>
        <item x="3132"/>
        <item x="3133"/>
        <item x="3134"/>
        <item x="3135"/>
        <item x="3136"/>
        <item x="3137"/>
        <item x="3138"/>
        <item x="3139"/>
        <item x="3140"/>
        <item x="3141"/>
        <item x="3142"/>
        <item x="3143"/>
        <item x="3144"/>
        <item x="3145"/>
        <item x="3146"/>
        <item x="3147"/>
        <item x="3148"/>
        <item x="3149"/>
        <item x="3150"/>
        <item x="3151"/>
        <item x="3152"/>
        <item x="3153"/>
        <item x="3154"/>
        <item x="3155"/>
        <item x="3156"/>
        <item x="3157"/>
        <item x="3158"/>
        <item x="3159"/>
        <item x="3160"/>
        <item x="3161"/>
        <item x="3162"/>
        <item x="3163"/>
        <item x="3164"/>
        <item x="3165"/>
        <item x="3166"/>
        <item x="3167"/>
        <item x="3168"/>
        <item x="3169"/>
        <item x="3170"/>
        <item x="3171"/>
        <item x="3172"/>
        <item x="3173"/>
        <item x="3174"/>
        <item x="3175"/>
        <item x="3176"/>
        <item x="3177"/>
        <item x="3178"/>
        <item x="3179"/>
        <item x="3180"/>
        <item x="3181"/>
        <item x="3182"/>
        <item x="3183"/>
        <item x="3184"/>
        <item x="3185"/>
        <item x="3186"/>
        <item x="3187"/>
        <item x="3188"/>
        <item x="3189"/>
        <item x="3190"/>
        <item x="3191"/>
        <item x="3192"/>
        <item x="3193"/>
        <item x="3194"/>
        <item x="3195"/>
        <item x="3196"/>
        <item x="3197"/>
        <item x="3198"/>
        <item x="3199"/>
        <item x="3200"/>
        <item x="3201"/>
        <item x="3202"/>
        <item x="3203"/>
        <item x="3204"/>
        <item x="3205"/>
        <item x="3206"/>
        <item x="3207"/>
        <item x="3208"/>
        <item x="3209"/>
        <item x="3210"/>
        <item x="3211"/>
        <item x="3212"/>
        <item x="3213"/>
        <item x="3214"/>
        <item x="3215"/>
        <item x="3216"/>
        <item x="3217"/>
        <item x="3218"/>
        <item x="3219"/>
        <item x="3220"/>
        <item x="3221"/>
        <item x="3222"/>
        <item x="3223"/>
        <item x="3224"/>
        <item x="3225"/>
        <item x="3226"/>
        <item x="3227"/>
        <item x="3228"/>
        <item x="3229"/>
        <item x="3230"/>
        <item x="3231"/>
        <item x="3232"/>
        <item x="3233"/>
        <item x="3234"/>
        <item x="3235"/>
        <item x="3236"/>
        <item x="3237"/>
        <item x="3238"/>
        <item x="3239"/>
        <item x="3240"/>
        <item x="3241"/>
        <item x="3242"/>
        <item x="3243"/>
        <item x="3244"/>
        <item x="3245"/>
        <item x="3246"/>
        <item x="3247"/>
        <item x="3248"/>
        <item x="3249"/>
        <item x="3250"/>
        <item x="3251"/>
        <item x="3252"/>
        <item x="3253"/>
        <item x="3254"/>
        <item x="3255"/>
        <item x="3256"/>
        <item x="3257"/>
        <item x="3258"/>
        <item x="3259"/>
        <item x="3260"/>
        <item x="3261"/>
        <item x="3262"/>
        <item x="3263"/>
        <item x="3264"/>
        <item x="3265"/>
        <item x="3266"/>
        <item x="3267"/>
        <item x="3268"/>
        <item x="3269"/>
        <item x="3270"/>
        <item x="3271"/>
        <item x="3272"/>
        <item x="3273"/>
        <item x="3274"/>
        <item x="3275"/>
        <item x="3276"/>
        <item x="3277"/>
        <item x="3278"/>
        <item x="3279"/>
        <item x="3280"/>
        <item x="3281"/>
        <item x="3282"/>
        <item x="3283"/>
        <item x="3284"/>
        <item x="3285"/>
        <item x="3286"/>
        <item x="3287"/>
        <item x="3288"/>
        <item x="3289"/>
        <item x="3290"/>
        <item x="3291"/>
        <item x="3292"/>
        <item x="3293"/>
        <item x="3294"/>
        <item x="3295"/>
        <item x="3296"/>
        <item x="3297"/>
        <item x="3298"/>
        <item x="3299"/>
        <item x="3300"/>
        <item x="3301"/>
        <item x="3302"/>
        <item x="3303"/>
        <item x="3304"/>
        <item x="3305"/>
        <item x="3306"/>
        <item x="3307"/>
        <item x="3308"/>
        <item x="3309"/>
        <item x="3310"/>
        <item x="3311"/>
        <item x="3312"/>
        <item x="3313"/>
        <item x="3314"/>
        <item x="3315"/>
        <item x="3316"/>
        <item x="3317"/>
        <item x="3318"/>
        <item x="3319"/>
        <item x="3320"/>
        <item x="3321"/>
        <item x="3322"/>
        <item x="3323"/>
        <item x="3324"/>
        <item x="3325"/>
        <item x="3326"/>
        <item x="3327"/>
        <item x="3328"/>
        <item x="3329"/>
        <item x="3330"/>
        <item x="3331"/>
        <item x="3332"/>
        <item x="3333"/>
        <item x="3334"/>
        <item x="3335"/>
        <item x="3336"/>
        <item x="3337"/>
        <item x="3338"/>
        <item x="3339"/>
        <item x="3340"/>
        <item x="3341"/>
        <item x="3342"/>
        <item x="3343"/>
        <item x="3344"/>
        <item x="3345"/>
        <item x="3346"/>
        <item x="3347"/>
        <item x="3348"/>
        <item x="3349"/>
        <item x="3350"/>
        <item x="3351"/>
        <item x="3352"/>
        <item x="3353"/>
        <item x="3354"/>
        <item x="3355"/>
        <item x="3356"/>
        <item x="3357"/>
        <item x="3358"/>
        <item x="3359"/>
        <item x="3360"/>
        <item x="3361"/>
        <item x="3362"/>
        <item x="3363"/>
        <item x="3364"/>
        <item x="3365"/>
        <item x="3366"/>
        <item x="3367"/>
        <item x="3368"/>
        <item x="3369"/>
        <item x="3370"/>
        <item x="3371"/>
        <item x="3372"/>
        <item x="3373"/>
        <item x="3374"/>
        <item x="3375"/>
        <item x="3376"/>
        <item x="3377"/>
        <item x="3378"/>
        <item x="3379"/>
        <item x="3380"/>
        <item x="3381"/>
        <item x="3382"/>
        <item x="3383"/>
        <item x="3384"/>
        <item x="3385"/>
        <item x="3386"/>
        <item x="3387"/>
        <item x="3388"/>
        <item x="3389"/>
        <item x="3390"/>
        <item x="3391"/>
        <item x="3392"/>
        <item x="3393"/>
        <item x="3394"/>
        <item x="3395"/>
        <item x="3396"/>
        <item x="3397"/>
        <item x="3398"/>
        <item x="3399"/>
        <item x="3400"/>
        <item x="3401"/>
        <item x="3402"/>
        <item x="3403"/>
        <item x="3404"/>
        <item x="3405"/>
        <item x="3406"/>
        <item x="3407"/>
        <item x="3408"/>
        <item x="3409"/>
        <item x="3410"/>
        <item x="3411"/>
        <item x="3412"/>
        <item x="3413"/>
        <item x="3414"/>
        <item x="3415"/>
        <item x="3416"/>
        <item x="3417"/>
        <item x="3418"/>
        <item x="3419"/>
        <item x="3420"/>
        <item x="3421"/>
        <item x="3422"/>
        <item x="3423"/>
        <item x="3424"/>
        <item x="3425"/>
        <item x="3426"/>
        <item x="3427"/>
        <item x="3428"/>
        <item x="3429"/>
        <item x="3430"/>
        <item x="3431"/>
        <item x="3432"/>
        <item x="3433"/>
        <item x="3434"/>
        <item x="3435"/>
        <item x="3436"/>
        <item x="3437"/>
        <item x="3438"/>
        <item x="3439"/>
        <item x="3440"/>
        <item x="3441"/>
        <item x="3442"/>
        <item x="3443"/>
        <item x="3444"/>
        <item x="3445"/>
        <item x="3446"/>
        <item x="3447"/>
        <item x="3448"/>
        <item x="3449"/>
        <item x="3450"/>
        <item x="3451"/>
        <item x="3452"/>
        <item x="3453"/>
        <item x="3454"/>
        <item x="3455"/>
        <item x="3456"/>
        <item x="3457"/>
        <item x="3458"/>
        <item x="3459"/>
        <item x="3460"/>
        <item x="3461"/>
        <item x="3462"/>
        <item x="3463"/>
        <item x="3464"/>
        <item x="3465"/>
        <item x="3466"/>
        <item x="3467"/>
        <item x="3468"/>
        <item x="3469"/>
        <item x="3470"/>
        <item x="3471"/>
        <item x="3472"/>
        <item x="3473"/>
        <item x="3474"/>
        <item x="3475"/>
        <item x="3476"/>
        <item x="3477"/>
        <item x="3478"/>
        <item x="3479"/>
        <item x="3480"/>
        <item x="3481"/>
        <item x="3482"/>
        <item x="3483"/>
        <item x="3484"/>
        <item x="3485"/>
        <item x="3486"/>
        <item x="3487"/>
        <item x="3488"/>
        <item x="3489"/>
        <item x="3490"/>
        <item x="3491"/>
        <item x="3492"/>
        <item x="3493"/>
        <item x="3494"/>
        <item x="3495"/>
        <item x="3496"/>
        <item x="3497"/>
        <item x="3498"/>
        <item x="3499"/>
        <item x="3500"/>
        <item x="3501"/>
        <item x="3502"/>
        <item x="3503"/>
        <item x="3504"/>
        <item x="3505"/>
        <item x="3506"/>
        <item x="3507"/>
        <item x="3508"/>
        <item x="3509"/>
        <item x="3510"/>
        <item x="3511"/>
        <item x="3512"/>
        <item x="3513"/>
        <item x="3514"/>
        <item x="3515"/>
        <item x="3516"/>
        <item x="3517"/>
        <item x="3518"/>
        <item x="3519"/>
        <item x="3520"/>
        <item x="3521"/>
        <item x="3522"/>
        <item x="3523"/>
        <item x="3524"/>
        <item x="3525"/>
        <item x="3526"/>
        <item x="3527"/>
        <item x="3528"/>
        <item x="3529"/>
        <item x="3530"/>
        <item x="3531"/>
        <item x="3532"/>
        <item x="3533"/>
        <item x="3534"/>
        <item x="3535"/>
        <item x="3536"/>
        <item x="3537"/>
        <item x="3538"/>
        <item x="3539"/>
        <item x="3540"/>
        <item x="3541"/>
        <item x="3542"/>
        <item x="3543"/>
        <item x="3544"/>
        <item x="3545"/>
        <item x="3546"/>
        <item x="3547"/>
        <item x="3548"/>
        <item x="3549"/>
        <item x="3550"/>
        <item x="3551"/>
        <item x="3552"/>
        <item x="3553"/>
        <item x="3554"/>
        <item x="3555"/>
        <item x="3556"/>
        <item x="3557"/>
        <item x="3558"/>
        <item x="3559"/>
        <item x="3560"/>
        <item x="3561"/>
        <item x="3562"/>
        <item x="3563"/>
        <item x="3564"/>
        <item x="3565"/>
        <item x="3566"/>
        <item x="3567"/>
        <item x="3568"/>
        <item x="3569"/>
        <item x="3570"/>
        <item x="3571"/>
        <item x="3572"/>
        <item x="3573"/>
        <item x="3574"/>
        <item x="3575"/>
        <item x="3576"/>
        <item x="3577"/>
        <item x="3578"/>
        <item x="3579"/>
        <item x="3580"/>
        <item x="3581"/>
        <item x="3582"/>
        <item x="3583"/>
        <item x="3584"/>
        <item x="3585"/>
        <item x="3586"/>
        <item x="3587"/>
        <item x="3588"/>
        <item x="3589"/>
        <item x="3590"/>
        <item x="3591"/>
        <item x="3592"/>
        <item x="3593"/>
        <item x="3594"/>
        <item x="3595"/>
        <item x="3596"/>
        <item x="3597"/>
        <item x="3598"/>
        <item x="3599"/>
        <item x="3600"/>
        <item x="3601"/>
        <item x="3602"/>
        <item x="3603"/>
        <item x="3604"/>
        <item x="3605"/>
        <item x="3606"/>
        <item x="3607"/>
        <item x="3608"/>
        <item x="3609"/>
        <item x="3610"/>
        <item x="3611"/>
        <item x="3612"/>
        <item x="3613"/>
        <item x="3614"/>
        <item x="3615"/>
        <item x="3616"/>
        <item x="3617"/>
        <item x="3618"/>
        <item x="3619"/>
        <item x="3620"/>
        <item x="3621"/>
        <item x="3622"/>
        <item x="3623"/>
        <item x="3624"/>
        <item x="3625"/>
        <item x="3626"/>
        <item x="3627"/>
        <item x="3628"/>
        <item x="3629"/>
        <item x="3630"/>
        <item x="3631"/>
        <item x="3632"/>
        <item x="3633"/>
        <item x="3634"/>
        <item x="3635"/>
        <item x="3636"/>
        <item x="3637"/>
        <item x="3638"/>
        <item x="3639"/>
        <item x="3640"/>
        <item x="3641"/>
        <item x="3642"/>
        <item x="3643"/>
        <item x="3644"/>
        <item x="3645"/>
        <item x="3646"/>
        <item x="3647"/>
        <item x="3648"/>
        <item x="3649"/>
        <item x="3650"/>
        <item x="3651"/>
        <item x="3652"/>
        <item x="3653"/>
        <item x="3654"/>
        <item x="3655"/>
        <item x="3656"/>
        <item x="3657"/>
        <item x="3658"/>
        <item x="3659"/>
        <item x="3660"/>
        <item x="3661"/>
        <item x="3662"/>
        <item x="3663"/>
        <item x="3664"/>
        <item x="3665"/>
        <item x="3666"/>
        <item x="3667"/>
        <item x="3668"/>
        <item x="3669"/>
        <item x="3670"/>
        <item x="3671"/>
        <item x="3672"/>
        <item x="3673"/>
        <item x="3674"/>
        <item x="3675"/>
        <item x="3676"/>
        <item x="3677"/>
        <item x="3678"/>
        <item x="3679"/>
        <item x="3680"/>
        <item x="3681"/>
        <item x="3682"/>
        <item x="3683"/>
        <item x="3684"/>
        <item x="3685"/>
        <item x="3686"/>
        <item x="3687"/>
        <item x="3688"/>
        <item x="3689"/>
        <item x="3690"/>
        <item x="3691"/>
        <item x="3692"/>
        <item x="3693"/>
        <item x="3694"/>
        <item x="3695"/>
        <item x="3696"/>
        <item x="3697"/>
        <item x="3698"/>
        <item x="3699"/>
        <item x="3700"/>
        <item x="3701"/>
        <item x="3702"/>
        <item x="3703"/>
        <item x="3704"/>
        <item x="3705"/>
        <item x="3706"/>
        <item x="3707"/>
        <item x="3708"/>
        <item x="3709"/>
        <item x="3710"/>
        <item x="3711"/>
        <item x="3712"/>
        <item x="3713"/>
        <item x="3714"/>
        <item x="3715"/>
        <item x="3716"/>
        <item x="3717"/>
        <item x="3718"/>
        <item x="3719"/>
        <item x="3720"/>
        <item x="3721"/>
        <item x="3722"/>
        <item x="3723"/>
        <item x="3724"/>
        <item x="3725"/>
        <item x="3726"/>
        <item x="3727"/>
        <item x="3728"/>
        <item x="3729"/>
        <item x="3730"/>
        <item x="3731"/>
        <item x="3732"/>
        <item x="3733"/>
        <item x="3734"/>
        <item x="3735"/>
        <item x="3736"/>
        <item x="3737"/>
        <item x="3738"/>
        <item x="3739"/>
        <item x="3740"/>
        <item x="3741"/>
        <item x="3742"/>
        <item x="3743"/>
        <item x="3744"/>
        <item x="3745"/>
        <item x="3746"/>
        <item x="3747"/>
        <item x="3748"/>
        <item x="3749"/>
        <item x="3750"/>
        <item x="3751"/>
        <item x="3752"/>
        <item x="3753"/>
        <item x="3754"/>
        <item x="3755"/>
        <item x="3756"/>
        <item x="3757"/>
        <item x="3758"/>
        <item x="3759"/>
        <item x="3760"/>
        <item x="3761"/>
        <item x="3762"/>
        <item x="3763"/>
        <item x="3764"/>
        <item x="3765"/>
        <item x="3766"/>
        <item x="3767"/>
        <item x="3768"/>
        <item x="3769"/>
        <item x="3770"/>
        <item x="3771"/>
        <item x="3772"/>
        <item x="3773"/>
        <item x="3774"/>
        <item x="3775"/>
        <item x="3776"/>
        <item x="3777"/>
        <item x="3778"/>
        <item x="3779"/>
        <item x="3780"/>
        <item x="3781"/>
        <item x="3782"/>
        <item x="3783"/>
        <item x="3784"/>
        <item x="3785"/>
        <item x="3786"/>
        <item x="3787"/>
        <item x="3788"/>
        <item x="3789"/>
        <item x="3790"/>
        <item x="3791"/>
        <item x="3792"/>
        <item x="3793"/>
        <item x="3794"/>
        <item x="3795"/>
        <item x="3796"/>
        <item x="3797"/>
        <item x="3798"/>
        <item x="3799"/>
        <item x="3800"/>
        <item x="3801"/>
        <item x="3802"/>
        <item x="3803"/>
        <item x="3804"/>
        <item x="3805"/>
        <item x="3806"/>
        <item x="3807"/>
        <item x="3808"/>
        <item x="3809"/>
        <item x="3810"/>
        <item x="3811"/>
        <item x="3812"/>
        <item x="3813"/>
        <item x="3814"/>
        <item x="3815"/>
        <item x="3816"/>
        <item x="3817"/>
        <item x="3818"/>
        <item x="3819"/>
        <item x="3820"/>
        <item x="3821"/>
        <item x="3822"/>
        <item x="3823"/>
        <item x="3824"/>
        <item x="3825"/>
        <item x="3826"/>
        <item x="3827"/>
        <item x="3828"/>
        <item x="3829"/>
        <item x="3830"/>
        <item x="3831"/>
        <item x="3832"/>
        <item x="3833"/>
        <item x="3834"/>
        <item x="3835"/>
        <item x="3836"/>
        <item x="3837"/>
        <item x="3838"/>
        <item x="3839"/>
        <item x="3840"/>
        <item x="3841"/>
        <item x="3842"/>
        <item x="3843"/>
        <item x="3844"/>
        <item x="3845"/>
        <item x="3846"/>
        <item x="3847"/>
        <item x="3848"/>
        <item x="3849"/>
        <item x="3850"/>
        <item x="3851"/>
        <item x="3852"/>
        <item x="3853"/>
        <item x="3854"/>
        <item x="3855"/>
        <item x="3856"/>
        <item x="3857"/>
        <item x="3858"/>
        <item x="3859"/>
        <item x="3860"/>
        <item x="3861"/>
        <item x="3862"/>
        <item x="3863"/>
        <item x="3864"/>
        <item x="3865"/>
        <item x="3866"/>
        <item x="3867"/>
        <item x="3868"/>
        <item x="3869"/>
        <item x="3870"/>
        <item x="3871"/>
        <item x="3872"/>
        <item x="3873"/>
        <item x="3874"/>
        <item x="3875"/>
        <item x="3876"/>
        <item x="3877"/>
        <item x="3878"/>
        <item x="3879"/>
        <item x="3880"/>
        <item x="3881"/>
        <item x="3882"/>
        <item x="3883"/>
        <item x="3884"/>
        <item x="3885"/>
        <item x="3886"/>
        <item x="3887"/>
        <item x="3888"/>
        <item x="3889"/>
        <item x="3890"/>
        <item x="3891"/>
        <item x="3892"/>
        <item x="3893"/>
        <item x="3894"/>
        <item x="3895"/>
        <item x="3896"/>
        <item x="3897"/>
        <item x="3898"/>
        <item x="3899"/>
        <item x="3900"/>
        <item x="3901"/>
        <item x="3902"/>
        <item x="3903"/>
        <item x="3904"/>
        <item x="3905"/>
        <item x="3906"/>
        <item x="3907"/>
        <item x="3908"/>
        <item x="3909"/>
        <item x="3910"/>
        <item x="3911"/>
        <item x="3912"/>
        <item x="3913"/>
        <item x="3914"/>
        <item x="3915"/>
        <item x="3916"/>
        <item x="3917"/>
        <item x="3918"/>
        <item x="3919"/>
        <item x="3920"/>
        <item x="3921"/>
        <item x="3922"/>
        <item x="3923"/>
        <item x="3924"/>
        <item x="3925"/>
        <item x="3926"/>
        <item x="3927"/>
        <item x="3928"/>
        <item x="3929"/>
        <item x="3930"/>
        <item x="3931"/>
        <item x="3932"/>
        <item x="3933"/>
        <item x="3934"/>
        <item x="3935"/>
        <item x="3936"/>
        <item x="3937"/>
        <item x="3938"/>
        <item x="3939"/>
        <item x="3940"/>
        <item x="3941"/>
        <item x="3942"/>
        <item x="3943"/>
        <item x="3944"/>
        <item x="3945"/>
        <item x="3946"/>
        <item x="3947"/>
        <item x="3948"/>
        <item x="3949"/>
        <item x="3950"/>
        <item x="3951"/>
        <item x="3952"/>
        <item x="3953"/>
        <item x="3954"/>
        <item x="3955"/>
        <item x="3956"/>
        <item x="3957"/>
        <item x="3958"/>
        <item x="3959"/>
        <item x="3960"/>
        <item x="3961"/>
        <item x="3962"/>
        <item x="3963"/>
        <item x="3964"/>
        <item x="3965"/>
        <item x="3966"/>
        <item x="3967"/>
        <item x="3968"/>
        <item x="3969"/>
        <item x="3970"/>
        <item x="3971"/>
        <item x="3972"/>
        <item x="3973"/>
        <item x="3974"/>
        <item x="3975"/>
        <item x="3976"/>
        <item x="3977"/>
        <item x="3978"/>
        <item x="3979"/>
        <item x="3980"/>
        <item x="3981"/>
        <item x="3982"/>
        <item x="3983"/>
        <item x="3984"/>
        <item x="3985"/>
        <item x="3986"/>
        <item x="3987"/>
        <item x="3988"/>
        <item x="3989"/>
        <item x="3990"/>
        <item x="3991"/>
        <item x="3992"/>
        <item x="3993"/>
        <item x="3994"/>
        <item x="3995"/>
        <item x="3996"/>
        <item x="3997"/>
        <item x="3998"/>
        <item x="3999"/>
        <item x="4000"/>
        <item x="4001"/>
        <item x="4002"/>
        <item x="4003"/>
        <item x="4004"/>
        <item x="4005"/>
        <item x="4006"/>
        <item x="4007"/>
        <item x="4008"/>
        <item x="4009"/>
        <item x="4010"/>
        <item x="4011"/>
        <item x="4012"/>
        <item x="4013"/>
        <item x="4014"/>
        <item x="4015"/>
        <item x="4016"/>
        <item x="4017"/>
        <item x="4018"/>
        <item x="4019"/>
        <item x="4020"/>
        <item x="4021"/>
        <item x="4022"/>
        <item x="4023"/>
        <item x="4024"/>
        <item x="4025"/>
        <item x="4026"/>
        <item x="4027"/>
        <item x="4028"/>
        <item x="4029"/>
        <item x="4030"/>
        <item x="4031"/>
        <item x="4032"/>
        <item x="4033"/>
        <item x="4034"/>
        <item x="4035"/>
        <item x="4036"/>
        <item x="4037"/>
        <item x="4038"/>
        <item x="4039"/>
        <item x="4040"/>
        <item x="4041"/>
        <item x="4042"/>
        <item x="4043"/>
        <item x="4044"/>
        <item x="4045"/>
        <item x="4046"/>
        <item x="4047"/>
        <item x="4048"/>
        <item x="4049"/>
        <item x="4050"/>
        <item x="4051"/>
        <item x="4052"/>
        <item x="4053"/>
        <item x="4054"/>
        <item x="4055"/>
        <item x="4056"/>
        <item x="4057"/>
        <item x="4058"/>
        <item x="4059"/>
        <item x="4060"/>
        <item x="4061"/>
        <item x="4062"/>
        <item x="4063"/>
        <item x="4064"/>
        <item x="4065"/>
        <item x="4066"/>
        <item x="4067"/>
        <item x="4068"/>
        <item x="4069"/>
        <item x="4070"/>
        <item x="4071"/>
        <item x="4072"/>
        <item x="4073"/>
        <item x="4074"/>
        <item x="4075"/>
        <item x="4076"/>
        <item x="4077"/>
        <item x="4078"/>
        <item x="4079"/>
        <item x="4080"/>
        <item x="4081"/>
        <item x="4082"/>
        <item x="4083"/>
        <item x="4084"/>
        <item x="4085"/>
        <item x="4086"/>
        <item x="4087"/>
        <item x="4088"/>
        <item x="4089"/>
        <item x="4090"/>
        <item x="4091"/>
        <item x="4092"/>
        <item x="4093"/>
        <item x="4094"/>
        <item x="4095"/>
        <item x="4096"/>
        <item x="4097"/>
        <item x="4098"/>
        <item x="4099"/>
        <item x="4100"/>
        <item x="4101"/>
        <item x="4102"/>
        <item x="4103"/>
        <item x="4104"/>
        <item x="4105"/>
        <item x="4106"/>
        <item x="4107"/>
        <item x="4108"/>
        <item x="4109"/>
        <item x="4110"/>
        <item x="4111"/>
        <item x="4112"/>
        <item x="4113"/>
        <item x="4114"/>
        <item x="4115"/>
        <item x="4116"/>
        <item x="4117"/>
        <item x="4118"/>
        <item x="4119"/>
        <item x="4120"/>
        <item x="4121"/>
        <item x="4122"/>
        <item x="4123"/>
        <item x="4124"/>
        <item x="4125"/>
        <item x="4126"/>
        <item x="4127"/>
        <item x="4128"/>
        <item x="4129"/>
        <item x="4130"/>
        <item x="4131"/>
        <item x="4132"/>
        <item x="4133"/>
        <item x="4134"/>
        <item x="4135"/>
        <item x="4136"/>
        <item x="4137"/>
        <item x="4138"/>
        <item x="4139"/>
        <item x="4140"/>
        <item x="4141"/>
        <item x="4142"/>
        <item x="4143"/>
        <item x="4144"/>
        <item x="4145"/>
        <item x="4146"/>
        <item x="4147"/>
        <item x="4148"/>
        <item x="4149"/>
        <item x="4150"/>
        <item x="4151"/>
        <item x="4152"/>
        <item x="4153"/>
        <item x="4154"/>
        <item x="4155"/>
        <item x="4156"/>
        <item x="4157"/>
        <item x="4158"/>
        <item x="4159"/>
        <item x="4160"/>
        <item x="4161"/>
        <item x="4162"/>
        <item x="4163"/>
        <item x="4164"/>
        <item x="4165"/>
        <item x="4166"/>
        <item x="4167"/>
        <item x="4168"/>
        <item x="4169"/>
        <item x="4170"/>
        <item x="4171"/>
        <item x="4172"/>
        <item x="4173"/>
        <item x="4174"/>
        <item x="4175"/>
        <item x="4176"/>
        <item x="4177"/>
        <item x="4178"/>
        <item x="4179"/>
        <item x="4180"/>
        <item x="4181"/>
        <item x="4182"/>
        <item x="4183"/>
        <item x="4184"/>
        <item x="4185"/>
        <item x="4186"/>
        <item x="4187"/>
        <item x="4188"/>
        <item x="4189"/>
        <item x="4190"/>
        <item x="4191"/>
        <item x="4192"/>
        <item x="4193"/>
        <item x="4194"/>
        <item x="4195"/>
        <item x="4196"/>
        <item x="4197"/>
        <item x="4198"/>
        <item x="4199"/>
        <item x="4200"/>
        <item x="4201"/>
        <item x="4202"/>
        <item x="4203"/>
        <item x="4204"/>
        <item x="4205"/>
        <item x="4206"/>
        <item x="4207"/>
        <item x="4208"/>
        <item x="4209"/>
        <item x="4210"/>
        <item x="4211"/>
        <item x="4212"/>
        <item x="4213"/>
        <item x="4214"/>
        <item x="4215"/>
        <item x="4216"/>
        <item x="4217"/>
        <item x="4218"/>
        <item x="4219"/>
        <item x="4220"/>
        <item x="4221"/>
        <item x="4222"/>
        <item x="4223"/>
        <item x="4224"/>
        <item x="4225"/>
        <item x="4226"/>
        <item x="4227"/>
        <item x="4228"/>
        <item x="4229"/>
        <item x="4230"/>
        <item x="4231"/>
        <item x="4232"/>
        <item x="4233"/>
        <item x="4234"/>
        <item x="4235"/>
        <item x="4236"/>
        <item x="4237"/>
        <item x="4238"/>
        <item x="4239"/>
        <item x="4240"/>
        <item x="4241"/>
        <item x="4242"/>
        <item x="4243"/>
        <item x="4244"/>
        <item x="4245"/>
        <item x="4246"/>
        <item x="4247"/>
        <item x="4248"/>
        <item x="4249"/>
        <item x="4250"/>
        <item x="4251"/>
        <item x="4252"/>
        <item x="4253"/>
        <item x="4254"/>
        <item x="4255"/>
        <item x="4256"/>
        <item x="4257"/>
        <item x="4258"/>
        <item x="4259"/>
        <item x="4260"/>
        <item x="4261"/>
        <item x="4262"/>
        <item x="4263"/>
        <item x="4264"/>
        <item x="4265"/>
        <item x="4266"/>
        <item x="4267"/>
        <item x="4268"/>
        <item x="4269"/>
        <item x="4270"/>
        <item x="4271"/>
        <item x="4272"/>
        <item x="4273"/>
        <item x="4274"/>
        <item x="4275"/>
        <item x="4276"/>
        <item x="4277"/>
        <item x="4278"/>
        <item x="4279"/>
        <item x="4280"/>
        <item x="4281"/>
        <item x="4282"/>
        <item x="4283"/>
        <item x="4284"/>
        <item x="4285"/>
        <item x="4286"/>
        <item x="4287"/>
        <item x="4288"/>
        <item x="4289"/>
        <item x="4290"/>
        <item x="4291"/>
        <item x="4292"/>
        <item x="4293"/>
        <item x="4294"/>
        <item x="4295"/>
        <item x="4296"/>
        <item x="4297"/>
        <item x="4298"/>
        <item x="4299"/>
        <item x="4300"/>
        <item x="4301"/>
        <item x="4302"/>
        <item x="4303"/>
        <item x="4304"/>
        <item x="4305"/>
        <item x="4306"/>
        <item x="4307"/>
        <item x="4308"/>
        <item x="4309"/>
        <item x="4310"/>
        <item x="4311"/>
        <item x="4312"/>
        <item x="4313"/>
        <item x="4314"/>
        <item x="4315"/>
        <item x="4316"/>
        <item x="4317"/>
        <item x="4318"/>
        <item x="4319"/>
        <item x="4320"/>
        <item x="4321"/>
        <item x="4322"/>
        <item x="4323"/>
        <item x="4324"/>
        <item x="4325"/>
        <item x="4326"/>
        <item x="4327"/>
        <item x="4328"/>
        <item x="4329"/>
        <item x="4330"/>
        <item x="4331"/>
        <item x="4332"/>
        <item x="4333"/>
        <item x="4334"/>
        <item x="4335"/>
        <item x="4336"/>
        <item x="4337"/>
        <item x="4338"/>
        <item x="4339"/>
        <item x="4340"/>
        <item x="4341"/>
        <item x="4342"/>
        <item x="4343"/>
        <item x="4344"/>
        <item x="4345"/>
        <item x="4346"/>
        <item x="4347"/>
        <item x="4348"/>
        <item x="4349"/>
        <item x="4350"/>
        <item x="4351"/>
        <item x="4352"/>
        <item x="4353"/>
        <item x="4354"/>
        <item x="4355"/>
        <item x="4356"/>
        <item x="4357"/>
        <item x="4358"/>
        <item x="4359"/>
        <item x="4360"/>
        <item x="4361"/>
        <item x="4362"/>
        <item x="4363"/>
        <item x="4364"/>
        <item x="4365"/>
        <item x="4366"/>
        <item x="4367"/>
        <item x="4368"/>
        <item x="4369"/>
        <item x="4370"/>
        <item x="4371"/>
        <item x="4372"/>
        <item x="4373"/>
        <item x="4374"/>
        <item x="4375"/>
        <item x="4376"/>
        <item x="4377"/>
        <item x="4378"/>
        <item x="4379"/>
        <item x="4380"/>
        <item x="4381"/>
        <item x="4382"/>
        <item x="4383"/>
        <item x="4384"/>
        <item x="4385"/>
        <item x="4386"/>
        <item x="4387"/>
        <item x="4388"/>
        <item x="4389"/>
        <item x="4390"/>
        <item x="4391"/>
        <item x="4392"/>
        <item x="4393"/>
        <item x="4394"/>
        <item x="4395"/>
        <item x="4396"/>
        <item x="4397"/>
        <item x="4398"/>
        <item x="4399"/>
        <item x="4400"/>
        <item x="4401"/>
        <item x="4402"/>
        <item x="4403"/>
        <item x="4404"/>
        <item x="4405"/>
        <item x="4406"/>
        <item x="4407"/>
        <item x="4408"/>
        <item x="4409"/>
        <item x="4410"/>
        <item x="4411"/>
        <item x="4412"/>
        <item x="4413"/>
        <item x="4414"/>
        <item x="4415"/>
        <item x="4416"/>
        <item x="4417"/>
        <item x="4418"/>
        <item x="4419"/>
        <item x="4420"/>
        <item x="4421"/>
        <item x="4422"/>
        <item x="4423"/>
        <item x="4424"/>
        <item x="4425"/>
        <item x="4426"/>
        <item x="4427"/>
        <item x="4428"/>
        <item x="4429"/>
        <item x="4430"/>
        <item x="4431"/>
        <item x="4432"/>
        <item x="4433"/>
        <item x="4434"/>
        <item x="4435"/>
        <item x="4436"/>
        <item x="4437"/>
        <item x="4438"/>
        <item x="4439"/>
        <item x="4440"/>
        <item x="4441"/>
        <item x="4442"/>
        <item x="4443"/>
        <item x="4444"/>
        <item x="4445"/>
        <item x="4446"/>
        <item x="4447"/>
        <item x="4448"/>
        <item x="4449"/>
        <item x="4450"/>
        <item x="4451"/>
        <item x="4452"/>
        <item x="4453"/>
        <item x="4454"/>
        <item x="4455"/>
        <item x="4456"/>
        <item x="4457"/>
        <item x="4458"/>
        <item x="4459"/>
        <item x="4460"/>
        <item x="4461"/>
        <item x="4462"/>
        <item x="4463"/>
        <item x="4464"/>
        <item x="4465"/>
        <item x="4466"/>
        <item x="4467"/>
        <item x="4468"/>
        <item x="4469"/>
        <item x="4470"/>
        <item x="4471"/>
        <item x="4472"/>
        <item x="4473"/>
        <item x="4474"/>
        <item x="4475"/>
        <item x="4476"/>
        <item x="4477"/>
        <item x="4478"/>
        <item x="4479"/>
        <item x="4480"/>
        <item x="4481"/>
        <item x="4482"/>
        <item x="4483"/>
        <item x="4484"/>
        <item x="4485"/>
        <item x="4486"/>
        <item x="4487"/>
        <item x="4488"/>
        <item x="4489"/>
        <item x="4490"/>
        <item x="4491"/>
        <item x="4492"/>
        <item x="4493"/>
        <item x="4494"/>
        <item x="4495"/>
        <item x="4496"/>
        <item x="4497"/>
        <item x="4498"/>
        <item x="4499"/>
        <item x="4500"/>
        <item x="4501"/>
        <item x="4502"/>
        <item x="4503"/>
        <item x="4504"/>
        <item x="4505"/>
        <item x="4506"/>
        <item x="4507"/>
        <item x="4508"/>
        <item x="4509"/>
        <item x="4510"/>
        <item x="4511"/>
        <item x="4512"/>
        <item x="4513"/>
        <item x="4514"/>
        <item x="4515"/>
        <item x="4516"/>
        <item x="4517"/>
        <item x="4518"/>
        <item x="4519"/>
        <item x="4520"/>
        <item x="4521"/>
        <item x="4522"/>
        <item x="4523"/>
        <item x="4524"/>
        <item x="4525"/>
        <item x="4526"/>
        <item x="4527"/>
        <item x="4528"/>
        <item x="4529"/>
        <item x="4530"/>
        <item x="4531"/>
        <item x="4532"/>
        <item x="4533"/>
        <item x="4534"/>
        <item x="4535"/>
        <item x="4536"/>
        <item x="4537"/>
        <item x="4538"/>
        <item x="4539"/>
        <item x="4540"/>
        <item x="4541"/>
        <item x="4542"/>
        <item x="4543"/>
        <item x="4544"/>
        <item x="4545"/>
        <item x="4546"/>
        <item x="4547"/>
        <item x="4548"/>
        <item x="4549"/>
        <item x="4550"/>
        <item x="4551"/>
        <item x="4552"/>
        <item x="4553"/>
        <item x="4554"/>
        <item x="4555"/>
        <item x="4556"/>
        <item x="4557"/>
        <item x="4558"/>
        <item x="4559"/>
        <item x="4560"/>
        <item x="4561"/>
        <item x="4562"/>
        <item x="4563"/>
        <item x="4564"/>
        <item x="4565"/>
        <item x="4566"/>
        <item x="4567"/>
        <item x="4568"/>
        <item x="4569"/>
        <item x="4570"/>
        <item x="4571"/>
        <item x="4572"/>
        <item x="4573"/>
        <item x="4574"/>
        <item x="4575"/>
        <item x="4576"/>
        <item x="4577"/>
        <item x="4578"/>
        <item x="4579"/>
        <item x="4580"/>
        <item x="4581"/>
        <item x="4582"/>
        <item x="4583"/>
        <item x="4584"/>
        <item x="4585"/>
        <item x="4586"/>
        <item x="4587"/>
        <item x="4588"/>
        <item x="4589"/>
        <item x="4590"/>
        <item x="4591"/>
        <item x="4592"/>
        <item x="4593"/>
        <item x="4594"/>
        <item x="4595"/>
        <item x="4596"/>
        <item x="4597"/>
        <item x="4598"/>
        <item x="4599"/>
        <item x="4600"/>
        <item x="4601"/>
        <item x="4602"/>
        <item x="4603"/>
        <item x="4604"/>
        <item x="4605"/>
        <item x="4606"/>
        <item x="4607"/>
        <item x="4608"/>
        <item x="4609"/>
        <item x="4610"/>
        <item x="4611"/>
        <item x="4612"/>
        <item x="4613"/>
        <item x="4614"/>
        <item x="4615"/>
        <item x="4616"/>
        <item x="4617"/>
        <item x="4618"/>
        <item x="4619"/>
        <item x="4620"/>
        <item x="4621"/>
        <item x="4622"/>
        <item x="4623"/>
        <item x="4624"/>
        <item x="4625"/>
        <item x="4626"/>
        <item x="4627"/>
        <item x="4628"/>
        <item x="4629"/>
        <item x="4630"/>
        <item x="4631"/>
        <item x="4632"/>
        <item x="4633"/>
        <item x="4634"/>
        <item x="4635"/>
        <item x="4636"/>
        <item x="4637"/>
        <item x="4638"/>
        <item x="4639"/>
        <item x="4640"/>
        <item x="4641"/>
        <item x="4642"/>
        <item x="4643"/>
        <item x="4644"/>
        <item x="4645"/>
        <item x="4646"/>
        <item x="4647"/>
        <item x="4648"/>
        <item x="4649"/>
        <item x="4650"/>
        <item x="4651"/>
        <item x="4652"/>
        <item x="4653"/>
        <item x="4654"/>
        <item x="4655"/>
        <item x="4656"/>
        <item x="4657"/>
        <item x="4658"/>
        <item x="4659"/>
        <item x="4660"/>
        <item x="4661"/>
        <item x="4662"/>
        <item x="4663"/>
        <item x="4664"/>
        <item x="4665"/>
        <item x="4666"/>
        <item x="4667"/>
        <item x="4668"/>
        <item x="4669"/>
        <item x="4670"/>
        <item x="4671"/>
        <item x="4672"/>
        <item x="4673"/>
        <item x="4674"/>
        <item x="4675"/>
        <item x="4676"/>
        <item x="4677"/>
        <item x="4678"/>
        <item x="4679"/>
        <item x="4680"/>
        <item x="4681"/>
        <item x="4682"/>
        <item x="4683"/>
        <item x="4684"/>
        <item x="4685"/>
        <item x="4686"/>
        <item x="4687"/>
        <item x="4688"/>
        <item x="4689"/>
        <item x="4690"/>
        <item x="4691"/>
        <item x="4692"/>
        <item x="4693"/>
        <item x="4694"/>
        <item x="4695"/>
        <item x="4696"/>
        <item x="4697"/>
        <item x="4698"/>
        <item x="4699"/>
        <item x="4700"/>
        <item x="4701"/>
        <item x="4702"/>
        <item x="4703"/>
        <item x="4704"/>
        <item x="4705"/>
        <item x="4706"/>
        <item x="4707"/>
        <item x="4708"/>
        <item x="4709"/>
        <item x="4710"/>
        <item x="4711"/>
        <item x="4712"/>
        <item x="4713"/>
        <item x="4714"/>
        <item x="4715"/>
        <item x="4716"/>
        <item x="4717"/>
        <item x="4718"/>
        <item x="4719"/>
        <item x="4720"/>
        <item x="4721"/>
        <item x="4722"/>
        <item x="4723"/>
        <item x="4724"/>
        <item x="4725"/>
        <item x="4726"/>
        <item x="4727"/>
        <item x="4728"/>
        <item x="4729"/>
        <item x="4730"/>
        <item x="4731"/>
        <item x="4732"/>
        <item x="4733"/>
        <item x="4734"/>
        <item x="4735"/>
        <item x="4736"/>
        <item x="4737"/>
        <item x="4738"/>
        <item x="4739"/>
        <item x="4740"/>
        <item x="4741"/>
        <item x="4742"/>
        <item x="4743"/>
        <item x="4744"/>
        <item x="4745"/>
        <item x="4746"/>
        <item x="4747"/>
        <item x="4748"/>
        <item x="4749"/>
        <item x="4750"/>
        <item x="4751"/>
        <item x="4752"/>
        <item x="4753"/>
        <item x="4754"/>
        <item x="4755"/>
        <item x="4756"/>
        <item x="4757"/>
        <item x="4758"/>
        <item x="4759"/>
        <item x="4760"/>
        <item x="4761"/>
        <item x="4762"/>
        <item x="4763"/>
        <item x="4764"/>
        <item x="4765"/>
        <item x="4766"/>
        <item x="4767"/>
        <item x="4768"/>
        <item x="4769"/>
        <item x="4770"/>
        <item x="4771"/>
        <item x="4772"/>
        <item x="4773"/>
        <item x="4774"/>
        <item x="4775"/>
        <item x="4776"/>
        <item x="4777"/>
        <item x="4778"/>
        <item x="4779"/>
        <item x="4780"/>
        <item x="4781"/>
        <item x="4782"/>
        <item x="4783"/>
        <item x="4784"/>
        <item x="4785"/>
        <item x="4786"/>
        <item x="4787"/>
        <item x="4788"/>
        <item x="4789"/>
        <item x="4790"/>
        <item x="4791"/>
        <item x="4792"/>
        <item x="4793"/>
        <item x="4794"/>
        <item x="4795"/>
        <item x="4796"/>
        <item x="4797"/>
        <item x="4798"/>
        <item x="4799"/>
        <item x="4800"/>
        <item x="4801"/>
        <item x="4802"/>
        <item x="4803"/>
        <item x="4804"/>
        <item x="4805"/>
        <item x="4806"/>
        <item x="4807"/>
        <item x="4808"/>
        <item x="4809"/>
        <item x="4810"/>
        <item x="4811"/>
        <item x="4812"/>
        <item x="4813"/>
        <item x="4814"/>
        <item x="4815"/>
        <item x="4816"/>
        <item x="4817"/>
        <item x="4818"/>
        <item x="4819"/>
        <item x="4820"/>
        <item x="4821"/>
        <item x="4822"/>
        <item x="4823"/>
        <item x="4824"/>
        <item x="4825"/>
        <item x="4826"/>
        <item x="4827"/>
        <item x="4828"/>
        <item x="4829"/>
        <item x="4830"/>
        <item x="4831"/>
        <item x="4832"/>
        <item x="4833"/>
        <item x="4834"/>
        <item x="4835"/>
        <item x="4836"/>
        <item x="4837"/>
        <item x="4838"/>
        <item x="4839"/>
        <item x="4840"/>
        <item x="4841"/>
        <item x="4842"/>
        <item x="4843"/>
        <item x="4844"/>
        <item x="4845"/>
        <item x="4846"/>
        <item x="4847"/>
        <item x="4848"/>
        <item x="4849"/>
        <item x="4850"/>
        <item x="4851"/>
        <item x="4852"/>
        <item x="4853"/>
        <item x="4854"/>
        <item x="4855"/>
        <item x="4856"/>
        <item x="4857"/>
        <item x="4858"/>
        <item x="4859"/>
        <item x="4860"/>
        <item x="4861"/>
        <item x="4862"/>
        <item x="4863"/>
        <item x="4864"/>
        <item x="4865"/>
        <item x="4866"/>
        <item x="4867"/>
        <item x="4868"/>
        <item x="4869"/>
        <item x="4870"/>
        <item x="4871"/>
        <item x="4872"/>
        <item x="4873"/>
        <item x="4874"/>
        <item x="4875"/>
        <item x="4876"/>
        <item x="4877"/>
        <item x="4878"/>
        <item x="4879"/>
        <item x="4880"/>
        <item x="4881"/>
        <item x="4882"/>
        <item x="4883"/>
        <item x="4884"/>
        <item x="4885"/>
        <item x="4886"/>
        <item x="4887"/>
        <item x="4888"/>
        <item x="4889"/>
        <item x="4890"/>
        <item x="4891"/>
        <item x="4892"/>
        <item x="4893"/>
        <item x="4894"/>
        <item x="4895"/>
        <item x="4896"/>
        <item x="4897"/>
        <item x="4898"/>
        <item x="4899"/>
        <item x="4900"/>
        <item x="4901"/>
        <item x="4902"/>
        <item x="4903"/>
        <item x="4904"/>
        <item x="4905"/>
        <item x="4906"/>
        <item x="4907"/>
        <item x="4908"/>
        <item x="4909"/>
        <item x="4910"/>
        <item x="4911"/>
        <item x="4912"/>
        <item x="4913"/>
        <item x="4914"/>
        <item x="4915"/>
        <item x="4916"/>
        <item x="4917"/>
        <item x="4918"/>
        <item x="4919"/>
        <item x="4920"/>
        <item x="4921"/>
        <item x="4922"/>
        <item x="4923"/>
        <item x="4924"/>
        <item x="4925"/>
        <item x="4926"/>
        <item x="4927"/>
        <item x="4928"/>
        <item x="4929"/>
        <item x="4930"/>
        <item x="4931"/>
        <item x="4932"/>
        <item x="4933"/>
        <item x="4934"/>
        <item x="4935"/>
        <item x="4936"/>
        <item x="4937"/>
        <item x="4938"/>
        <item x="4939"/>
        <item x="4940"/>
        <item x="4941"/>
        <item x="4942"/>
        <item x="4943"/>
        <item x="4944"/>
        <item x="4945"/>
        <item x="4946"/>
        <item x="4947"/>
        <item x="4948"/>
        <item x="4949"/>
        <item x="4950"/>
        <item x="4951"/>
        <item x="4952"/>
        <item x="4953"/>
        <item x="4954"/>
        <item x="4955"/>
        <item x="4956"/>
        <item x="4957"/>
        <item x="4958"/>
        <item x="4959"/>
        <item x="4960"/>
        <item x="4961"/>
        <item x="4962"/>
        <item x="4963"/>
        <item x="4964"/>
        <item x="4965"/>
        <item x="4966"/>
        <item x="4967"/>
        <item x="4968"/>
        <item x="4969"/>
        <item x="4970"/>
        <item x="4971"/>
        <item x="4972"/>
        <item x="4973"/>
        <item x="4974"/>
        <item x="4975"/>
        <item x="4976"/>
        <item x="4977"/>
        <item x="4978"/>
        <item x="4979"/>
        <item x="4980"/>
        <item x="4981"/>
        <item x="4982"/>
        <item x="4983"/>
        <item x="4984"/>
        <item x="4985"/>
        <item x="4986"/>
        <item x="4987"/>
        <item x="4988"/>
        <item x="4989"/>
        <item x="4990"/>
        <item x="4991"/>
        <item x="4992"/>
        <item x="4993"/>
        <item x="4994"/>
        <item x="4995"/>
        <item x="4996"/>
        <item x="4997"/>
        <item x="4998"/>
        <item x="4999"/>
        <item x="5000"/>
        <item x="5001"/>
        <item x="5002"/>
        <item x="5003"/>
        <item x="5004"/>
        <item x="5005"/>
        <item x="5006"/>
        <item x="5007"/>
        <item x="5008"/>
        <item x="5009"/>
        <item x="5010"/>
        <item x="5011"/>
        <item x="5012"/>
        <item x="5013"/>
        <item x="5014"/>
        <item x="5015"/>
        <item x="5016"/>
        <item x="5017"/>
        <item x="5018"/>
        <item x="5019"/>
        <item x="5020"/>
        <item x="5021"/>
        <item x="5022"/>
        <item x="5023"/>
        <item x="5024"/>
        <item x="5025"/>
        <item x="5026"/>
        <item x="5027"/>
        <item x="5028"/>
        <item x="5029"/>
        <item x="5030"/>
        <item x="5031"/>
        <item x="5032"/>
        <item x="5033"/>
        <item x="5034"/>
        <item x="5035"/>
        <item x="5036"/>
        <item x="5037"/>
        <item x="5038"/>
        <item x="5039"/>
        <item x="5040"/>
        <item x="5041"/>
        <item x="5042"/>
        <item x="5043"/>
        <item x="5044"/>
        <item x="5045"/>
        <item x="5046"/>
        <item x="5047"/>
        <item x="5048"/>
        <item x="5049"/>
        <item x="5050"/>
        <item x="5051"/>
        <item x="5052"/>
        <item x="5053"/>
        <item x="5054"/>
        <item x="5055"/>
        <item x="5056"/>
        <item x="5057"/>
        <item x="5058"/>
        <item x="5059"/>
        <item x="5060"/>
        <item x="5061"/>
        <item x="5062"/>
        <item x="5063"/>
        <item x="5064"/>
        <item x="5065"/>
        <item x="5066"/>
        <item x="5067"/>
        <item x="5068"/>
        <item x="5069"/>
        <item x="5070"/>
        <item x="5071"/>
        <item x="5072"/>
        <item x="5073"/>
        <item x="5074"/>
        <item x="5075"/>
        <item x="5076"/>
        <item x="5077"/>
        <item x="5078"/>
        <item x="5079"/>
        <item x="5080"/>
        <item x="5081"/>
        <item x="5082"/>
        <item x="5083"/>
        <item x="5084"/>
        <item x="5085"/>
        <item x="5086"/>
        <item x="5087"/>
        <item x="5088"/>
        <item x="5089"/>
        <item x="5090"/>
        <item x="5091"/>
        <item x="5092"/>
        <item x="5093"/>
        <item x="5094"/>
        <item x="5095"/>
        <item x="5096"/>
        <item x="5097"/>
        <item x="5098"/>
        <item x="5099"/>
        <item x="5100"/>
        <item x="5101"/>
        <item x="5102"/>
        <item x="5103"/>
        <item x="5104"/>
        <item x="5105"/>
        <item x="5106"/>
        <item x="5107"/>
        <item x="5108"/>
        <item x="5109"/>
        <item x="5110"/>
        <item x="5111"/>
        <item x="5112"/>
        <item x="5113"/>
        <item x="5114"/>
        <item x="5115"/>
        <item x="5116"/>
        <item x="5117"/>
        <item x="5118"/>
        <item x="5119"/>
        <item x="5120"/>
        <item x="5121"/>
        <item x="5122"/>
        <item x="5123"/>
        <item x="5124"/>
        <item x="5125"/>
        <item x="5126"/>
        <item x="5127"/>
        <item x="5128"/>
        <item x="5129"/>
        <item x="5130"/>
        <item x="5131"/>
        <item x="5132"/>
        <item x="5133"/>
        <item x="5134"/>
        <item x="5135"/>
        <item x="5136"/>
        <item x="5137"/>
        <item x="5138"/>
        <item x="5139"/>
        <item x="5140"/>
        <item x="5141"/>
        <item x="5142"/>
        <item x="5143"/>
        <item x="5144"/>
        <item x="5145"/>
        <item x="5146"/>
        <item x="5147"/>
        <item x="5148"/>
        <item x="5149"/>
        <item x="5150"/>
        <item x="5151"/>
        <item x="5152"/>
        <item x="5153"/>
        <item x="5154"/>
        <item x="5155"/>
        <item x="5156"/>
        <item x="5157"/>
        <item x="5158"/>
        <item x="5159"/>
        <item x="5160"/>
        <item x="5161"/>
        <item x="5162"/>
        <item x="5163"/>
        <item x="5164"/>
        <item x="5165"/>
        <item x="5166"/>
        <item x="5167"/>
        <item x="5168"/>
        <item x="5169"/>
        <item x="5170"/>
        <item x="5171"/>
        <item x="5172"/>
        <item x="5173"/>
        <item x="5174"/>
        <item x="5175"/>
        <item x="5176"/>
        <item x="5177"/>
        <item x="5178"/>
        <item x="5179"/>
        <item x="5180"/>
        <item x="5181"/>
        <item x="5182"/>
        <item x="5183"/>
        <item x="5184"/>
        <item x="5185"/>
        <item x="5186"/>
        <item x="5187"/>
        <item x="5188"/>
        <item x="5189"/>
        <item x="5190"/>
        <item x="5191"/>
        <item x="5192"/>
        <item x="5193"/>
        <item x="5194"/>
        <item x="5195"/>
        <item x="5196"/>
        <item x="5197"/>
        <item x="5198"/>
        <item x="5199"/>
        <item x="5200"/>
        <item x="5201"/>
        <item x="5202"/>
        <item x="5203"/>
        <item x="5204"/>
        <item x="5205"/>
        <item x="5206"/>
        <item x="5207"/>
        <item x="5208"/>
        <item x="5209"/>
        <item x="5210"/>
        <item x="5211"/>
        <item x="5212"/>
        <item x="5213"/>
        <item x="5214"/>
        <item x="5215"/>
        <item x="5216"/>
        <item x="5217"/>
        <item x="5218"/>
        <item x="5219"/>
        <item x="5220"/>
        <item x="5221"/>
        <item x="5222"/>
        <item x="5223"/>
        <item x="5224"/>
        <item x="5225"/>
        <item x="5226"/>
        <item x="5227"/>
        <item x="5228"/>
        <item x="5229"/>
        <item x="5230"/>
        <item x="5231"/>
        <item x="5232"/>
        <item x="5233"/>
        <item x="5234"/>
        <item x="5235"/>
        <item x="5236"/>
        <item x="5237"/>
        <item x="5238"/>
        <item x="5239"/>
        <item x="5240"/>
        <item x="5241"/>
        <item x="5242"/>
        <item x="5243"/>
        <item x="5244"/>
        <item x="5245"/>
        <item x="5246"/>
        <item x="5247"/>
        <item x="5248"/>
        <item x="5249"/>
        <item x="5250"/>
        <item x="5251"/>
        <item x="5252"/>
        <item x="5253"/>
        <item x="5254"/>
        <item x="5255"/>
        <item x="5256"/>
        <item x="5257"/>
        <item x="5258"/>
        <item x="5259"/>
        <item x="5260"/>
        <item x="5261"/>
        <item x="5262"/>
        <item x="5263"/>
        <item x="5264"/>
        <item x="5265"/>
        <item x="5266"/>
        <item x="5267"/>
        <item x="5268"/>
        <item x="5269"/>
        <item x="5270"/>
        <item x="5271"/>
        <item x="5272"/>
        <item x="5273"/>
        <item x="5274"/>
        <item x="5275"/>
        <item x="5276"/>
        <item x="5277"/>
        <item x="5278"/>
        <item x="5279"/>
        <item x="5280"/>
        <item x="5281"/>
        <item x="5282"/>
        <item x="5283"/>
        <item x="5284"/>
        <item x="5285"/>
        <item x="5286"/>
        <item x="5287"/>
        <item x="5288"/>
        <item x="5289"/>
        <item x="5290"/>
        <item x="5291"/>
        <item x="5292"/>
        <item x="5293"/>
        <item x="5294"/>
        <item x="5295"/>
        <item x="5296"/>
        <item x="5297"/>
        <item x="5298"/>
        <item x="5299"/>
        <item x="5300"/>
        <item x="5301"/>
        <item x="5302"/>
        <item x="5303"/>
        <item x="5304"/>
        <item x="5305"/>
        <item x="5306"/>
        <item x="5307"/>
        <item x="5308"/>
        <item x="5309"/>
        <item x="5310"/>
        <item x="5311"/>
        <item x="5312"/>
        <item x="5313"/>
        <item x="5314"/>
        <item x="5315"/>
        <item x="5316"/>
        <item x="5317"/>
        <item x="5318"/>
        <item x="5319"/>
        <item x="5320"/>
        <item x="5321"/>
        <item x="5322"/>
        <item x="5323"/>
        <item x="5324"/>
        <item x="5325"/>
        <item x="5326"/>
        <item x="5327"/>
        <item x="5328"/>
        <item x="5329"/>
        <item x="5330"/>
        <item x="5331"/>
        <item x="5332"/>
        <item x="5333"/>
        <item x="5334"/>
        <item x="5335"/>
        <item x="5336"/>
        <item x="5337"/>
        <item x="5338"/>
        <item x="5339"/>
        <item x="5340"/>
        <item x="5341"/>
        <item x="5342"/>
        <item x="5343"/>
        <item x="5344"/>
        <item x="5345"/>
        <item x="5346"/>
        <item x="5347"/>
        <item x="5348"/>
        <item x="5349"/>
        <item x="5350"/>
        <item x="5351"/>
        <item x="5352"/>
        <item x="5353"/>
        <item x="5354"/>
        <item x="5355"/>
        <item x="5356"/>
        <item x="5357"/>
        <item x="5358"/>
        <item x="5359"/>
        <item x="5360"/>
        <item x="5361"/>
        <item x="5362"/>
        <item x="5363"/>
        <item x="5364"/>
        <item x="5365"/>
        <item x="5366"/>
        <item x="5367"/>
        <item x="5368"/>
        <item x="5369"/>
        <item x="5370"/>
        <item x="5371"/>
        <item x="5372"/>
        <item x="5373"/>
        <item x="5374"/>
        <item x="5375"/>
        <item x="5376"/>
        <item x="5377"/>
        <item x="5378"/>
        <item x="5379"/>
        <item x="5380"/>
        <item x="5381"/>
        <item x="5382"/>
        <item x="5383"/>
        <item x="5384"/>
        <item x="5385"/>
        <item x="5386"/>
        <item x="5387"/>
        <item x="5388"/>
        <item x="5389"/>
        <item x="5390"/>
        <item x="5391"/>
        <item x="5392"/>
        <item x="5393"/>
        <item x="5394"/>
        <item x="5395"/>
        <item x="5396"/>
        <item x="5397"/>
        <item x="5398"/>
        <item x="5399"/>
        <item x="5400"/>
        <item x="5401"/>
        <item x="5402"/>
        <item x="5403"/>
        <item x="5404"/>
        <item x="5405"/>
        <item x="5406"/>
        <item x="5407"/>
        <item x="5408"/>
        <item x="5409"/>
        <item x="5410"/>
        <item x="5411"/>
        <item x="5412"/>
        <item x="5413"/>
        <item x="5414"/>
        <item x="5415"/>
        <item x="5416"/>
        <item x="5417"/>
        <item x="5418"/>
        <item x="5419"/>
        <item x="5420"/>
        <item x="5421"/>
        <item x="5422"/>
        <item x="5423"/>
        <item x="5424"/>
        <item x="5425"/>
        <item x="5426"/>
        <item x="5427"/>
        <item x="5428"/>
        <item x="5429"/>
        <item x="5430"/>
        <item x="5431"/>
        <item x="5432"/>
        <item x="5433"/>
        <item x="5434"/>
        <item x="5435"/>
        <item x="5436"/>
        <item x="5437"/>
        <item x="5438"/>
        <item x="5439"/>
        <item x="5440"/>
        <item x="5441"/>
        <item x="5442"/>
        <item x="5443"/>
        <item x="5444"/>
        <item x="5445"/>
        <item x="5446"/>
        <item x="5447"/>
        <item x="5448"/>
        <item x="5449"/>
        <item x="5450"/>
        <item x="5451"/>
        <item x="5452"/>
        <item x="5453"/>
        <item x="5454"/>
        <item x="5455"/>
        <item x="5456"/>
        <item x="5457"/>
        <item x="5458"/>
        <item x="5459"/>
        <item x="5460"/>
        <item x="5461"/>
        <item x="5462"/>
        <item x="5463"/>
        <item x="5464"/>
        <item x="5465"/>
        <item x="5466"/>
        <item x="5467"/>
        <item x="5468"/>
        <item x="5469"/>
        <item x="5470"/>
        <item x="5471"/>
        <item x="5472"/>
        <item x="5473"/>
        <item x="5474"/>
        <item x="5475"/>
        <item x="5476"/>
        <item x="5477"/>
        <item x="5478"/>
        <item x="5479"/>
        <item x="5480"/>
        <item x="5481"/>
        <item x="5482"/>
        <item x="5483"/>
        <item x="5484"/>
        <item x="5485"/>
        <item x="5486"/>
        <item x="5487"/>
        <item x="5488"/>
        <item x="5489"/>
        <item x="5490"/>
        <item x="5491"/>
        <item x="5492"/>
        <item x="5493"/>
        <item x="5494"/>
        <item x="5495"/>
        <item x="5496"/>
        <item x="5497"/>
        <item x="5498"/>
        <item x="5499"/>
        <item x="5500"/>
        <item x="5501"/>
        <item x="5502"/>
        <item x="5503"/>
        <item x="5504"/>
        <item x="5505"/>
        <item x="5506"/>
        <item x="5507"/>
        <item x="5508"/>
        <item x="5509"/>
        <item x="5510"/>
        <item x="5511"/>
        <item x="5512"/>
        <item x="5513"/>
        <item x="5514"/>
        <item x="5515"/>
        <item x="5516"/>
        <item x="5517"/>
        <item x="5518"/>
        <item x="5519"/>
        <item x="5520"/>
        <item x="5521"/>
        <item x="5522"/>
        <item x="5523"/>
        <item x="5524"/>
        <item x="5525"/>
        <item x="5526"/>
        <item x="5527"/>
        <item x="5528"/>
        <item x="5529"/>
        <item x="5530"/>
        <item x="5531"/>
        <item x="5532"/>
        <item x="5533"/>
        <item x="5534"/>
        <item x="5535"/>
        <item x="5536"/>
        <item x="5537"/>
        <item x="5538"/>
        <item x="5539"/>
        <item x="5540"/>
        <item x="5541"/>
        <item x="5542"/>
        <item x="5543"/>
        <item x="5544"/>
        <item x="5545"/>
        <item x="5546"/>
        <item x="5547"/>
        <item x="5548"/>
        <item x="5549"/>
        <item x="5550"/>
        <item x="5551"/>
        <item x="5552"/>
        <item x="5553"/>
        <item x="5554"/>
        <item x="5555"/>
        <item x="5556"/>
        <item x="5557"/>
        <item x="5558"/>
        <item x="5559"/>
        <item x="5560"/>
        <item x="5561"/>
        <item x="5562"/>
        <item x="5563"/>
        <item x="5564"/>
        <item x="5565"/>
        <item x="5566"/>
        <item x="5567"/>
        <item x="5568"/>
        <item x="5569"/>
        <item x="5570"/>
        <item x="5571"/>
        <item x="5572"/>
        <item x="5573"/>
        <item x="5574"/>
        <item x="5575"/>
        <item x="5576"/>
        <item x="5577"/>
        <item x="5578"/>
        <item x="5579"/>
        <item x="5580"/>
        <item x="5581"/>
        <item x="5582"/>
        <item x="5583"/>
        <item x="5584"/>
        <item x="5585"/>
        <item x="5586"/>
        <item x="5587"/>
        <item x="5588"/>
        <item x="5589"/>
        <item x="5590"/>
        <item x="5591"/>
        <item x="5592"/>
        <item x="5593"/>
        <item x="5594"/>
        <item x="5595"/>
        <item x="5596"/>
        <item x="5597"/>
        <item x="5598"/>
        <item x="5599"/>
        <item x="5600"/>
        <item x="5601"/>
        <item x="5602"/>
        <item x="5603"/>
        <item x="5604"/>
        <item x="5605"/>
        <item x="5606"/>
        <item x="5607"/>
        <item x="5608"/>
        <item x="5609"/>
        <item x="5610"/>
        <item x="5611"/>
        <item x="5612"/>
        <item x="5613"/>
        <item x="5614"/>
        <item x="5615"/>
        <item x="5616"/>
        <item x="5617"/>
        <item x="5618"/>
        <item x="5619"/>
        <item x="5620"/>
        <item x="5621"/>
        <item x="5622"/>
        <item x="5623"/>
        <item x="5624"/>
        <item x="5625"/>
        <item x="5626"/>
        <item x="5627"/>
        <item x="5628"/>
        <item x="5629"/>
        <item x="5630"/>
        <item x="5631"/>
        <item x="5632"/>
        <item x="5633"/>
        <item x="5634"/>
        <item x="5635"/>
        <item x="5636"/>
        <item x="5637"/>
        <item x="5638"/>
        <item x="5639"/>
        <item x="5640"/>
        <item x="5641"/>
        <item x="5642"/>
        <item x="5643"/>
        <item x="5644"/>
        <item x="5645"/>
        <item x="5646"/>
        <item x="5647"/>
        <item x="5648"/>
        <item x="5649"/>
        <item x="5650"/>
        <item x="5651"/>
        <item x="5652"/>
        <item x="5653"/>
        <item x="5654"/>
        <item x="5655"/>
        <item x="5656"/>
        <item x="5657"/>
        <item x="5658"/>
        <item x="5659"/>
        <item x="5660"/>
        <item x="5661"/>
        <item x="5662"/>
        <item x="5663"/>
        <item x="5664"/>
        <item x="5665"/>
        <item x="5666"/>
        <item x="5667"/>
        <item x="5668"/>
        <item x="5669"/>
        <item x="5670"/>
        <item x="5671"/>
        <item x="5672"/>
        <item x="5673"/>
        <item x="5674"/>
        <item x="5675"/>
        <item x="5676"/>
        <item x="5677"/>
        <item x="5678"/>
        <item x="5679"/>
        <item x="5680"/>
        <item x="5681"/>
        <item x="5682"/>
        <item x="5683"/>
        <item x="5684"/>
        <item x="5685"/>
        <item x="5686"/>
        <item x="5687"/>
        <item x="5688"/>
        <item x="5689"/>
        <item x="5690"/>
        <item x="5691"/>
        <item x="5692"/>
        <item x="5693"/>
        <item x="5694"/>
        <item x="5695"/>
        <item x="5696"/>
        <item x="5697"/>
        <item x="5698"/>
        <item x="5699"/>
        <item x="5700"/>
        <item x="5701"/>
        <item x="5702"/>
        <item x="5703"/>
        <item x="5704"/>
        <item x="5705"/>
        <item x="5706"/>
        <item x="5707"/>
        <item x="5708"/>
        <item x="5709"/>
        <item x="5710"/>
        <item x="5711"/>
        <item x="5712"/>
        <item x="5713"/>
        <item x="5714"/>
        <item x="5715"/>
        <item x="5716"/>
        <item x="5717"/>
        <item x="5718"/>
        <item x="5719"/>
        <item x="5720"/>
        <item x="5721"/>
        <item x="5722"/>
        <item x="5723"/>
        <item x="5724"/>
        <item x="5725"/>
        <item x="5726"/>
        <item x="5727"/>
        <item x="5728"/>
        <item x="5729"/>
        <item x="5730"/>
        <item x="5731"/>
        <item x="5732"/>
        <item x="5733"/>
        <item x="5734"/>
        <item x="5735"/>
        <item x="5736"/>
        <item x="5737"/>
        <item x="5738"/>
        <item x="5739"/>
        <item x="5740"/>
        <item x="5741"/>
        <item x="5742"/>
        <item x="5743"/>
        <item x="5744"/>
        <item x="5745"/>
        <item x="5746"/>
        <item x="5747"/>
        <item x="5748"/>
        <item x="5749"/>
        <item x="5750"/>
        <item x="5751"/>
        <item x="5752"/>
        <item x="5753"/>
        <item x="5754"/>
        <item x="5755"/>
        <item x="5756"/>
        <item x="5757"/>
        <item x="5758"/>
        <item x="5759"/>
        <item x="5760"/>
        <item x="5761"/>
        <item x="5762"/>
        <item x="5763"/>
        <item x="5764"/>
        <item x="5765"/>
        <item x="5766"/>
        <item x="5767"/>
        <item x="5768"/>
        <item x="5769"/>
        <item x="5770"/>
        <item x="5771"/>
        <item x="5772"/>
        <item x="5773"/>
        <item x="5774"/>
        <item x="5775"/>
        <item x="5776"/>
        <item x="5777"/>
        <item x="5778"/>
        <item x="5779"/>
        <item x="5780"/>
        <item x="5781"/>
        <item x="5782"/>
        <item x="5783"/>
        <item x="5784"/>
        <item x="5785"/>
        <item x="5786"/>
        <item x="5787"/>
        <item x="5788"/>
        <item x="5789"/>
        <item x="5790"/>
        <item x="5791"/>
        <item x="5792"/>
        <item x="5793"/>
        <item x="5794"/>
        <item x="5795"/>
        <item x="5796"/>
        <item x="5797"/>
        <item x="5798"/>
        <item x="5799"/>
        <item x="5800"/>
        <item x="5801"/>
        <item x="5802"/>
        <item x="5803"/>
        <item x="5804"/>
        <item x="5805"/>
        <item x="5806"/>
        <item x="5807"/>
        <item x="5808"/>
        <item x="5809"/>
        <item x="5810"/>
        <item x="5811"/>
        <item x="5812"/>
        <item x="5813"/>
        <item x="5814"/>
        <item x="5815"/>
        <item x="5816"/>
        <item x="5817"/>
        <item x="5818"/>
        <item x="5819"/>
        <item x="5820"/>
        <item x="5821"/>
        <item x="5822"/>
        <item x="5823"/>
        <item x="5824"/>
        <item x="5825"/>
        <item x="5826"/>
        <item x="5827"/>
        <item x="5828"/>
        <item x="5829"/>
        <item x="5830"/>
        <item x="5831"/>
        <item x="5832"/>
        <item x="5833"/>
        <item x="5834"/>
        <item x="5835"/>
        <item x="5836"/>
        <item x="5837"/>
        <item x="5838"/>
        <item x="5839"/>
        <item x="5840"/>
        <item x="5841"/>
        <item x="5842"/>
        <item x="5843"/>
        <item x="5844"/>
        <item x="5845"/>
        <item x="5846"/>
        <item x="5847"/>
        <item x="5848"/>
        <item x="5849"/>
        <item x="5850"/>
        <item x="5851"/>
        <item x="5852"/>
        <item x="5853"/>
        <item x="5854"/>
        <item x="5855"/>
        <item x="5856"/>
        <item x="5857"/>
        <item x="5858"/>
        <item x="5859"/>
        <item x="5860"/>
        <item x="5861"/>
        <item x="5862"/>
        <item x="5863"/>
        <item x="5864"/>
        <item x="5865"/>
        <item x="5866"/>
        <item x="5867"/>
        <item x="5868"/>
        <item x="5869"/>
        <item x="5870"/>
        <item x="5871"/>
        <item x="5872"/>
        <item x="5873"/>
        <item x="5874"/>
        <item x="5875"/>
        <item x="5876"/>
        <item x="5877"/>
        <item x="5878"/>
        <item x="5879"/>
        <item x="5880"/>
        <item x="5881"/>
        <item x="5882"/>
        <item x="5883"/>
        <item x="5884"/>
        <item x="5885"/>
        <item x="5886"/>
        <item x="5887"/>
        <item x="5888"/>
        <item x="5889"/>
        <item x="5890"/>
        <item x="5891"/>
        <item x="5892"/>
        <item x="5893"/>
        <item x="5894"/>
        <item x="5895"/>
        <item x="5896"/>
        <item x="5897"/>
        <item x="5898"/>
        <item x="5899"/>
        <item x="5900"/>
        <item x="5901"/>
        <item x="5902"/>
        <item x="5903"/>
        <item x="5904"/>
        <item x="5905"/>
        <item x="5906"/>
        <item x="5907"/>
        <item x="5908"/>
        <item x="5909"/>
        <item x="5910"/>
        <item x="5911"/>
        <item x="5912"/>
        <item x="5913"/>
        <item x="5914"/>
        <item x="5915"/>
        <item x="5916"/>
        <item x="5917"/>
        <item x="5918"/>
        <item x="5919"/>
        <item x="5920"/>
        <item x="5921"/>
        <item x="5922"/>
        <item x="5923"/>
        <item x="5924"/>
        <item x="5925"/>
        <item x="5926"/>
        <item x="5927"/>
        <item x="5928"/>
        <item x="5929"/>
        <item x="5930"/>
        <item x="5931"/>
        <item x="5932"/>
        <item x="5933"/>
        <item x="5934"/>
        <item x="5935"/>
        <item x="5936"/>
        <item x="5937"/>
        <item x="5938"/>
        <item x="5939"/>
        <item x="5940"/>
        <item x="5941"/>
        <item x="5942"/>
        <item x="5943"/>
        <item x="5944"/>
        <item x="5945"/>
        <item x="5946"/>
        <item x="5947"/>
        <item x="5948"/>
        <item x="5949"/>
        <item x="5950"/>
        <item x="5951"/>
        <item x="5952"/>
        <item x="5953"/>
        <item x="5954"/>
        <item x="5955"/>
        <item x="5956"/>
        <item x="5957"/>
        <item x="5958"/>
        <item x="5959"/>
        <item x="5960"/>
        <item x="5961"/>
        <item x="5962"/>
        <item x="5963"/>
        <item x="5964"/>
        <item x="5965"/>
        <item x="5966"/>
        <item x="5967"/>
        <item x="5968"/>
        <item x="5969"/>
        <item x="5970"/>
        <item x="5971"/>
        <item x="5972"/>
        <item x="5973"/>
        <item x="5974"/>
        <item x="5975"/>
        <item x="5976"/>
        <item x="5977"/>
        <item x="5978"/>
        <item x="5979"/>
        <item x="5980"/>
        <item x="5981"/>
        <item x="5982"/>
        <item x="5983"/>
        <item x="5984"/>
        <item x="5985"/>
        <item x="5986"/>
        <item x="5987"/>
        <item x="5988"/>
        <item x="5989"/>
        <item x="5990"/>
        <item x="5991"/>
        <item x="5992"/>
        <item x="5993"/>
        <item x="5994"/>
        <item x="5995"/>
        <item x="5996"/>
        <item x="5997"/>
        <item x="5998"/>
        <item x="5999"/>
        <item x="6000"/>
        <item x="6001"/>
        <item x="6002"/>
        <item x="6003"/>
        <item x="6004"/>
        <item x="6005"/>
        <item x="6006"/>
        <item x="6007"/>
        <item x="6008"/>
        <item x="6009"/>
        <item x="6010"/>
        <item x="6011"/>
        <item x="6012"/>
        <item x="6013"/>
        <item x="6014"/>
        <item x="6015"/>
        <item x="6016"/>
        <item x="6017"/>
        <item x="6018"/>
        <item x="6019"/>
        <item x="6020"/>
        <item x="6021"/>
        <item x="6022"/>
        <item x="6023"/>
        <item x="6024"/>
        <item x="6025"/>
        <item x="6026"/>
        <item x="6027"/>
        <item x="6028"/>
        <item x="6029"/>
        <item x="6030"/>
        <item x="6031"/>
        <item x="6032"/>
        <item x="6033"/>
        <item x="6034"/>
        <item x="6035"/>
        <item x="6036"/>
        <item x="6037"/>
        <item x="6038"/>
        <item x="6039"/>
        <item x="6040"/>
        <item x="6041"/>
        <item x="6042"/>
        <item x="6043"/>
        <item x="6044"/>
        <item x="6045"/>
        <item x="6046"/>
        <item x="6047"/>
        <item x="6048"/>
        <item x="6049"/>
        <item x="6050"/>
        <item x="6051"/>
        <item x="6052"/>
        <item x="6053"/>
        <item x="6054"/>
        <item x="6055"/>
        <item x="6056"/>
        <item x="6057"/>
        <item x="6058"/>
        <item x="6059"/>
        <item x="6060"/>
        <item x="6061"/>
        <item x="6062"/>
        <item x="6063"/>
        <item x="6064"/>
        <item x="6065"/>
        <item x="6066"/>
        <item x="6067"/>
        <item x="6068"/>
        <item x="6069"/>
        <item x="6070"/>
        <item x="6071"/>
        <item x="6072"/>
        <item x="6073"/>
        <item x="6074"/>
        <item x="6075"/>
        <item x="6076"/>
        <item x="6077"/>
        <item x="6078"/>
        <item x="6079"/>
        <item x="6080"/>
        <item x="6081"/>
        <item x="6082"/>
        <item x="6083"/>
        <item x="6084"/>
        <item x="6085"/>
        <item x="6086"/>
        <item x="6087"/>
        <item x="6088"/>
        <item x="6089"/>
        <item x="6090"/>
        <item x="6091"/>
        <item x="6092"/>
        <item x="6093"/>
        <item x="6094"/>
        <item x="6095"/>
        <item x="6096"/>
        <item x="6097"/>
        <item x="6098"/>
        <item x="6099"/>
        <item x="6100"/>
        <item x="6101"/>
        <item x="6102"/>
        <item x="6103"/>
        <item x="6104"/>
        <item x="6105"/>
        <item x="6106"/>
        <item x="6107"/>
        <item x="6108"/>
        <item x="6109"/>
        <item x="6110"/>
        <item x="6111"/>
        <item x="6112"/>
        <item x="6113"/>
        <item x="6114"/>
        <item x="6115"/>
        <item x="6116"/>
        <item x="6117"/>
        <item x="6118"/>
        <item x="6119"/>
        <item x="6120"/>
        <item x="6121"/>
        <item x="6122"/>
        <item x="6123"/>
        <item x="6124"/>
        <item x="6125"/>
        <item x="6126"/>
        <item x="6127"/>
        <item x="6128"/>
        <item x="6129"/>
        <item x="6130"/>
        <item x="6131"/>
        <item x="6132"/>
        <item x="6133"/>
        <item x="6134"/>
        <item x="6135"/>
        <item x="6136"/>
        <item x="6137"/>
        <item x="6138"/>
        <item x="6139"/>
        <item x="6140"/>
        <item x="6141"/>
        <item x="6142"/>
        <item x="6143"/>
        <item x="6144"/>
        <item x="6145"/>
        <item x="6146"/>
        <item x="6147"/>
        <item x="6148"/>
        <item x="6149"/>
        <item x="6150"/>
        <item x="6151"/>
        <item x="6152"/>
        <item x="6153"/>
        <item x="6154"/>
        <item x="6155"/>
        <item x="6156"/>
        <item x="6157"/>
        <item x="6158"/>
        <item x="6159"/>
        <item x="6160"/>
        <item x="6161"/>
        <item x="6162"/>
        <item x="6163"/>
        <item x="6164"/>
        <item x="6165"/>
        <item x="6166"/>
        <item x="6167"/>
        <item x="6168"/>
        <item x="6169"/>
        <item x="6170"/>
        <item x="6171"/>
        <item x="6172"/>
        <item x="6173"/>
        <item x="6174"/>
        <item x="6175"/>
        <item x="6176"/>
        <item x="6177"/>
        <item x="6178"/>
        <item x="6179"/>
        <item x="6180"/>
        <item x="6181"/>
        <item x="6182"/>
        <item x="6183"/>
        <item x="6184"/>
        <item x="6185"/>
        <item x="6186"/>
        <item x="6187"/>
        <item x="6188"/>
        <item x="6189"/>
        <item x="6190"/>
        <item x="6191"/>
        <item x="6192"/>
        <item x="6193"/>
        <item x="6194"/>
        <item x="6195"/>
        <item x="6196"/>
        <item x="6197"/>
        <item x="6198"/>
        <item x="6199"/>
        <item x="6200"/>
        <item x="6201"/>
        <item x="6202"/>
        <item x="6203"/>
        <item x="6204"/>
        <item x="6205"/>
        <item x="6206"/>
        <item x="6207"/>
        <item x="6208"/>
        <item x="6209"/>
        <item x="6210"/>
        <item x="6211"/>
        <item x="6212"/>
        <item x="6213"/>
        <item x="6214"/>
        <item x="6215"/>
        <item x="6216"/>
        <item x="6217"/>
        <item x="6218"/>
        <item x="6219"/>
        <item x="6220"/>
        <item x="6221"/>
        <item x="6222"/>
        <item x="6223"/>
        <item x="6224"/>
        <item x="6225"/>
        <item x="6226"/>
        <item x="6227"/>
        <item x="6228"/>
        <item x="6229"/>
        <item x="6230"/>
        <item x="6231"/>
        <item x="6232"/>
        <item x="6233"/>
        <item x="6234"/>
        <item x="6235"/>
        <item x="6236"/>
        <item x="6237"/>
        <item x="6238"/>
        <item x="6239"/>
        <item x="6240"/>
        <item x="6241"/>
        <item x="6242"/>
        <item x="6243"/>
        <item x="6244"/>
        <item x="6245"/>
        <item x="6246"/>
        <item x="6247"/>
        <item x="6248"/>
        <item x="6249"/>
        <item x="6250"/>
        <item x="6251"/>
        <item x="6252"/>
        <item x="6253"/>
        <item x="6254"/>
        <item x="6255"/>
        <item x="6256"/>
        <item x="6257"/>
        <item x="6258"/>
        <item x="6259"/>
        <item x="6260"/>
        <item x="6261"/>
        <item x="6262"/>
        <item x="6263"/>
        <item x="6264"/>
        <item x="6265"/>
        <item x="6266"/>
        <item x="6267"/>
        <item x="6268"/>
        <item x="6269"/>
        <item x="6270"/>
        <item x="6271"/>
        <item x="6272"/>
        <item x="6273"/>
        <item x="6274"/>
        <item x="6275"/>
        <item x="6276"/>
        <item x="6277"/>
        <item x="6278"/>
        <item x="6279"/>
        <item x="6280"/>
        <item x="6281"/>
        <item x="6282"/>
        <item x="6283"/>
        <item x="6284"/>
        <item x="6285"/>
        <item x="6286"/>
        <item x="6287"/>
        <item x="6288"/>
        <item x="6289"/>
        <item x="6290"/>
        <item x="6291"/>
        <item x="6292"/>
        <item x="6293"/>
        <item x="6294"/>
        <item x="6295"/>
        <item x="6296"/>
        <item x="6297"/>
        <item x="6298"/>
        <item x="6299"/>
        <item x="6300"/>
        <item x="6301"/>
        <item x="6302"/>
        <item x="6303"/>
        <item x="6304"/>
        <item x="6305"/>
        <item x="6306"/>
        <item x="6307"/>
        <item x="6308"/>
        <item x="6309"/>
        <item x="6310"/>
        <item x="6311"/>
        <item x="6312"/>
        <item x="6313"/>
        <item x="6314"/>
        <item x="6315"/>
        <item x="6316"/>
        <item x="6317"/>
        <item x="6318"/>
        <item x="6319"/>
        <item x="6320"/>
        <item x="6321"/>
        <item x="6322"/>
        <item x="6323"/>
        <item x="6324"/>
        <item x="6325"/>
        <item x="6326"/>
        <item x="6327"/>
        <item x="6328"/>
        <item x="6329"/>
        <item x="6330"/>
        <item x="6331"/>
        <item x="6332"/>
        <item x="6333"/>
        <item x="6334"/>
        <item x="6335"/>
        <item x="6336"/>
        <item x="6337"/>
        <item x="6338"/>
        <item x="6339"/>
        <item x="6340"/>
        <item x="6341"/>
        <item x="6342"/>
        <item x="6343"/>
        <item x="6344"/>
        <item x="6345"/>
        <item x="6346"/>
        <item x="6347"/>
        <item x="6348"/>
        <item x="6349"/>
        <item x="6350"/>
        <item x="6351"/>
        <item x="6352"/>
        <item x="6353"/>
        <item x="6354"/>
        <item x="6355"/>
        <item x="6356"/>
        <item x="6357"/>
        <item x="6358"/>
        <item x="6359"/>
        <item x="6360"/>
        <item x="6361"/>
        <item x="6362"/>
        <item x="6363"/>
        <item x="6364"/>
        <item x="6365"/>
        <item x="6366"/>
        <item x="6367"/>
        <item x="6368"/>
        <item x="6369"/>
        <item x="6370"/>
        <item x="6371"/>
        <item x="6372"/>
        <item x="6373"/>
        <item x="6374"/>
        <item x="6375"/>
        <item x="6376"/>
        <item x="6377"/>
        <item x="6378"/>
        <item x="6379"/>
        <item x="6380"/>
        <item x="6381"/>
        <item x="6382"/>
        <item x="6383"/>
        <item x="6384"/>
        <item x="6385"/>
        <item x="6386"/>
        <item x="6387"/>
        <item x="6388"/>
        <item x="6389"/>
        <item x="6390"/>
        <item x="6391"/>
        <item x="6392"/>
        <item x="6393"/>
        <item x="6394"/>
        <item x="6395"/>
        <item x="6396"/>
        <item x="6397"/>
        <item x="6398"/>
        <item x="6399"/>
        <item x="6400"/>
        <item x="6401"/>
        <item x="6402"/>
        <item x="6403"/>
        <item x="6404"/>
        <item x="6405"/>
        <item x="6406"/>
        <item x="6407"/>
        <item x="6408"/>
        <item x="6409"/>
        <item x="6410"/>
        <item x="6411"/>
        <item x="6412"/>
        <item x="6413"/>
        <item x="6414"/>
        <item x="6415"/>
        <item x="6416"/>
        <item x="6417"/>
        <item x="6418"/>
        <item x="6419"/>
        <item x="6420"/>
        <item x="6421"/>
        <item x="6422"/>
        <item x="6423"/>
        <item x="6424"/>
        <item x="6425"/>
        <item x="6426"/>
        <item x="6427"/>
        <item x="6428"/>
        <item x="6429"/>
        <item x="6430"/>
        <item x="6431"/>
        <item x="6432"/>
        <item x="6433"/>
        <item x="6434"/>
        <item x="6435"/>
        <item x="6436"/>
        <item x="6437"/>
        <item x="6438"/>
        <item x="6439"/>
        <item x="6440"/>
        <item x="6441"/>
        <item x="6442"/>
        <item x="6443"/>
        <item x="6444"/>
        <item x="6445"/>
        <item x="6446"/>
        <item x="6447"/>
        <item x="6448"/>
        <item x="6449"/>
        <item x="6450"/>
        <item x="6451"/>
        <item x="6452"/>
        <item x="6453"/>
        <item x="6454"/>
        <item x="6455"/>
        <item x="6456"/>
        <item x="6457"/>
        <item x="6458"/>
        <item x="6459"/>
        <item x="6460"/>
        <item x="6461"/>
        <item x="6462"/>
        <item x="6463"/>
        <item x="6464"/>
        <item x="6465"/>
        <item x="6466"/>
        <item x="6467"/>
        <item x="6468"/>
        <item x="6469"/>
        <item x="6470"/>
        <item x="6471"/>
        <item x="6472"/>
        <item x="6473"/>
        <item x="6474"/>
        <item x="6475"/>
        <item x="6476"/>
        <item x="6477"/>
        <item x="6478"/>
        <item x="6479"/>
        <item x="6480"/>
        <item x="6481"/>
        <item x="6482"/>
        <item x="6483"/>
        <item x="6484"/>
        <item x="6485"/>
        <item x="6486"/>
        <item x="6487"/>
        <item x="6488"/>
        <item x="6489"/>
        <item x="6490"/>
        <item x="6491"/>
        <item x="6492"/>
        <item x="6493"/>
        <item x="6494"/>
        <item x="6495"/>
        <item x="6496"/>
        <item x="6497"/>
        <item x="6498"/>
        <item x="6499"/>
        <item x="6500"/>
        <item x="6501"/>
        <item x="6502"/>
        <item x="6503"/>
        <item x="6504"/>
        <item x="6505"/>
        <item x="6506"/>
        <item x="6507"/>
        <item x="6508"/>
        <item x="6509"/>
        <item x="6510"/>
        <item x="6511"/>
        <item x="6512"/>
        <item x="6513"/>
        <item x="6514"/>
        <item x="6515"/>
        <item x="6516"/>
        <item x="6517"/>
        <item x="6518"/>
        <item x="6519"/>
        <item x="6520"/>
        <item x="6521"/>
        <item x="6522"/>
        <item x="6523"/>
        <item x="6524"/>
        <item x="6525"/>
        <item x="6526"/>
        <item x="6527"/>
        <item x="6528"/>
        <item x="6529"/>
        <item x="6530"/>
        <item x="6531"/>
        <item x="6532"/>
        <item x="6533"/>
        <item x="6534"/>
        <item x="6535"/>
        <item x="6536"/>
        <item x="6537"/>
        <item x="6538"/>
        <item x="6539"/>
        <item x="6540"/>
        <item x="6541"/>
        <item x="6542"/>
        <item x="6543"/>
        <item x="6544"/>
        <item x="6545"/>
        <item x="6546"/>
        <item x="6547"/>
        <item x="6548"/>
        <item x="6549"/>
        <item x="6550"/>
        <item x="6551"/>
        <item x="6552"/>
        <item x="6553"/>
        <item x="6554"/>
        <item x="6555"/>
        <item x="6556"/>
        <item x="6557"/>
        <item x="6558"/>
        <item x="6559"/>
        <item x="6560"/>
        <item x="6561"/>
        <item x="6562"/>
        <item x="6563"/>
        <item x="6564"/>
        <item x="6565"/>
        <item x="6566"/>
        <item x="6567"/>
        <item x="6568"/>
        <item x="6569"/>
        <item x="6570"/>
        <item x="6571"/>
        <item x="6572"/>
        <item x="6573"/>
        <item x="6574"/>
        <item x="6575"/>
        <item x="6576"/>
        <item x="6577"/>
        <item x="6578"/>
        <item x="6579"/>
        <item x="6580"/>
        <item x="6581"/>
        <item x="6582"/>
        <item x="6583"/>
        <item x="6584"/>
        <item x="6585"/>
        <item x="6586"/>
        <item x="6587"/>
        <item x="6588"/>
        <item x="6589"/>
        <item x="6590"/>
        <item x="6591"/>
        <item x="6592"/>
        <item x="6593"/>
        <item x="6594"/>
        <item x="6595"/>
        <item x="6596"/>
        <item x="6597"/>
        <item x="6598"/>
        <item x="6599"/>
        <item x="6600"/>
        <item x="6601"/>
        <item x="6602"/>
        <item x="6603"/>
        <item x="6604"/>
        <item x="6605"/>
        <item x="6606"/>
        <item x="6607"/>
        <item x="6608"/>
        <item x="6609"/>
        <item x="6610"/>
        <item x="6611"/>
        <item x="6612"/>
        <item x="6613"/>
        <item x="6614"/>
        <item x="6615"/>
        <item x="6616"/>
        <item x="6617"/>
        <item x="6618"/>
        <item x="6619"/>
        <item x="6620"/>
        <item x="6621"/>
        <item x="6622"/>
        <item x="6623"/>
        <item x="6624"/>
        <item x="6625"/>
        <item x="6626"/>
        <item x="6627"/>
        <item x="6628"/>
        <item x="6629"/>
        <item x="6630"/>
        <item x="6631"/>
        <item x="6632"/>
        <item x="6633"/>
        <item x="6634"/>
        <item x="6635"/>
        <item x="6636"/>
        <item x="6637"/>
        <item x="6638"/>
        <item x="6639"/>
        <item x="6640"/>
        <item x="6641"/>
        <item x="6642"/>
        <item x="6643"/>
        <item x="6644"/>
        <item x="6645"/>
        <item x="6646"/>
        <item x="6647"/>
        <item x="6648"/>
        <item x="6649"/>
        <item x="6650"/>
        <item x="6651"/>
        <item x="6652"/>
        <item x="6653"/>
        <item x="6654"/>
        <item x="6655"/>
        <item x="6656"/>
        <item x="6657"/>
        <item x="6658"/>
        <item x="6659"/>
        <item x="6660"/>
        <item x="6661"/>
        <item x="6662"/>
        <item x="6663"/>
        <item x="6664"/>
        <item x="6665"/>
        <item x="6666"/>
        <item x="6667"/>
        <item x="6668"/>
        <item x="6669"/>
        <item x="6670"/>
        <item x="6671"/>
        <item x="6672"/>
        <item x="6673"/>
        <item x="6674"/>
        <item x="6675"/>
        <item x="6676"/>
        <item x="6677"/>
        <item x="6678"/>
        <item x="6679"/>
        <item x="6680"/>
        <item x="6681"/>
        <item x="6682"/>
        <item x="6683"/>
        <item x="6684"/>
        <item x="6685"/>
        <item x="6686"/>
        <item x="6687"/>
        <item x="6688"/>
        <item x="6689"/>
        <item x="6690"/>
        <item x="6691"/>
        <item x="6692"/>
        <item x="6693"/>
        <item x="6694"/>
        <item x="6695"/>
        <item x="6696"/>
        <item x="6697"/>
        <item x="6698"/>
        <item x="6699"/>
        <item x="6700"/>
        <item x="6701"/>
        <item x="6702"/>
        <item x="6703"/>
        <item x="6704"/>
        <item x="6705"/>
        <item x="6706"/>
        <item x="6707"/>
        <item x="6708"/>
        <item x="6709"/>
        <item x="6710"/>
        <item x="6711"/>
        <item x="6712"/>
        <item x="6713"/>
        <item x="6714"/>
        <item x="6715"/>
        <item x="6716"/>
        <item x="6717"/>
        <item x="6718"/>
        <item x="6719"/>
        <item x="6720"/>
        <item x="6721"/>
        <item x="6722"/>
        <item x="6723"/>
        <item x="6724"/>
        <item x="6725"/>
        <item x="6726"/>
        <item x="6727"/>
        <item x="6728"/>
        <item x="6729"/>
        <item x="6730"/>
        <item x="6731"/>
        <item x="6732"/>
        <item x="6733"/>
        <item x="6734"/>
        <item x="6735"/>
        <item x="6736"/>
        <item x="6737"/>
        <item x="6738"/>
        <item x="6739"/>
        <item x="6740"/>
        <item x="6741"/>
        <item x="6742"/>
        <item x="6743"/>
        <item x="6744"/>
        <item x="6745"/>
        <item x="6746"/>
        <item x="6747"/>
        <item x="6748"/>
        <item x="6749"/>
        <item x="6750"/>
        <item x="6751"/>
        <item x="6752"/>
        <item x="6753"/>
        <item x="6754"/>
        <item x="6755"/>
        <item x="6756"/>
        <item x="6757"/>
        <item x="6758"/>
        <item x="6759"/>
        <item x="6760"/>
        <item x="6761"/>
        <item x="6762"/>
        <item x="6763"/>
        <item x="6764"/>
        <item x="6765"/>
        <item x="6766"/>
        <item x="6767"/>
        <item x="6768"/>
        <item x="6769"/>
        <item x="6770"/>
        <item x="6771"/>
        <item x="6772"/>
        <item x="6773"/>
        <item x="6774"/>
        <item x="6775"/>
        <item x="6776"/>
        <item x="6777"/>
        <item x="6778"/>
        <item x="6779"/>
        <item x="6780"/>
        <item x="6781"/>
        <item x="6782"/>
        <item x="6783"/>
        <item x="6784"/>
        <item x="6785"/>
        <item x="6786"/>
        <item x="6787"/>
        <item x="6788"/>
        <item x="6789"/>
        <item x="6790"/>
        <item x="6791"/>
        <item x="6792"/>
        <item x="6793"/>
        <item x="6794"/>
        <item x="6795"/>
        <item x="6796"/>
        <item x="6797"/>
        <item x="6798"/>
        <item x="6799"/>
        <item x="6800"/>
        <item x="6801"/>
        <item x="6802"/>
        <item x="6803"/>
        <item x="6804"/>
        <item x="6805"/>
        <item x="6806"/>
        <item x="6807"/>
        <item x="6808"/>
        <item x="6809"/>
        <item x="6810"/>
        <item x="6811"/>
        <item x="6812"/>
        <item x="6813"/>
        <item x="6814"/>
        <item x="6815"/>
        <item x="6816"/>
        <item x="6817"/>
        <item x="6818"/>
        <item x="6819"/>
        <item x="6820"/>
        <item x="6821"/>
        <item x="6822"/>
        <item x="6823"/>
        <item x="6824"/>
        <item x="6825"/>
        <item x="6826"/>
        <item x="6827"/>
        <item x="6828"/>
        <item x="6829"/>
        <item x="6830"/>
        <item x="6831"/>
        <item x="6832"/>
        <item x="6833"/>
        <item x="6834"/>
        <item x="6835"/>
        <item x="6836"/>
        <item x="6837"/>
        <item x="6838"/>
        <item x="6839"/>
        <item x="6840"/>
        <item x="6841"/>
        <item x="6842"/>
        <item x="6843"/>
        <item x="6844"/>
        <item x="6845"/>
        <item x="6846"/>
        <item x="6847"/>
        <item x="6848"/>
        <item x="6849"/>
        <item x="6850"/>
        <item x="6851"/>
        <item x="6852"/>
        <item x="6853"/>
        <item x="6854"/>
        <item x="6855"/>
        <item x="6856"/>
        <item x="6857"/>
        <item x="6858"/>
        <item x="6859"/>
        <item x="6860"/>
        <item x="6861"/>
        <item x="6862"/>
        <item x="6863"/>
        <item x="6864"/>
        <item x="6865"/>
        <item x="6866"/>
        <item x="6867"/>
        <item x="6868"/>
        <item x="6869"/>
        <item x="6870"/>
        <item x="6871"/>
        <item x="6872"/>
        <item x="6873"/>
        <item x="6874"/>
        <item x="6875"/>
        <item x="6876"/>
        <item x="6877"/>
        <item x="6878"/>
        <item x="6879"/>
        <item x="6880"/>
        <item x="6881"/>
        <item x="6882"/>
        <item x="6883"/>
        <item x="6884"/>
        <item x="6885"/>
        <item x="6886"/>
        <item x="6887"/>
        <item x="6888"/>
        <item x="6889"/>
        <item x="6890"/>
        <item x="6891"/>
        <item x="6892"/>
        <item x="6893"/>
        <item x="6894"/>
        <item x="6895"/>
        <item x="6896"/>
        <item x="6897"/>
        <item x="6898"/>
        <item x="6899"/>
        <item x="6900"/>
        <item x="6901"/>
        <item x="6902"/>
        <item x="6903"/>
        <item x="6904"/>
        <item x="6905"/>
        <item x="6906"/>
        <item x="6907"/>
        <item x="6908"/>
        <item x="6909"/>
        <item x="6910"/>
        <item x="6911"/>
        <item x="6912"/>
        <item x="6913"/>
        <item x="6914"/>
        <item x="6915"/>
        <item x="6916"/>
        <item x="6917"/>
        <item x="6918"/>
        <item x="6919"/>
        <item x="6920"/>
        <item x="6921"/>
        <item x="6922"/>
        <item x="6923"/>
        <item x="6924"/>
        <item x="6925"/>
        <item x="6926"/>
        <item x="6927"/>
        <item x="6928"/>
        <item x="6929"/>
        <item x="6930"/>
        <item x="6931"/>
        <item x="6932"/>
        <item x="6933"/>
        <item x="6934"/>
        <item x="6935"/>
        <item x="6936"/>
        <item x="6937"/>
        <item x="6938"/>
        <item x="6939"/>
        <item x="6940"/>
        <item x="6941"/>
        <item x="6942"/>
        <item x="6943"/>
        <item x="6944"/>
        <item x="6945"/>
        <item x="6946"/>
        <item x="6947"/>
        <item x="6948"/>
        <item x="6949"/>
        <item x="6950"/>
        <item x="6951"/>
        <item x="6952"/>
        <item x="6953"/>
        <item x="6954"/>
        <item x="6955"/>
        <item x="6956"/>
        <item x="6957"/>
        <item x="6958"/>
        <item x="6959"/>
        <item x="6960"/>
        <item x="6961"/>
        <item x="6962"/>
        <item x="6963"/>
        <item x="6964"/>
        <item x="6965"/>
        <item x="6966"/>
        <item x="6967"/>
        <item x="6968"/>
        <item x="6969"/>
        <item x="6970"/>
        <item x="6971"/>
        <item x="6972"/>
        <item x="6973"/>
        <item x="6974"/>
        <item x="6975"/>
        <item x="6976"/>
        <item x="6977"/>
        <item x="6978"/>
        <item x="6979"/>
        <item x="6980"/>
        <item x="6981"/>
        <item x="6982"/>
        <item x="6983"/>
        <item x="6984"/>
        <item x="6985"/>
        <item x="6986"/>
        <item x="6987"/>
        <item x="6988"/>
        <item x="6989"/>
        <item x="6990"/>
        <item x="6991"/>
        <item x="6992"/>
        <item x="6993"/>
        <item x="6994"/>
        <item x="6995"/>
        <item x="6996"/>
        <item x="6997"/>
        <item x="6998"/>
        <item x="6999"/>
        <item x="7000"/>
        <item x="7001"/>
        <item x="7002"/>
        <item x="7003"/>
        <item x="7004"/>
        <item x="7005"/>
        <item x="7006"/>
        <item x="7007"/>
        <item x="7008"/>
        <item x="7009"/>
        <item x="7010"/>
        <item x="7011"/>
        <item x="7012"/>
        <item x="7013"/>
        <item x="7014"/>
        <item x="7015"/>
        <item x="7016"/>
        <item x="7017"/>
        <item x="7018"/>
        <item x="7019"/>
        <item x="7020"/>
        <item x="7021"/>
        <item x="7022"/>
        <item x="7023"/>
        <item x="7024"/>
        <item x="7025"/>
        <item x="7026"/>
        <item x="7027"/>
        <item x="7028"/>
        <item x="7029"/>
        <item x="7030"/>
        <item x="7031"/>
        <item x="7032"/>
        <item x="7033"/>
        <item x="7034"/>
        <item x="7035"/>
        <item x="7036"/>
        <item x="7037"/>
        <item x="7038"/>
        <item x="7039"/>
        <item x="7040"/>
        <item x="7041"/>
        <item x="7042"/>
        <item x="7043"/>
        <item x="7044"/>
        <item x="7045"/>
        <item x="7046"/>
        <item x="7047"/>
        <item x="7048"/>
        <item x="7049"/>
        <item x="7050"/>
        <item x="7051"/>
        <item x="7052"/>
        <item x="7053"/>
        <item x="7054"/>
        <item x="7055"/>
        <item x="7056"/>
        <item x="7057"/>
        <item x="7058"/>
        <item x="7059"/>
        <item x="7060"/>
        <item x="7061"/>
        <item x="7062"/>
        <item x="7063"/>
        <item x="7064"/>
        <item x="7065"/>
        <item x="7066"/>
        <item x="7067"/>
        <item x="7068"/>
        <item x="7069"/>
        <item x="7070"/>
        <item x="7071"/>
        <item x="7072"/>
        <item x="7073"/>
        <item x="7074"/>
        <item x="7075"/>
        <item x="7076"/>
        <item x="7077"/>
        <item x="7078"/>
        <item x="7079"/>
        <item x="7080"/>
        <item x="7081"/>
        <item x="7082"/>
        <item x="7083"/>
        <item x="7084"/>
        <item x="7085"/>
        <item x="7086"/>
        <item x="7087"/>
        <item x="7088"/>
        <item x="7089"/>
        <item x="7090"/>
        <item x="7091"/>
        <item x="7092"/>
        <item x="7093"/>
        <item x="7094"/>
        <item x="7095"/>
        <item x="7096"/>
        <item x="7097"/>
        <item x="7098"/>
        <item x="7099"/>
        <item x="7100"/>
        <item x="7101"/>
        <item x="7102"/>
        <item x="7103"/>
        <item x="7104"/>
        <item x="7105"/>
        <item x="7106"/>
        <item x="7107"/>
        <item x="7108"/>
        <item x="7109"/>
        <item x="7110"/>
        <item x="7111"/>
        <item x="7112"/>
        <item x="7113"/>
        <item x="7114"/>
        <item x="7115"/>
        <item x="7116"/>
        <item x="7117"/>
        <item x="7118"/>
        <item x="7119"/>
        <item x="7120"/>
        <item x="7121"/>
        <item x="7122"/>
        <item x="7123"/>
        <item x="7124"/>
        <item x="7125"/>
        <item x="7126"/>
        <item x="7127"/>
        <item x="7128"/>
        <item x="7129"/>
        <item x="7130"/>
        <item x="7131"/>
        <item x="7132"/>
        <item x="7133"/>
        <item x="7134"/>
        <item x="7135"/>
        <item x="7136"/>
        <item x="7137"/>
        <item x="7138"/>
        <item x="7139"/>
        <item x="7140"/>
        <item x="7141"/>
        <item x="7142"/>
        <item x="7143"/>
        <item x="7144"/>
        <item x="7145"/>
        <item x="7146"/>
        <item x="7147"/>
        <item x="7148"/>
        <item x="7149"/>
        <item x="7150"/>
        <item x="7151"/>
        <item x="7152"/>
        <item x="7153"/>
        <item x="7154"/>
        <item x="7155"/>
        <item x="7156"/>
        <item x="7157"/>
        <item x="7158"/>
        <item x="7159"/>
        <item x="7160"/>
        <item x="7161"/>
        <item x="7162"/>
        <item x="7163"/>
        <item x="7164"/>
        <item x="7165"/>
        <item x="7166"/>
        <item x="7167"/>
        <item x="7168"/>
        <item x="7169"/>
        <item x="7170"/>
        <item x="7171"/>
        <item x="7172"/>
        <item x="7173"/>
        <item x="7174"/>
        <item x="7175"/>
        <item x="7176"/>
        <item x="7177"/>
        <item x="7178"/>
        <item x="7179"/>
        <item x="7180"/>
        <item x="7181"/>
        <item x="7182"/>
        <item x="7183"/>
        <item x="7184"/>
        <item x="7185"/>
        <item x="7186"/>
        <item x="7187"/>
        <item x="7188"/>
        <item x="7189"/>
        <item x="7190"/>
        <item x="7191"/>
        <item x="7192"/>
        <item x="7193"/>
        <item x="7194"/>
        <item x="7195"/>
        <item x="7196"/>
        <item x="7197"/>
        <item x="7198"/>
        <item x="7199"/>
        <item x="7200"/>
        <item x="7201"/>
        <item x="7202"/>
        <item x="7203"/>
        <item x="7204"/>
        <item x="7205"/>
        <item x="7206"/>
        <item x="7207"/>
        <item x="7208"/>
        <item x="7209"/>
        <item x="7210"/>
        <item x="7211"/>
        <item x="7212"/>
        <item x="7213"/>
        <item x="7214"/>
        <item x="7215"/>
        <item x="7216"/>
        <item x="7217"/>
        <item x="7218"/>
        <item x="7219"/>
        <item x="7220"/>
        <item x="7221"/>
        <item x="7222"/>
        <item x="7223"/>
        <item x="7224"/>
        <item x="7225"/>
        <item x="7226"/>
        <item x="7227"/>
        <item x="7228"/>
        <item x="7229"/>
        <item x="7230"/>
        <item x="7231"/>
        <item x="7232"/>
        <item x="7233"/>
        <item x="7234"/>
        <item x="7235"/>
        <item x="7236"/>
        <item x="7237"/>
        <item x="7238"/>
        <item x="7239"/>
        <item x="7240"/>
        <item x="7241"/>
        <item x="7242"/>
        <item x="7243"/>
        <item x="7244"/>
        <item x="7245"/>
        <item x="7246"/>
        <item x="7247"/>
        <item x="7248"/>
        <item x="7249"/>
        <item x="7250"/>
        <item x="7251"/>
        <item x="7252"/>
        <item x="7253"/>
        <item x="7254"/>
        <item x="7255"/>
        <item x="7256"/>
        <item x="7257"/>
        <item x="7258"/>
        <item x="7259"/>
        <item x="7260"/>
        <item x="7261"/>
        <item x="7262"/>
        <item x="7263"/>
        <item x="7264"/>
        <item x="7265"/>
        <item x="7266"/>
        <item x="7267"/>
        <item x="7268"/>
        <item x="7269"/>
        <item x="7270"/>
        <item x="7271"/>
        <item x="7272"/>
        <item x="7273"/>
        <item x="7274"/>
        <item x="7275"/>
        <item x="7276"/>
        <item x="7277"/>
        <item x="7278"/>
        <item x="7279"/>
        <item x="7280"/>
        <item x="7281"/>
        <item x="7282"/>
        <item x="7283"/>
        <item x="7284"/>
        <item x="7285"/>
        <item x="7286"/>
        <item x="7287"/>
        <item x="7288"/>
        <item x="7289"/>
        <item x="7290"/>
        <item x="7291"/>
        <item x="7292"/>
        <item x="7293"/>
        <item x="7294"/>
        <item x="7295"/>
        <item x="7296"/>
        <item x="7297"/>
        <item x="7298"/>
        <item x="7299"/>
        <item x="7300"/>
        <item x="7301"/>
        <item x="7302"/>
        <item x="7303"/>
        <item x="7304"/>
        <item x="7305"/>
        <item x="7306"/>
        <item x="7307"/>
        <item x="7308"/>
        <item x="7309"/>
        <item x="7310"/>
        <item x="7311"/>
        <item x="7312"/>
        <item x="7313"/>
        <item x="7314"/>
        <item x="7315"/>
        <item x="7316"/>
        <item x="7317"/>
        <item x="7318"/>
        <item x="7319"/>
        <item x="7320"/>
        <item x="7321"/>
        <item x="7322"/>
        <item x="7323"/>
        <item x="7324"/>
        <item x="7325"/>
        <item x="7326"/>
        <item x="7327"/>
        <item x="7328"/>
        <item x="7329"/>
        <item x="7330"/>
        <item x="7331"/>
        <item x="7332"/>
        <item x="7333"/>
        <item x="7334"/>
        <item x="7335"/>
        <item x="7336"/>
        <item x="7337"/>
        <item x="7338"/>
        <item x="7339"/>
        <item x="7340"/>
        <item x="7341"/>
        <item x="7342"/>
        <item x="7343"/>
        <item x="7344"/>
        <item x="7345"/>
        <item x="7346"/>
        <item x="7347"/>
        <item x="7348"/>
        <item x="7349"/>
        <item x="7350"/>
        <item x="7351"/>
        <item x="7352"/>
        <item x="7353"/>
        <item x="7354"/>
        <item x="7355"/>
        <item x="7356"/>
        <item x="7357"/>
        <item x="7358"/>
        <item x="7359"/>
        <item x="7360"/>
        <item x="7361"/>
        <item x="7362"/>
        <item x="7363"/>
        <item x="7364"/>
        <item x="7365"/>
        <item x="7366"/>
        <item x="7367"/>
        <item x="7368"/>
        <item x="7369"/>
        <item x="7370"/>
        <item x="7371"/>
        <item x="7372"/>
        <item x="7373"/>
        <item x="7374"/>
        <item x="7375"/>
        <item x="7376"/>
        <item x="7377"/>
        <item x="7378"/>
        <item x="7379"/>
        <item x="7380"/>
        <item x="7381"/>
        <item x="7382"/>
        <item x="7383"/>
        <item x="7384"/>
        <item x="7385"/>
        <item x="7386"/>
        <item x="7387"/>
        <item x="7388"/>
        <item x="7389"/>
        <item x="7390"/>
        <item x="7391"/>
        <item x="7392"/>
        <item x="7393"/>
        <item x="7394"/>
        <item x="7395"/>
        <item x="7396"/>
        <item x="7397"/>
        <item x="7398"/>
        <item x="7399"/>
        <item x="7400"/>
        <item x="7401"/>
        <item x="7402"/>
        <item x="7403"/>
        <item x="7404"/>
        <item x="7405"/>
        <item x="7406"/>
        <item x="7407"/>
        <item x="7408"/>
        <item x="7409"/>
        <item x="7410"/>
        <item x="7411"/>
        <item x="7412"/>
        <item x="7413"/>
        <item x="7414"/>
        <item x="7415"/>
        <item x="7416"/>
        <item x="7417"/>
        <item x="7418"/>
        <item x="7419"/>
        <item x="7420"/>
        <item x="7421"/>
        <item x="7422"/>
        <item x="7423"/>
        <item x="7424"/>
        <item x="7425"/>
        <item x="7426"/>
        <item x="7427"/>
        <item x="7428"/>
        <item x="7429"/>
        <item x="7430"/>
        <item x="7431"/>
        <item x="7432"/>
        <item x="7433"/>
        <item x="7434"/>
        <item x="7435"/>
        <item x="7436"/>
        <item x="7437"/>
        <item x="7438"/>
        <item x="7439"/>
        <item x="7440"/>
        <item x="7441"/>
        <item x="7442"/>
        <item x="7443"/>
        <item x="7444"/>
        <item x="7445"/>
        <item x="7446"/>
        <item x="7447"/>
        <item x="7448"/>
        <item x="7449"/>
        <item x="7450"/>
        <item x="7451"/>
        <item x="7452"/>
        <item x="7453"/>
        <item x="7454"/>
        <item x="7455"/>
        <item x="7456"/>
        <item x="7457"/>
        <item x="7458"/>
        <item x="7459"/>
        <item x="7460"/>
        <item x="7461"/>
        <item x="7462"/>
        <item x="7463"/>
        <item x="7464"/>
        <item x="7465"/>
        <item x="7466"/>
        <item x="7467"/>
        <item x="7468"/>
        <item x="7469"/>
        <item x="7470"/>
        <item x="7471"/>
        <item x="7472"/>
        <item x="7473"/>
        <item x="7474"/>
        <item x="7475"/>
        <item x="7476"/>
        <item x="7477"/>
        <item x="7478"/>
        <item x="7479"/>
        <item x="7480"/>
        <item x="7481"/>
        <item x="7482"/>
        <item x="7483"/>
        <item x="7484"/>
        <item x="7485"/>
        <item x="7486"/>
        <item x="7487"/>
        <item x="7488"/>
        <item x="7489"/>
        <item x="7490"/>
        <item x="7491"/>
        <item x="7492"/>
        <item x="7493"/>
        <item x="7494"/>
        <item x="7495"/>
        <item x="7496"/>
        <item x="7497"/>
        <item x="7498"/>
        <item x="7499"/>
        <item x="7500"/>
        <item x="7501"/>
        <item x="7502"/>
        <item x="7503"/>
        <item x="7504"/>
        <item x="7505"/>
        <item x="7506"/>
        <item x="7507"/>
        <item x="7508"/>
        <item x="7509"/>
        <item x="7510"/>
        <item x="7511"/>
        <item x="7512"/>
        <item x="7513"/>
        <item x="7514"/>
        <item x="7515"/>
        <item x="7516"/>
        <item x="7517"/>
        <item x="7518"/>
        <item x="7519"/>
        <item x="7520"/>
        <item x="7521"/>
        <item x="7522"/>
        <item x="7523"/>
        <item x="7524"/>
        <item x="7525"/>
        <item x="7526"/>
        <item x="7527"/>
        <item x="7528"/>
        <item x="7529"/>
        <item x="7530"/>
        <item x="7531"/>
        <item x="7532"/>
        <item x="7533"/>
        <item x="7534"/>
        <item x="7535"/>
        <item x="7536"/>
        <item x="7537"/>
        <item x="7538"/>
        <item x="7539"/>
        <item x="7540"/>
        <item x="7541"/>
        <item x="7542"/>
        <item x="7543"/>
        <item x="7544"/>
        <item x="7545"/>
        <item x="7546"/>
        <item x="7547"/>
        <item x="7548"/>
        <item x="7549"/>
        <item x="7550"/>
        <item x="7551"/>
        <item x="7552"/>
        <item x="7553"/>
        <item x="7554"/>
        <item x="7555"/>
        <item x="7556"/>
        <item x="7557"/>
        <item x="7558"/>
        <item x="7559"/>
        <item x="7560"/>
        <item x="7561"/>
        <item x="7562"/>
        <item x="7563"/>
        <item x="7564"/>
        <item x="7565"/>
        <item x="7566"/>
        <item x="7567"/>
        <item x="7568"/>
        <item x="7569"/>
        <item x="7570"/>
        <item x="7571"/>
        <item x="7572"/>
        <item x="7573"/>
        <item x="7574"/>
        <item x="7575"/>
        <item x="7576"/>
        <item x="7577"/>
        <item x="7578"/>
        <item x="7579"/>
        <item x="7580"/>
        <item x="7581"/>
        <item x="7582"/>
        <item x="7583"/>
        <item x="7584"/>
        <item x="7585"/>
        <item x="7586"/>
        <item x="7587"/>
        <item x="7588"/>
        <item x="7589"/>
        <item x="7590"/>
        <item x="7591"/>
        <item x="7592"/>
        <item x="7593"/>
        <item x="7594"/>
        <item x="7595"/>
        <item x="7596"/>
        <item x="7597"/>
        <item x="7598"/>
        <item x="7599"/>
        <item x="7600"/>
        <item x="7601"/>
        <item x="7602"/>
        <item x="7603"/>
        <item x="7604"/>
        <item x="7605"/>
        <item x="7606"/>
        <item x="7607"/>
        <item x="7608"/>
        <item x="7609"/>
        <item x="7610"/>
        <item x="7611"/>
        <item x="7612"/>
        <item x="7613"/>
        <item x="7614"/>
        <item x="7615"/>
        <item x="7616"/>
        <item x="7617"/>
        <item x="7618"/>
        <item x="7619"/>
        <item x="7620"/>
        <item x="7621"/>
        <item x="7622"/>
        <item x="7623"/>
        <item x="7624"/>
        <item x="7625"/>
        <item x="7626"/>
        <item x="7627"/>
        <item x="7628"/>
        <item x="7629"/>
        <item x="7630"/>
        <item x="7631"/>
        <item x="7632"/>
        <item x="7633"/>
        <item x="7634"/>
        <item x="7635"/>
        <item x="7636"/>
        <item x="7637"/>
        <item x="7638"/>
        <item x="7639"/>
        <item x="7640"/>
        <item x="7641"/>
        <item x="7642"/>
        <item x="7643"/>
        <item x="7644"/>
        <item x="7645"/>
        <item x="7646"/>
        <item x="7647"/>
        <item x="7648"/>
        <item x="7649"/>
        <item x="7650"/>
        <item x="7651"/>
        <item x="7652"/>
        <item x="7653"/>
        <item x="7654"/>
        <item x="7655"/>
        <item x="7656"/>
        <item x="7657"/>
        <item x="7658"/>
        <item x="7659"/>
        <item x="7660"/>
        <item x="7661"/>
        <item x="7662"/>
        <item x="7663"/>
        <item x="7664"/>
        <item x="7665"/>
        <item x="7666"/>
        <item x="7667"/>
        <item x="7668"/>
        <item x="7669"/>
        <item x="7670"/>
        <item x="7671"/>
        <item x="7672"/>
        <item x="7673"/>
        <item x="7674"/>
        <item x="7675"/>
        <item x="7676"/>
        <item x="7677"/>
        <item x="7678"/>
        <item x="7679"/>
        <item x="7680"/>
        <item x="7681"/>
        <item x="7682"/>
        <item x="7683"/>
        <item x="7684"/>
        <item x="7685"/>
        <item x="7686"/>
        <item x="7687"/>
        <item x="7688"/>
        <item x="7689"/>
        <item x="7690"/>
        <item x="7691"/>
        <item x="7692"/>
        <item x="7693"/>
        <item x="7694"/>
        <item x="7695"/>
        <item x="7696"/>
        <item x="7697"/>
        <item x="7698"/>
        <item x="7699"/>
        <item x="7700"/>
        <item x="7701"/>
        <item x="7702"/>
        <item x="7703"/>
        <item x="7704"/>
        <item x="7705"/>
        <item x="7706"/>
        <item x="7707"/>
        <item x="7708"/>
        <item x="7709"/>
        <item x="7710"/>
        <item x="7711"/>
        <item x="7712"/>
        <item x="7713"/>
        <item x="7714"/>
        <item x="7715"/>
        <item x="7716"/>
        <item x="7717"/>
        <item x="7718"/>
        <item x="7719"/>
        <item x="7720"/>
        <item x="7721"/>
        <item x="7722"/>
        <item x="7723"/>
        <item x="7724"/>
        <item x="7725"/>
        <item x="7726"/>
        <item x="7727"/>
        <item x="7728"/>
        <item x="7729"/>
        <item x="7730"/>
        <item x="7731"/>
        <item x="7732"/>
        <item x="7733"/>
        <item x="7734"/>
        <item x="7735"/>
        <item x="7736"/>
        <item x="7737"/>
        <item x="7738"/>
        <item x="7739"/>
        <item x="7740"/>
        <item x="7741"/>
        <item x="7742"/>
        <item x="7743"/>
        <item x="7744"/>
        <item x="7745"/>
        <item x="7746"/>
        <item x="7747"/>
        <item x="7748"/>
        <item x="7749"/>
        <item x="7750"/>
        <item x="7751"/>
        <item x="7752"/>
        <item x="7753"/>
        <item x="7754"/>
        <item x="7755"/>
        <item x="7756"/>
        <item x="7757"/>
        <item x="7758"/>
        <item x="7759"/>
        <item x="7760"/>
        <item x="7761"/>
        <item x="7762"/>
        <item x="7763"/>
        <item x="7764"/>
        <item x="7765"/>
        <item x="7766"/>
        <item x="7767"/>
        <item x="7768"/>
        <item x="7769"/>
        <item x="7770"/>
        <item x="7771"/>
        <item x="7772"/>
        <item x="7773"/>
        <item x="7774"/>
        <item x="7775"/>
        <item x="7776"/>
        <item x="7777"/>
        <item x="7778"/>
        <item x="7779"/>
        <item x="7780"/>
        <item x="7781"/>
        <item x="7782"/>
        <item x="7783"/>
        <item x="7784"/>
        <item x="7785"/>
        <item x="7786"/>
        <item x="7787"/>
        <item x="7788"/>
        <item x="7789"/>
        <item x="7790"/>
        <item x="7791"/>
        <item x="7792"/>
        <item x="7793"/>
        <item x="7794"/>
        <item x="7795"/>
        <item x="7796"/>
        <item x="7797"/>
        <item x="7798"/>
        <item x="7799"/>
        <item x="7800"/>
        <item x="7801"/>
        <item x="7802"/>
        <item x="7803"/>
        <item x="7804"/>
        <item x="7805"/>
        <item x="7806"/>
        <item x="7807"/>
        <item x="7808"/>
        <item x="7809"/>
        <item x="7810"/>
        <item x="7811"/>
        <item x="7812"/>
        <item x="7813"/>
        <item x="7814"/>
        <item x="7815"/>
        <item x="7816"/>
        <item x="7817"/>
        <item x="7818"/>
        <item x="7819"/>
        <item x="7820"/>
        <item x="7821"/>
        <item x="7822"/>
        <item x="7823"/>
        <item x="7824"/>
        <item x="7825"/>
        <item x="7826"/>
        <item x="7827"/>
        <item x="7828"/>
        <item x="7829"/>
        <item x="7830"/>
        <item x="7831"/>
        <item x="7832"/>
        <item x="7833"/>
        <item x="7834"/>
        <item x="7835"/>
        <item x="7836"/>
        <item x="7837"/>
        <item x="7838"/>
        <item x="7839"/>
        <item x="7840"/>
        <item x="7841"/>
        <item x="7842"/>
        <item x="7843"/>
        <item x="7844"/>
        <item x="7845"/>
        <item x="7846"/>
        <item x="7847"/>
        <item x="7848"/>
        <item x="7849"/>
        <item x="7850"/>
        <item x="7851"/>
        <item x="7852"/>
        <item x="7853"/>
        <item x="7854"/>
        <item x="7855"/>
        <item x="7856"/>
        <item x="7857"/>
        <item x="7858"/>
        <item x="7859"/>
        <item x="7860"/>
        <item x="7861"/>
        <item x="7862"/>
        <item x="7863"/>
        <item x="7864"/>
        <item x="7865"/>
        <item x="7866"/>
        <item x="7867"/>
        <item x="7868"/>
        <item x="7869"/>
        <item x="7870"/>
        <item x="7871"/>
        <item x="7872"/>
        <item x="7873"/>
        <item x="7874"/>
        <item x="7875"/>
        <item x="7876"/>
        <item x="7877"/>
        <item x="7878"/>
        <item x="7879"/>
        <item x="7880"/>
        <item x="7881"/>
        <item x="7882"/>
        <item x="7883"/>
        <item x="7884"/>
        <item x="7885"/>
        <item x="7886"/>
        <item x="7887"/>
        <item x="7888"/>
        <item x="7889"/>
        <item x="7890"/>
        <item x="7891"/>
        <item x="7892"/>
        <item x="7893"/>
        <item x="7894"/>
        <item x="7895"/>
        <item x="7896"/>
        <item x="7897"/>
        <item x="7898"/>
        <item x="7899"/>
        <item x="7900"/>
        <item x="7901"/>
        <item x="7902"/>
        <item x="7903"/>
        <item x="7904"/>
        <item x="7905"/>
        <item x="7906"/>
        <item x="7907"/>
        <item x="7908"/>
        <item x="7909"/>
        <item x="7910"/>
        <item x="7911"/>
        <item x="7912"/>
        <item x="7913"/>
        <item x="7914"/>
        <item x="7915"/>
        <item x="7916"/>
        <item x="7917"/>
        <item x="7918"/>
        <item x="7919"/>
        <item x="7920"/>
        <item x="7921"/>
        <item x="7922"/>
        <item x="7923"/>
        <item x="7924"/>
        <item x="7925"/>
        <item x="7926"/>
        <item x="7927"/>
        <item x="7928"/>
        <item x="7929"/>
        <item x="7930"/>
        <item x="7931"/>
        <item x="7932"/>
        <item x="7933"/>
        <item x="7934"/>
        <item x="7935"/>
        <item x="7936"/>
        <item x="7937"/>
        <item x="7938"/>
        <item x="7939"/>
        <item x="7940"/>
        <item x="7941"/>
        <item x="7942"/>
        <item x="7943"/>
        <item x="7944"/>
        <item x="7945"/>
        <item x="7946"/>
        <item x="7947"/>
        <item x="7948"/>
        <item x="7949"/>
        <item x="7950"/>
        <item x="7951"/>
        <item x="7952"/>
        <item x="7953"/>
        <item x="7954"/>
        <item x="7955"/>
        <item x="7956"/>
        <item x="7957"/>
        <item x="7958"/>
        <item x="7959"/>
        <item x="7960"/>
        <item x="7961"/>
        <item x="7962"/>
        <item x="7963"/>
        <item x="7964"/>
        <item x="7965"/>
        <item x="7966"/>
        <item x="7967"/>
        <item x="7968"/>
        <item x="7969"/>
        <item x="7970"/>
        <item x="7971"/>
        <item x="7972"/>
        <item x="7973"/>
        <item x="7974"/>
        <item x="7975"/>
        <item x="7976"/>
        <item x="7977"/>
        <item x="7978"/>
        <item x="7979"/>
        <item x="7980"/>
        <item x="7981"/>
        <item x="7982"/>
        <item x="7983"/>
        <item x="7984"/>
        <item x="7985"/>
        <item x="7986"/>
        <item x="7987"/>
        <item x="7988"/>
        <item x="7989"/>
        <item x="7990"/>
        <item x="7991"/>
        <item x="7992"/>
        <item x="7993"/>
        <item x="7994"/>
        <item x="7995"/>
        <item x="7996"/>
        <item x="7997"/>
        <item x="7998"/>
        <item x="7999"/>
        <item x="8000"/>
        <item x="8001"/>
        <item x="8002"/>
        <item x="8003"/>
        <item x="8004"/>
        <item x="8005"/>
        <item x="8006"/>
        <item x="8007"/>
        <item x="8008"/>
        <item x="8009"/>
        <item x="8010"/>
        <item x="8011"/>
        <item x="8012"/>
        <item x="8013"/>
        <item x="8014"/>
        <item x="8015"/>
        <item x="8016"/>
        <item x="8017"/>
        <item x="8018"/>
        <item x="8019"/>
        <item x="8020"/>
        <item x="8021"/>
        <item x="8022"/>
        <item x="8023"/>
        <item x="8024"/>
        <item x="8025"/>
        <item x="8026"/>
        <item x="8027"/>
        <item x="8028"/>
        <item x="8029"/>
        <item x="8030"/>
        <item x="8031"/>
        <item x="8032"/>
        <item x="8033"/>
        <item x="8034"/>
        <item x="8035"/>
        <item x="8036"/>
        <item x="8037"/>
        <item x="8038"/>
        <item x="8039"/>
        <item x="8040"/>
        <item x="8041"/>
        <item x="8042"/>
        <item x="8043"/>
        <item x="8044"/>
        <item x="8045"/>
        <item x="8046"/>
        <item x="8047"/>
        <item x="8048"/>
        <item x="8049"/>
        <item x="8050"/>
        <item x="8051"/>
        <item x="8052"/>
        <item x="8053"/>
        <item x="8054"/>
        <item x="8055"/>
        <item x="8056"/>
        <item x="8057"/>
        <item x="8058"/>
        <item x="8059"/>
        <item x="8060"/>
        <item x="8061"/>
        <item x="8062"/>
        <item x="8063"/>
        <item x="8064"/>
        <item x="8065"/>
        <item x="8066"/>
        <item x="8067"/>
        <item x="8068"/>
        <item x="8069"/>
        <item x="8070"/>
        <item x="8071"/>
        <item x="8072"/>
        <item x="8073"/>
        <item x="8074"/>
        <item x="8075"/>
        <item x="8076"/>
        <item x="8077"/>
        <item x="8078"/>
        <item x="8079"/>
        <item x="8080"/>
        <item x="8081"/>
        <item x="8082"/>
        <item x="8083"/>
        <item x="8084"/>
        <item x="8085"/>
        <item x="8086"/>
        <item x="8087"/>
        <item x="8088"/>
        <item x="8089"/>
        <item x="8090"/>
        <item x="8091"/>
        <item x="8092"/>
        <item x="8093"/>
        <item x="8094"/>
        <item x="8095"/>
        <item x="8096"/>
        <item x="8097"/>
        <item x="8098"/>
        <item x="8099"/>
        <item x="8100"/>
        <item x="8101"/>
        <item x="8102"/>
        <item x="8103"/>
        <item x="8104"/>
        <item x="8105"/>
        <item x="8106"/>
        <item x="8107"/>
        <item x="8108"/>
        <item x="8109"/>
        <item x="8110"/>
        <item x="8111"/>
        <item x="8112"/>
        <item x="8113"/>
        <item x="8114"/>
        <item x="8115"/>
        <item x="8116"/>
        <item x="8117"/>
        <item x="8118"/>
        <item x="8119"/>
        <item x="8120"/>
        <item x="8121"/>
        <item x="8122"/>
        <item x="8123"/>
        <item x="8124"/>
        <item x="8125"/>
        <item x="8126"/>
        <item x="8127"/>
        <item x="8128"/>
        <item x="8129"/>
        <item x="8130"/>
        <item x="8131"/>
        <item x="8132"/>
        <item x="8133"/>
        <item x="8134"/>
        <item x="8135"/>
        <item x="8136"/>
        <item x="8137"/>
        <item x="8138"/>
        <item x="8139"/>
        <item x="8140"/>
        <item x="8141"/>
        <item x="8142"/>
        <item x="8143"/>
        <item x="8144"/>
        <item x="8145"/>
        <item x="8146"/>
        <item x="8147"/>
        <item x="8148"/>
        <item x="8149"/>
        <item x="8150"/>
        <item x="8151"/>
        <item x="8152"/>
        <item x="8153"/>
        <item x="8154"/>
        <item x="8155"/>
        <item x="8156"/>
        <item x="8157"/>
        <item x="8158"/>
        <item x="8159"/>
        <item x="8160"/>
        <item x="8161"/>
        <item x="8162"/>
        <item x="8163"/>
        <item x="8164"/>
        <item x="8165"/>
        <item x="8166"/>
        <item x="8167"/>
        <item x="8168"/>
        <item x="8169"/>
        <item x="8170"/>
        <item x="8171"/>
        <item x="8172"/>
        <item x="8173"/>
        <item x="8174"/>
        <item x="8175"/>
        <item x="8176"/>
        <item x="8177"/>
        <item x="8178"/>
        <item x="8179"/>
        <item x="8180"/>
        <item x="8181"/>
        <item x="8182"/>
        <item x="8183"/>
        <item x="8184"/>
        <item x="8185"/>
        <item x="8186"/>
        <item x="8187"/>
        <item x="8188"/>
        <item x="8189"/>
        <item x="8190"/>
        <item x="8191"/>
        <item x="8192"/>
        <item x="8193"/>
        <item x="8194"/>
        <item x="8195"/>
        <item x="8196"/>
        <item x="8197"/>
        <item x="8198"/>
        <item x="8199"/>
        <item x="8200"/>
        <item x="8201"/>
        <item x="8202"/>
        <item x="8203"/>
        <item x="8204"/>
        <item x="8205"/>
        <item x="8206"/>
        <item x="8207"/>
        <item x="8208"/>
        <item x="8209"/>
        <item x="8210"/>
        <item x="8211"/>
        <item x="8212"/>
        <item x="8213"/>
        <item x="8214"/>
        <item x="8215"/>
        <item x="8216"/>
        <item x="8217"/>
        <item x="8218"/>
        <item x="8219"/>
        <item x="8220"/>
        <item x="8221"/>
        <item x="8222"/>
        <item x="8223"/>
        <item x="8224"/>
        <item x="8225"/>
        <item x="8226"/>
        <item x="8227"/>
        <item x="8228"/>
        <item x="8229"/>
        <item x="8230"/>
        <item x="8231"/>
        <item x="8232"/>
        <item x="8233"/>
        <item x="8234"/>
        <item x="8235"/>
        <item x="8236"/>
        <item x="8237"/>
        <item x="8238"/>
        <item x="8239"/>
        <item x="8240"/>
        <item x="8241"/>
        <item x="8242"/>
        <item x="8243"/>
        <item x="8244"/>
        <item x="8245"/>
        <item x="8246"/>
        <item x="8247"/>
        <item x="8248"/>
        <item x="8249"/>
        <item x="8250"/>
        <item x="8251"/>
        <item x="8252"/>
        <item x="8253"/>
        <item x="8254"/>
        <item x="8255"/>
        <item x="8256"/>
        <item x="8257"/>
        <item x="8258"/>
        <item x="8259"/>
        <item x="8260"/>
        <item x="8261"/>
        <item x="8262"/>
        <item x="8263"/>
        <item x="8264"/>
        <item x="8265"/>
        <item x="8266"/>
        <item x="8267"/>
        <item x="8268"/>
        <item x="8269"/>
        <item x="8270"/>
        <item x="8271"/>
        <item x="8272"/>
        <item x="8273"/>
        <item x="8274"/>
        <item x="8275"/>
        <item x="8276"/>
        <item x="8277"/>
        <item x="8278"/>
        <item x="8279"/>
        <item x="8280"/>
        <item x="8281"/>
        <item x="8282"/>
        <item x="8283"/>
        <item x="8284"/>
        <item x="8285"/>
        <item x="8286"/>
        <item x="8287"/>
        <item x="8288"/>
        <item x="8289"/>
        <item x="8290"/>
        <item x="8291"/>
        <item x="8292"/>
        <item x="8293"/>
        <item x="8294"/>
        <item x="8295"/>
        <item x="8296"/>
        <item x="8297"/>
        <item x="8298"/>
        <item x="8299"/>
        <item x="8300"/>
        <item x="8301"/>
        <item x="8302"/>
        <item x="8303"/>
        <item x="8304"/>
        <item x="8305"/>
        <item x="8306"/>
        <item x="8307"/>
        <item x="8308"/>
        <item x="8309"/>
        <item x="8310"/>
        <item x="8311"/>
        <item x="8312"/>
        <item x="8313"/>
        <item x="8314"/>
        <item x="8315"/>
        <item x="8316"/>
        <item x="8317"/>
        <item x="8318"/>
        <item x="8319"/>
        <item x="8320"/>
        <item x="8321"/>
        <item x="8322"/>
        <item x="8323"/>
        <item x="8324"/>
        <item x="8325"/>
        <item x="8326"/>
        <item x="8327"/>
        <item x="8328"/>
        <item x="8329"/>
        <item x="8330"/>
        <item x="8331"/>
        <item x="8332"/>
        <item x="8333"/>
        <item x="8334"/>
        <item x="8335"/>
        <item x="8336"/>
        <item x="8337"/>
        <item x="8338"/>
        <item x="8339"/>
        <item x="8340"/>
        <item x="8341"/>
        <item x="8342"/>
        <item x="8343"/>
        <item x="8344"/>
        <item x="8345"/>
        <item x="8346"/>
        <item x="8347"/>
        <item x="8348"/>
        <item x="8349"/>
        <item x="8350"/>
        <item x="8351"/>
        <item x="8352"/>
        <item x="8353"/>
        <item x="8354"/>
        <item x="8355"/>
        <item x="8356"/>
        <item x="8357"/>
        <item x="8358"/>
        <item x="8359"/>
        <item x="8360"/>
        <item x="8361"/>
        <item x="8362"/>
        <item x="8363"/>
        <item x="8364"/>
        <item x="8365"/>
        <item x="8366"/>
        <item x="8367"/>
        <item x="8368"/>
        <item x="8369"/>
        <item x="8370"/>
        <item x="8371"/>
        <item x="8372"/>
        <item x="8373"/>
        <item x="8374"/>
        <item x="8375"/>
        <item x="8376"/>
        <item x="8377"/>
        <item x="8378"/>
        <item x="8379"/>
        <item x="8380"/>
        <item x="8381"/>
        <item x="8382"/>
        <item x="8383"/>
        <item x="8384"/>
        <item x="8385"/>
        <item x="8386"/>
        <item x="8387"/>
        <item x="8388"/>
        <item x="8389"/>
        <item x="8390"/>
        <item x="8391"/>
        <item x="8392"/>
        <item x="8393"/>
        <item x="8394"/>
        <item x="8395"/>
        <item x="8396"/>
        <item x="8397"/>
        <item x="8398"/>
        <item x="8399"/>
        <item x="8400"/>
        <item x="8401"/>
        <item x="8402"/>
        <item x="8403"/>
        <item x="8404"/>
        <item x="8405"/>
        <item x="8406"/>
        <item x="8407"/>
        <item x="8408"/>
        <item x="8409"/>
        <item x="8410"/>
        <item x="8411"/>
        <item x="8412"/>
        <item x="8413"/>
        <item x="8414"/>
        <item x="8415"/>
        <item x="8416"/>
        <item x="8417"/>
        <item x="8418"/>
        <item x="8419"/>
        <item x="8420"/>
        <item x="8421"/>
        <item x="8422"/>
        <item x="8423"/>
        <item x="8424"/>
        <item x="8425"/>
        <item x="8426"/>
        <item x="8427"/>
        <item x="8428"/>
        <item x="8429"/>
        <item x="8430"/>
        <item x="8431"/>
        <item x="8432"/>
        <item x="8433"/>
        <item x="8434"/>
        <item x="8435"/>
        <item x="8436"/>
        <item x="8437"/>
        <item x="8438"/>
        <item x="8439"/>
        <item x="8440"/>
        <item x="8441"/>
        <item x="8442"/>
        <item x="8443"/>
        <item x="8444"/>
        <item x="8445"/>
        <item x="8446"/>
        <item x="8447"/>
        <item x="8448"/>
        <item x="8449"/>
        <item x="8450"/>
        <item x="8451"/>
        <item x="8452"/>
        <item x="8453"/>
        <item x="8454"/>
        <item x="8455"/>
        <item x="8456"/>
        <item x="8457"/>
        <item x="8458"/>
        <item x="8459"/>
        <item x="8460"/>
        <item x="8461"/>
        <item x="8462"/>
        <item x="8463"/>
        <item x="8464"/>
        <item x="8465"/>
        <item x="8466"/>
        <item x="8467"/>
        <item x="8468"/>
        <item x="8469"/>
        <item x="8470"/>
        <item x="8471"/>
        <item x="8472"/>
        <item x="8473"/>
        <item x="8474"/>
        <item x="8475"/>
        <item x="8476"/>
        <item x="8477"/>
        <item x="8478"/>
        <item x="8479"/>
        <item x="8480"/>
        <item x="8481"/>
        <item x="8482"/>
        <item x="8483"/>
        <item x="8484"/>
        <item x="8485"/>
        <item x="8486"/>
        <item x="8487"/>
        <item x="8488"/>
        <item x="8489"/>
        <item x="8490"/>
        <item x="8491"/>
        <item x="8492"/>
        <item x="8493"/>
        <item x="8494"/>
        <item x="8495"/>
        <item x="8496"/>
        <item x="8497"/>
        <item x="8498"/>
        <item x="8499"/>
        <item x="8500"/>
        <item x="8501"/>
        <item x="8502"/>
        <item x="8503"/>
        <item x="8504"/>
        <item x="8505"/>
        <item x="8506"/>
        <item x="8507"/>
        <item x="8508"/>
        <item x="8509"/>
        <item x="8510"/>
        <item x="8511"/>
        <item x="8512"/>
        <item x="8513"/>
        <item x="8514"/>
        <item x="8515"/>
        <item x="8516"/>
        <item x="8517"/>
        <item x="8518"/>
        <item x="8519"/>
        <item x="8520"/>
        <item x="8521"/>
        <item x="8522"/>
        <item x="8523"/>
        <item x="8524"/>
        <item x="8525"/>
        <item x="8526"/>
        <item x="8527"/>
        <item x="8528"/>
        <item x="8529"/>
        <item x="8530"/>
        <item x="8531"/>
        <item x="8532"/>
        <item x="8533"/>
        <item x="8534"/>
        <item x="8535"/>
        <item x="8536"/>
        <item x="8537"/>
        <item x="8538"/>
        <item x="8539"/>
        <item x="8540"/>
        <item x="8541"/>
        <item x="8542"/>
        <item x="8543"/>
        <item x="8544"/>
        <item x="8545"/>
        <item x="8546"/>
        <item x="8547"/>
        <item x="8548"/>
        <item x="8549"/>
        <item x="8550"/>
        <item x="8551"/>
        <item x="8552"/>
        <item x="8553"/>
        <item x="8554"/>
        <item x="8555"/>
        <item x="8556"/>
        <item x="8557"/>
        <item x="8558"/>
        <item x="8559"/>
        <item x="8560"/>
        <item x="8561"/>
        <item x="8562"/>
        <item x="8563"/>
        <item x="8564"/>
        <item x="8565"/>
        <item x="8566"/>
        <item x="8567"/>
        <item x="8568"/>
        <item x="8569"/>
        <item x="8570"/>
        <item x="8571"/>
        <item x="8572"/>
        <item x="8573"/>
        <item x="8574"/>
        <item x="8575"/>
        <item x="8576"/>
        <item x="8577"/>
        <item x="8578"/>
        <item x="8579"/>
        <item x="8580"/>
        <item x="8581"/>
        <item x="8582"/>
        <item x="8583"/>
        <item x="8584"/>
        <item x="8585"/>
        <item x="8586"/>
        <item x="8587"/>
        <item x="8588"/>
        <item x="8589"/>
        <item x="8590"/>
        <item x="8591"/>
        <item x="8592"/>
        <item x="8593"/>
        <item x="8594"/>
        <item x="8595"/>
        <item x="8596"/>
        <item x="8597"/>
        <item x="8598"/>
        <item x="8599"/>
        <item x="8600"/>
        <item x="8601"/>
        <item x="8602"/>
        <item x="8603"/>
        <item x="8604"/>
        <item x="8605"/>
        <item x="8606"/>
        <item x="8607"/>
        <item x="8608"/>
        <item x="8609"/>
        <item x="8610"/>
        <item x="8611"/>
        <item x="8612"/>
        <item x="8613"/>
        <item x="8614"/>
        <item x="8615"/>
        <item x="8616"/>
        <item x="8617"/>
        <item x="8618"/>
        <item x="8619"/>
        <item x="8620"/>
        <item x="8621"/>
        <item x="8622"/>
        <item x="8623"/>
        <item x="8624"/>
        <item x="8625"/>
        <item x="8626"/>
        <item x="8627"/>
        <item x="8628"/>
        <item x="8629"/>
        <item x="8630"/>
        <item x="8631"/>
        <item x="8632"/>
        <item x="8633"/>
        <item x="8634"/>
        <item x="8635"/>
        <item x="8636"/>
        <item x="8637"/>
        <item x="8638"/>
        <item x="8639"/>
        <item x="8640"/>
        <item x="8641"/>
        <item x="8642"/>
        <item x="8643"/>
        <item x="8644"/>
        <item x="8645"/>
        <item x="8646"/>
        <item x="8647"/>
        <item x="8648"/>
        <item x="8649"/>
        <item x="8650"/>
        <item x="8651"/>
        <item x="8652"/>
        <item x="8653"/>
        <item x="8654"/>
        <item x="8655"/>
        <item x="8656"/>
        <item x="8657"/>
        <item x="8658"/>
        <item x="8659"/>
        <item x="8660"/>
        <item x="8661"/>
        <item x="8662"/>
        <item x="8663"/>
        <item x="8664"/>
        <item x="8665"/>
        <item x="8666"/>
        <item x="8667"/>
        <item x="8668"/>
        <item x="8669"/>
        <item x="8670"/>
        <item x="8671"/>
        <item x="8672"/>
        <item x="8673"/>
        <item x="8674"/>
        <item x="8675"/>
        <item x="8676"/>
        <item x="8677"/>
        <item x="8678"/>
        <item x="8679"/>
        <item x="8680"/>
        <item x="8681"/>
        <item x="8682"/>
        <item x="8683"/>
        <item x="8684"/>
        <item x="8685"/>
        <item x="8686"/>
        <item x="8687"/>
        <item x="8688"/>
        <item x="8689"/>
        <item x="8690"/>
        <item x="8691"/>
        <item x="8692"/>
        <item x="8693"/>
        <item x="8694"/>
        <item x="8695"/>
        <item x="8696"/>
        <item x="8697"/>
        <item x="8698"/>
        <item x="8699"/>
        <item x="8700"/>
        <item x="8701"/>
        <item x="8702"/>
        <item x="8703"/>
        <item x="8704"/>
        <item x="8705"/>
        <item x="8706"/>
        <item x="8707"/>
        <item x="8708"/>
        <item x="8709"/>
        <item x="8710"/>
        <item x="8711"/>
        <item x="8712"/>
        <item x="8713"/>
        <item x="8714"/>
        <item x="8715"/>
        <item x="8716"/>
        <item x="8717"/>
        <item x="8718"/>
        <item x="8719"/>
        <item x="8720"/>
        <item x="8721"/>
        <item x="8722"/>
        <item x="8723"/>
        <item x="8724"/>
        <item x="8725"/>
        <item x="8726"/>
        <item x="8727"/>
        <item x="8728"/>
        <item x="8729"/>
        <item x="8730"/>
        <item x="8731"/>
        <item x="8732"/>
        <item x="8733"/>
        <item x="8734"/>
        <item x="8735"/>
        <item x="8736"/>
        <item x="8737"/>
        <item x="8738"/>
        <item x="8739"/>
        <item x="8740"/>
        <item x="8741"/>
        <item x="8742"/>
        <item x="8743"/>
        <item x="8744"/>
        <item x="8745"/>
        <item x="8746"/>
        <item x="8747"/>
        <item x="8748"/>
        <item x="8749"/>
        <item x="8750"/>
        <item x="8751"/>
        <item x="8752"/>
        <item x="8753"/>
        <item x="8754"/>
        <item x="8755"/>
        <item x="8756"/>
        <item x="8757"/>
        <item x="8758"/>
        <item x="8759"/>
        <item x="8760"/>
        <item x="8761"/>
        <item x="8762"/>
        <item x="8763"/>
        <item x="8764"/>
        <item x="8765"/>
        <item x="8766"/>
        <item x="8767"/>
        <item x="8768"/>
        <item x="8769"/>
        <item x="8770"/>
        <item x="8771"/>
        <item x="8772"/>
        <item x="8773"/>
        <item x="8774"/>
        <item x="8775"/>
        <item x="8776"/>
        <item x="8777"/>
        <item x="8778"/>
        <item x="8779"/>
        <item x="8780"/>
        <item x="8781"/>
        <item x="8782"/>
        <item x="8783"/>
        <item x="8784"/>
        <item x="8785"/>
        <item x="8786"/>
        <item x="8787"/>
        <item x="8788"/>
        <item x="8789"/>
        <item x="8790"/>
        <item x="8791"/>
        <item x="8792"/>
        <item x="8793"/>
        <item x="8794"/>
        <item x="8795"/>
        <item x="8796"/>
        <item x="8797"/>
        <item x="8798"/>
        <item x="8799"/>
        <item x="8800"/>
        <item x="8801"/>
        <item x="8802"/>
        <item x="8803"/>
        <item x="8804"/>
        <item x="8805"/>
        <item x="8806"/>
        <item x="8807"/>
        <item x="8808"/>
        <item x="8809"/>
        <item x="8810"/>
        <item x="8811"/>
        <item x="8812"/>
        <item x="8813"/>
        <item x="8814"/>
        <item x="8815"/>
        <item x="8816"/>
        <item x="8817"/>
        <item x="8818"/>
        <item x="8819"/>
        <item x="8820"/>
        <item x="8821"/>
        <item x="8822"/>
        <item x="8823"/>
        <item x="8824"/>
        <item x="8825"/>
        <item x="8826"/>
        <item x="8827"/>
        <item x="8828"/>
        <item x="8829"/>
        <item x="8830"/>
        <item x="8831"/>
        <item x="8832"/>
        <item x="8833"/>
        <item x="8834"/>
        <item x="8835"/>
        <item x="8836"/>
        <item x="8837"/>
        <item x="8838"/>
        <item x="8839"/>
        <item x="8840"/>
        <item x="8841"/>
        <item x="8842"/>
        <item x="8843"/>
        <item x="8844"/>
        <item x="8845"/>
        <item x="8846"/>
        <item x="8847"/>
        <item x="8848"/>
        <item x="8849"/>
        <item x="8850"/>
        <item x="8851"/>
        <item x="8852"/>
        <item x="8853"/>
        <item x="8854"/>
        <item x="8855"/>
        <item x="8856"/>
        <item x="8857"/>
        <item x="8858"/>
        <item x="8859"/>
        <item x="8860"/>
        <item x="8861"/>
        <item x="8862"/>
        <item x="8863"/>
        <item x="8864"/>
        <item x="8865"/>
        <item x="8866"/>
        <item x="8867"/>
        <item x="8868"/>
        <item x="8869"/>
        <item x="8870"/>
        <item x="8871"/>
        <item x="8872"/>
        <item x="8873"/>
        <item x="8874"/>
        <item x="8875"/>
        <item x="8876"/>
        <item x="8877"/>
        <item x="8878"/>
        <item x="8879"/>
        <item x="8880"/>
        <item x="8881"/>
        <item x="8882"/>
        <item x="8883"/>
        <item x="8884"/>
        <item x="8885"/>
        <item x="8886"/>
        <item x="8887"/>
        <item x="8888"/>
        <item x="8889"/>
        <item x="8890"/>
        <item x="8891"/>
        <item x="8892"/>
        <item x="8893"/>
        <item x="8894"/>
        <item x="8895"/>
        <item x="8896"/>
        <item x="8897"/>
        <item x="8898"/>
        <item x="8899"/>
        <item x="8900"/>
        <item x="8901"/>
        <item x="8902"/>
        <item x="8903"/>
        <item x="8904"/>
        <item x="8905"/>
        <item x="8906"/>
        <item x="8907"/>
        <item x="8908"/>
        <item x="8909"/>
        <item x="8910"/>
        <item x="8911"/>
        <item x="8912"/>
        <item x="8913"/>
        <item x="8914"/>
        <item x="8915"/>
        <item x="8916"/>
        <item x="8917"/>
        <item x="8918"/>
        <item x="8919"/>
        <item x="8920"/>
        <item x="8921"/>
        <item x="8922"/>
        <item x="8923"/>
        <item x="8924"/>
        <item x="8925"/>
        <item x="8926"/>
        <item x="8927"/>
        <item x="8928"/>
        <item x="8929"/>
        <item x="8930"/>
        <item x="8931"/>
        <item x="8932"/>
        <item x="8933"/>
        <item x="8934"/>
        <item x="8935"/>
        <item x="8936"/>
        <item x="8937"/>
        <item x="8938"/>
        <item x="8939"/>
        <item x="8940"/>
        <item x="8941"/>
        <item x="8942"/>
        <item x="8943"/>
        <item x="8944"/>
        <item x="8945"/>
        <item x="8946"/>
        <item x="8947"/>
        <item x="8948"/>
        <item x="8949"/>
        <item x="8950"/>
        <item x="8951"/>
        <item x="8952"/>
        <item x="8953"/>
        <item x="8954"/>
        <item x="8955"/>
        <item x="8956"/>
        <item x="8957"/>
        <item x="8958"/>
        <item x="8959"/>
        <item x="8960"/>
        <item x="8961"/>
        <item x="8962"/>
        <item x="8963"/>
        <item x="8964"/>
        <item x="8965"/>
        <item x="8966"/>
        <item x="8967"/>
        <item x="8968"/>
        <item x="8969"/>
        <item x="8970"/>
        <item x="8971"/>
        <item x="8972"/>
        <item x="8973"/>
        <item x="8974"/>
        <item x="8975"/>
        <item x="8976"/>
        <item x="8977"/>
        <item x="8978"/>
        <item x="8979"/>
        <item x="8980"/>
        <item x="8981"/>
        <item x="8982"/>
        <item x="8983"/>
        <item x="8984"/>
        <item x="8985"/>
        <item x="8986"/>
        <item x="8987"/>
        <item x="8988"/>
        <item x="8989"/>
        <item x="8990"/>
        <item x="8991"/>
        <item x="8992"/>
        <item x="8993"/>
        <item x="8994"/>
        <item x="8995"/>
        <item x="8996"/>
        <item x="8997"/>
        <item x="8998"/>
        <item x="8999"/>
        <item x="9000"/>
        <item x="9001"/>
        <item x="9002"/>
        <item x="9003"/>
        <item x="9004"/>
        <item x="9005"/>
        <item x="9006"/>
        <item x="9007"/>
        <item x="9008"/>
        <item x="9009"/>
        <item x="9010"/>
        <item x="9011"/>
        <item x="9012"/>
        <item x="9013"/>
        <item x="9014"/>
        <item x="9015"/>
        <item x="9016"/>
        <item x="9017"/>
        <item x="9018"/>
        <item x="9019"/>
        <item x="9020"/>
        <item x="9021"/>
        <item x="9022"/>
        <item x="9023"/>
        <item x="9024"/>
        <item x="9025"/>
        <item x="9026"/>
        <item x="9027"/>
        <item x="9028"/>
        <item x="9029"/>
        <item x="9030"/>
        <item x="9031"/>
        <item x="9032"/>
        <item x="9033"/>
        <item x="9034"/>
        <item x="9035"/>
        <item x="9036"/>
        <item x="9037"/>
        <item x="9038"/>
        <item x="9039"/>
        <item x="9040"/>
        <item x="9041"/>
        <item x="9042"/>
        <item x="9043"/>
        <item x="9044"/>
        <item x="9045"/>
        <item x="9046"/>
        <item x="9047"/>
        <item x="9048"/>
        <item x="9049"/>
        <item x="9050"/>
        <item x="9051"/>
        <item x="9052"/>
        <item x="9053"/>
        <item x="9054"/>
        <item x="9055"/>
        <item x="9056"/>
        <item x="9057"/>
        <item x="9058"/>
        <item x="9059"/>
        <item x="9060"/>
        <item x="9061"/>
        <item x="9062"/>
        <item x="9063"/>
        <item x="9064"/>
        <item x="9065"/>
        <item x="9066"/>
        <item x="9067"/>
        <item x="9068"/>
        <item x="9069"/>
        <item x="9070"/>
        <item x="9071"/>
        <item x="9072"/>
        <item x="9073"/>
        <item x="9074"/>
        <item x="9075"/>
        <item x="9076"/>
        <item x="9077"/>
        <item x="9078"/>
        <item x="9079"/>
        <item x="9080"/>
        <item x="9081"/>
        <item x="9082"/>
        <item x="9083"/>
        <item x="9084"/>
        <item x="9085"/>
        <item x="9086"/>
        <item x="9087"/>
        <item x="9088"/>
        <item x="9089"/>
        <item x="9090"/>
        <item x="9091"/>
        <item x="9092"/>
        <item x="9093"/>
        <item x="9094"/>
        <item x="9095"/>
        <item x="9096"/>
        <item x="9097"/>
        <item x="9098"/>
        <item x="9099"/>
        <item x="9100"/>
        <item x="9101"/>
        <item x="9102"/>
        <item x="9103"/>
        <item x="9104"/>
        <item x="9105"/>
        <item x="9106"/>
        <item x="9107"/>
        <item x="9108"/>
        <item x="9109"/>
        <item x="9110"/>
        <item x="9111"/>
        <item x="9112"/>
        <item x="9113"/>
        <item x="9114"/>
        <item x="9115"/>
        <item x="9116"/>
        <item x="9117"/>
        <item x="9118"/>
        <item x="9119"/>
        <item x="9120"/>
        <item x="9121"/>
        <item x="9122"/>
        <item x="9123"/>
        <item x="9124"/>
        <item x="9125"/>
        <item x="9126"/>
        <item x="9127"/>
        <item x="9128"/>
        <item x="9129"/>
        <item x="9130"/>
        <item x="9131"/>
        <item x="9132"/>
        <item x="9133"/>
        <item x="9134"/>
        <item x="9135"/>
        <item x="9136"/>
        <item x="9137"/>
        <item x="9138"/>
        <item x="9139"/>
        <item x="9140"/>
        <item x="9141"/>
        <item x="9142"/>
        <item x="9143"/>
        <item x="9144"/>
        <item x="9145"/>
        <item x="9146"/>
        <item x="9147"/>
        <item x="9148"/>
        <item x="9149"/>
        <item x="9150"/>
        <item x="9151"/>
        <item x="9152"/>
        <item x="9153"/>
        <item x="9154"/>
        <item x="9155"/>
        <item x="9156"/>
        <item x="9157"/>
        <item x="9158"/>
        <item x="9159"/>
        <item x="9160"/>
        <item x="9161"/>
        <item x="9162"/>
        <item x="9163"/>
        <item x="9164"/>
        <item x="9165"/>
        <item x="9166"/>
        <item x="9167"/>
        <item x="9168"/>
        <item x="9169"/>
        <item x="9170"/>
        <item x="9171"/>
        <item x="9172"/>
        <item x="9173"/>
        <item x="9174"/>
        <item x="9175"/>
        <item x="9176"/>
        <item x="9177"/>
        <item x="9178"/>
        <item x="9179"/>
        <item x="9180"/>
        <item x="9181"/>
        <item x="9182"/>
        <item x="9183"/>
        <item x="9184"/>
        <item x="9185"/>
        <item x="9186"/>
        <item x="9187"/>
        <item x="9188"/>
        <item x="9189"/>
        <item x="9190"/>
        <item x="9191"/>
        <item x="9192"/>
        <item x="9193"/>
        <item x="9194"/>
        <item x="9195"/>
        <item x="9196"/>
        <item x="9197"/>
        <item x="9198"/>
        <item x="9199"/>
        <item x="9200"/>
        <item x="9201"/>
        <item x="9202"/>
        <item x="9203"/>
        <item x="9204"/>
        <item x="9205"/>
        <item x="9206"/>
        <item x="9207"/>
        <item x="9208"/>
        <item x="9209"/>
        <item x="9210"/>
        <item x="9211"/>
        <item x="9212"/>
        <item x="9213"/>
        <item x="9214"/>
        <item x="9215"/>
        <item x="9216"/>
        <item x="9217"/>
        <item x="9218"/>
        <item x="9219"/>
        <item x="9220"/>
        <item x="9221"/>
        <item x="9222"/>
        <item x="9223"/>
        <item x="9224"/>
        <item x="9225"/>
        <item x="9226"/>
        <item x="9227"/>
        <item x="9228"/>
        <item x="9229"/>
        <item x="9230"/>
        <item x="9231"/>
        <item x="9232"/>
        <item x="9233"/>
        <item x="9234"/>
        <item x="9235"/>
        <item x="9236"/>
        <item x="9237"/>
        <item x="9238"/>
        <item x="9239"/>
        <item x="9240"/>
        <item x="9241"/>
        <item x="9242"/>
        <item x="9243"/>
        <item x="9244"/>
        <item x="9245"/>
        <item x="9246"/>
        <item x="9247"/>
        <item x="9248"/>
        <item x="9249"/>
        <item x="9250"/>
        <item x="9251"/>
        <item x="9252"/>
        <item x="9253"/>
        <item x="9254"/>
        <item x="9255"/>
        <item x="9256"/>
        <item x="9257"/>
        <item x="9258"/>
        <item x="9259"/>
        <item x="9260"/>
        <item x="9261"/>
        <item x="9262"/>
        <item x="9263"/>
        <item x="9264"/>
        <item x="9265"/>
        <item x="9266"/>
        <item x="9267"/>
        <item x="9268"/>
        <item x="9269"/>
        <item x="9270"/>
        <item x="9271"/>
        <item x="9272"/>
        <item x="9273"/>
        <item x="9274"/>
        <item x="9275"/>
        <item x="9276"/>
        <item x="9277"/>
        <item x="9278"/>
        <item x="9279"/>
        <item x="9280"/>
        <item x="9281"/>
        <item x="9282"/>
        <item x="9283"/>
        <item x="9284"/>
        <item x="9285"/>
        <item x="9286"/>
        <item x="9287"/>
        <item x="9288"/>
        <item x="9289"/>
        <item x="9290"/>
        <item x="9291"/>
        <item x="9292"/>
        <item x="9293"/>
        <item x="9294"/>
        <item x="9295"/>
        <item x="9296"/>
        <item x="9297"/>
        <item x="9298"/>
        <item x="9299"/>
        <item x="9300"/>
        <item x="9301"/>
        <item x="9302"/>
        <item x="9303"/>
        <item x="9304"/>
        <item x="9305"/>
        <item x="9306"/>
        <item x="9307"/>
        <item x="9308"/>
        <item x="9309"/>
        <item x="9310"/>
        <item x="9311"/>
        <item x="9312"/>
        <item x="9313"/>
        <item x="9314"/>
        <item x="9315"/>
        <item x="9316"/>
        <item x="9317"/>
        <item x="9318"/>
        <item x="9319"/>
        <item x="9320"/>
        <item x="9321"/>
        <item x="9322"/>
        <item x="9323"/>
        <item x="9324"/>
        <item x="9325"/>
        <item x="9326"/>
        <item x="9327"/>
        <item x="9328"/>
        <item x="9329"/>
        <item x="9330"/>
        <item x="9331"/>
        <item x="9332"/>
        <item x="9333"/>
        <item x="9334"/>
        <item x="9335"/>
        <item x="9336"/>
        <item x="9337"/>
        <item x="9338"/>
        <item x="9339"/>
        <item x="9340"/>
        <item x="9341"/>
        <item x="9342"/>
        <item x="9343"/>
        <item x="9344"/>
        <item x="9345"/>
        <item x="9346"/>
        <item x="9347"/>
        <item x="9348"/>
        <item x="9349"/>
        <item x="9350"/>
        <item x="9351"/>
        <item x="9352"/>
        <item x="9353"/>
        <item x="9354"/>
        <item x="9355"/>
        <item x="9356"/>
        <item x="9357"/>
        <item x="9358"/>
        <item x="9359"/>
        <item x="9360"/>
        <item x="9361"/>
        <item x="9362"/>
        <item x="9363"/>
        <item x="9364"/>
        <item x="9365"/>
        <item x="9366"/>
        <item x="9367"/>
        <item x="9368"/>
        <item x="9369"/>
        <item x="9370"/>
        <item x="9371"/>
        <item x="9372"/>
        <item x="9373"/>
        <item x="9374"/>
        <item x="9375"/>
        <item x="9376"/>
        <item x="9377"/>
        <item x="9378"/>
        <item x="9379"/>
        <item x="9380"/>
        <item x="9381"/>
        <item x="9382"/>
        <item x="9383"/>
        <item x="9384"/>
        <item x="9385"/>
        <item x="9386"/>
        <item x="9387"/>
        <item x="9388"/>
        <item x="9389"/>
        <item x="9390"/>
        <item x="9391"/>
        <item x="9392"/>
        <item x="9393"/>
        <item x="9394"/>
        <item x="9395"/>
        <item x="9396"/>
        <item x="9397"/>
        <item x="9398"/>
        <item x="9399"/>
        <item x="9400"/>
        <item x="9401"/>
        <item x="9402"/>
        <item x="9403"/>
        <item x="9404"/>
        <item x="9405"/>
        <item x="9406"/>
        <item x="9407"/>
        <item x="9408"/>
        <item x="9409"/>
        <item x="9410"/>
        <item x="9411"/>
        <item x="9412"/>
        <item x="9413"/>
        <item x="9414"/>
        <item x="9415"/>
        <item x="9416"/>
        <item x="9417"/>
        <item x="9418"/>
        <item x="9419"/>
        <item x="9420"/>
        <item x="9421"/>
        <item x="9422"/>
        <item x="9423"/>
        <item x="9424"/>
        <item x="9425"/>
        <item x="9426"/>
        <item x="9427"/>
        <item x="9428"/>
        <item x="9429"/>
        <item x="9430"/>
        <item x="9431"/>
        <item x="9432"/>
        <item x="9433"/>
        <item x="9434"/>
        <item x="9435"/>
        <item x="9436"/>
        <item x="9437"/>
        <item x="9438"/>
        <item x="9439"/>
        <item x="9440"/>
        <item x="9441"/>
        <item x="9442"/>
        <item x="9443"/>
        <item x="9444"/>
        <item x="9445"/>
        <item x="9446"/>
        <item x="9447"/>
        <item x="9448"/>
        <item x="9449"/>
        <item x="9450"/>
        <item x="9451"/>
        <item x="9452"/>
        <item x="9453"/>
        <item x="9454"/>
        <item x="9455"/>
        <item x="9456"/>
        <item x="9457"/>
        <item x="9458"/>
        <item x="9459"/>
        <item x="9460"/>
        <item x="9461"/>
        <item x="9462"/>
        <item x="9463"/>
        <item x="9464"/>
        <item x="9465"/>
        <item x="9466"/>
        <item x="9467"/>
        <item x="9468"/>
        <item x="9469"/>
        <item x="9470"/>
        <item x="9471"/>
        <item x="9472"/>
        <item x="9473"/>
        <item x="9474"/>
        <item x="9475"/>
        <item x="9476"/>
        <item x="9477"/>
        <item x="9478"/>
        <item x="9479"/>
        <item x="9480"/>
        <item x="9481"/>
        <item x="9482"/>
        <item x="9483"/>
        <item x="9484"/>
        <item x="9485"/>
        <item x="9486"/>
        <item x="9487"/>
        <item x="9488"/>
        <item x="9489"/>
        <item x="9490"/>
        <item x="9491"/>
        <item x="9492"/>
        <item x="9493"/>
        <item x="9494"/>
        <item x="9495"/>
        <item x="9496"/>
        <item x="9497"/>
        <item x="9498"/>
        <item x="9499"/>
        <item x="9500"/>
        <item x="9501"/>
        <item x="9502"/>
        <item x="9503"/>
        <item x="9504"/>
        <item x="9505"/>
        <item x="9506"/>
        <item x="9507"/>
        <item x="9508"/>
        <item x="9509"/>
        <item x="9510"/>
        <item x="9511"/>
        <item x="9512"/>
        <item x="9513"/>
        <item x="9514"/>
        <item x="9515"/>
        <item x="9516"/>
        <item x="9517"/>
        <item x="9518"/>
        <item x="9519"/>
        <item x="9520"/>
        <item x="9521"/>
        <item x="9522"/>
        <item x="9523"/>
        <item x="9524"/>
        <item x="9525"/>
        <item x="9526"/>
        <item x="9527"/>
        <item x="9528"/>
        <item x="9529"/>
        <item x="9530"/>
        <item x="9531"/>
        <item x="9532"/>
        <item x="9533"/>
        <item x="9534"/>
        <item x="9535"/>
        <item x="9536"/>
        <item x="9537"/>
        <item x="9538"/>
        <item x="9539"/>
        <item x="9540"/>
        <item x="9541"/>
        <item x="9542"/>
        <item x="9543"/>
        <item x="9544"/>
        <item x="9545"/>
        <item x="9546"/>
        <item x="9547"/>
        <item x="9548"/>
        <item x="9549"/>
        <item x="9550"/>
        <item x="9551"/>
        <item x="9552"/>
        <item x="9553"/>
        <item x="9554"/>
        <item x="9555"/>
        <item x="9556"/>
        <item x="9557"/>
        <item x="9558"/>
        <item x="9559"/>
        <item x="9560"/>
        <item x="9561"/>
        <item x="9562"/>
        <item x="9563"/>
        <item x="9564"/>
        <item x="9565"/>
        <item x="9566"/>
        <item x="9567"/>
        <item x="9568"/>
        <item x="9569"/>
        <item x="9570"/>
        <item x="9571"/>
        <item x="9572"/>
        <item x="9573"/>
        <item x="9574"/>
        <item x="9575"/>
        <item x="9576"/>
        <item x="9577"/>
        <item x="9578"/>
        <item x="9579"/>
        <item x="9580"/>
        <item x="9581"/>
        <item x="9582"/>
        <item x="9583"/>
        <item x="9584"/>
        <item x="9585"/>
        <item x="9586"/>
        <item x="9587"/>
        <item x="9588"/>
        <item x="9589"/>
        <item x="9590"/>
        <item x="9591"/>
        <item x="9592"/>
        <item x="9593"/>
        <item x="9594"/>
        <item x="9595"/>
        <item x="9596"/>
        <item x="9597"/>
        <item x="9598"/>
        <item x="9599"/>
        <item x="9600"/>
        <item x="9601"/>
        <item x="9602"/>
        <item x="9603"/>
        <item x="9604"/>
        <item x="9605"/>
        <item x="9606"/>
        <item x="9607"/>
        <item x="9608"/>
        <item x="9609"/>
        <item x="9610"/>
        <item x="9611"/>
        <item x="9612"/>
        <item x="9613"/>
        <item x="9614"/>
        <item x="9615"/>
        <item x="9616"/>
        <item x="9617"/>
        <item x="9618"/>
        <item x="9619"/>
        <item x="9620"/>
        <item x="9621"/>
        <item x="9622"/>
        <item x="9623"/>
        <item x="9624"/>
        <item x="9625"/>
        <item x="9626"/>
        <item x="9627"/>
        <item x="9628"/>
        <item x="9629"/>
        <item x="9630"/>
        <item x="9631"/>
        <item x="9632"/>
        <item x="9633"/>
        <item x="9634"/>
        <item x="9635"/>
        <item x="9636"/>
        <item x="9637"/>
        <item x="9638"/>
        <item x="9639"/>
        <item x="9640"/>
        <item x="9641"/>
        <item x="9642"/>
        <item x="9643"/>
        <item x="9644"/>
        <item x="9645"/>
        <item x="9646"/>
        <item x="9647"/>
        <item x="9648"/>
        <item x="9649"/>
        <item x="9650"/>
        <item x="9651"/>
        <item x="9652"/>
        <item x="9653"/>
        <item x="9654"/>
        <item x="9655"/>
        <item x="9656"/>
        <item x="9657"/>
        <item x="9658"/>
        <item x="9659"/>
        <item x="9660"/>
        <item x="9661"/>
        <item x="9662"/>
        <item x="9663"/>
        <item x="9664"/>
        <item x="9665"/>
        <item x="9666"/>
        <item x="9667"/>
        <item x="9668"/>
        <item x="9669"/>
        <item x="9670"/>
        <item x="9671"/>
        <item x="9672"/>
        <item x="9673"/>
        <item x="9674"/>
        <item x="9675"/>
        <item x="9676"/>
        <item x="9677"/>
        <item x="9678"/>
        <item x="9679"/>
        <item x="9680"/>
        <item x="9681"/>
        <item x="9682"/>
        <item x="9683"/>
        <item x="9684"/>
        <item x="9685"/>
        <item x="9686"/>
        <item x="9687"/>
        <item x="9688"/>
        <item x="9689"/>
        <item x="9690"/>
        <item x="9691"/>
        <item x="9692"/>
        <item x="9693"/>
        <item x="9694"/>
        <item x="9695"/>
        <item x="9696"/>
        <item x="9697"/>
        <item x="9698"/>
        <item x="9699"/>
        <item x="9700"/>
        <item x="9701"/>
        <item x="9702"/>
        <item x="9703"/>
        <item x="9704"/>
        <item x="9705"/>
        <item x="9706"/>
        <item x="9707"/>
        <item x="9708"/>
        <item x="9709"/>
        <item x="9710"/>
        <item x="9711"/>
        <item x="9712"/>
        <item x="9713"/>
        <item x="9714"/>
        <item x="9715"/>
        <item x="9716"/>
        <item x="9717"/>
        <item x="9718"/>
        <item x="9719"/>
        <item x="9720"/>
        <item x="9721"/>
        <item x="9722"/>
        <item x="9723"/>
        <item x="9724"/>
        <item x="9725"/>
        <item x="9726"/>
        <item x="9727"/>
        <item x="9728"/>
        <item x="9729"/>
        <item x="9730"/>
        <item x="9731"/>
        <item x="9732"/>
        <item x="9733"/>
        <item x="9734"/>
        <item x="9735"/>
        <item x="9736"/>
        <item x="9737"/>
        <item x="9738"/>
        <item x="9739"/>
        <item x="9740"/>
        <item x="9741"/>
        <item x="9742"/>
        <item x="9743"/>
        <item x="9744"/>
        <item x="9745"/>
        <item x="9746"/>
        <item x="9747"/>
        <item x="9748"/>
        <item x="9749"/>
        <item x="9750"/>
        <item x="9751"/>
        <item x="9752"/>
        <item x="9753"/>
        <item x="9754"/>
        <item x="9755"/>
        <item x="9756"/>
        <item x="9757"/>
        <item x="9758"/>
        <item x="9759"/>
        <item x="9760"/>
        <item x="9761"/>
        <item x="9762"/>
        <item x="9763"/>
        <item x="9764"/>
        <item x="9765"/>
        <item x="9766"/>
        <item x="9767"/>
        <item x="9768"/>
        <item x="9769"/>
        <item x="9770"/>
        <item x="9771"/>
        <item x="9772"/>
        <item x="9773"/>
        <item x="9774"/>
        <item x="9775"/>
        <item x="9776"/>
        <item x="9777"/>
        <item x="9778"/>
        <item x="9779"/>
        <item x="9780"/>
        <item x="9781"/>
        <item x="9782"/>
        <item x="9783"/>
        <item x="9784"/>
        <item x="9785"/>
        <item x="9786"/>
        <item x="9787"/>
        <item x="9788"/>
        <item x="9789"/>
        <item x="9790"/>
        <item x="9791"/>
        <item x="9792"/>
        <item x="9793"/>
        <item x="9794"/>
        <item x="9795"/>
        <item x="9796"/>
        <item x="9797"/>
        <item x="9798"/>
        <item x="9799"/>
        <item x="9800"/>
        <item x="9801"/>
        <item x="9802"/>
        <item x="9803"/>
        <item x="9804"/>
        <item x="9805"/>
        <item x="9806"/>
        <item x="9807"/>
        <item x="9808"/>
        <item x="9809"/>
        <item x="9810"/>
        <item x="9811"/>
        <item x="9812"/>
        <item x="9813"/>
        <item x="9814"/>
        <item x="9815"/>
        <item x="9816"/>
        <item x="9817"/>
        <item x="9818"/>
        <item x="9819"/>
        <item x="9820"/>
        <item x="9821"/>
        <item x="9822"/>
        <item x="9823"/>
        <item x="9824"/>
        <item x="9825"/>
        <item x="9826"/>
        <item x="9827"/>
        <item x="9828"/>
        <item x="9829"/>
        <item x="9830"/>
        <item x="9831"/>
        <item x="9832"/>
        <item x="9833"/>
        <item x="9834"/>
        <item x="9835"/>
        <item x="9836"/>
        <item x="9837"/>
        <item x="9838"/>
        <item x="9839"/>
        <item x="9840"/>
        <item x="9841"/>
        <item x="9842"/>
        <item x="9843"/>
        <item x="9844"/>
        <item x="9845"/>
        <item x="9846"/>
        <item x="9847"/>
        <item x="9848"/>
        <item x="9849"/>
        <item x="9850"/>
        <item x="9851"/>
        <item x="9852"/>
        <item x="9853"/>
        <item x="9854"/>
        <item x="9855"/>
        <item x="9856"/>
        <item x="9857"/>
        <item x="9858"/>
        <item x="9859"/>
        <item x="9860"/>
        <item x="9861"/>
        <item x="9862"/>
        <item x="9863"/>
        <item x="9864"/>
        <item x="9865"/>
        <item x="9866"/>
        <item x="9867"/>
        <item x="9868"/>
        <item x="9869"/>
        <item x="9870"/>
        <item x="9871"/>
        <item x="9872"/>
        <item x="9873"/>
        <item x="9874"/>
        <item x="9875"/>
        <item x="9876"/>
        <item x="9877"/>
        <item x="9878"/>
        <item x="9879"/>
        <item x="9880"/>
        <item x="9881"/>
        <item x="9882"/>
        <item x="9883"/>
        <item x="9884"/>
        <item x="9885"/>
        <item x="9886"/>
        <item x="9887"/>
        <item x="9888"/>
        <item x="9889"/>
        <item x="9890"/>
        <item x="9891"/>
        <item x="9892"/>
        <item x="9893"/>
        <item x="9894"/>
        <item x="9895"/>
        <item x="9896"/>
        <item x="9897"/>
        <item x="9898"/>
        <item x="9899"/>
        <item x="9900"/>
        <item x="9901"/>
        <item x="9902"/>
        <item x="9903"/>
        <item x="9904"/>
        <item x="9905"/>
        <item x="9906"/>
        <item x="9907"/>
        <item x="9908"/>
        <item x="9909"/>
        <item x="9910"/>
        <item x="9911"/>
        <item x="9912"/>
        <item x="9913"/>
        <item x="9914"/>
        <item x="9915"/>
        <item x="9916"/>
        <item x="9917"/>
        <item x="9918"/>
        <item x="9919"/>
        <item x="9920"/>
        <item x="9921"/>
        <item x="9922"/>
        <item x="9923"/>
        <item x="9924"/>
        <item x="9925"/>
        <item x="9926"/>
        <item x="9927"/>
        <item x="9928"/>
        <item x="9929"/>
        <item x="9930"/>
        <item x="9931"/>
        <item x="9932"/>
        <item x="9933"/>
        <item x="9934"/>
        <item x="9935"/>
        <item x="9936"/>
        <item x="9937"/>
        <item x="9938"/>
        <item x="9939"/>
        <item x="9940"/>
        <item x="9941"/>
        <item x="9942"/>
        <item x="9943"/>
        <item x="9944"/>
        <item x="9945"/>
        <item x="9946"/>
        <item x="9947"/>
        <item x="9948"/>
        <item x="9949"/>
        <item x="9950"/>
        <item x="9951"/>
        <item x="9952"/>
        <item x="9953"/>
        <item x="9954"/>
        <item x="9955"/>
        <item x="9956"/>
        <item x="9957"/>
        <item x="9958"/>
        <item x="9959"/>
        <item x="9960"/>
        <item x="9961"/>
        <item x="9962"/>
        <item x="9963"/>
        <item x="9964"/>
        <item x="9965"/>
        <item x="9966"/>
        <item x="9967"/>
        <item x="9968"/>
        <item x="9969"/>
        <item x="9970"/>
        <item x="9971"/>
        <item x="9972"/>
        <item x="9973"/>
        <item x="9974"/>
        <item x="9975"/>
        <item x="9976"/>
        <item x="9977"/>
        <item x="9978"/>
        <item x="9979"/>
        <item x="9980"/>
        <item x="9981"/>
        <item x="9982"/>
        <item x="9983"/>
        <item x="9984"/>
        <item x="9985"/>
        <item x="9986"/>
        <item x="9987"/>
        <item x="9988"/>
        <item x="9989"/>
        <item x="9990"/>
        <item x="9991"/>
        <item x="9992"/>
        <item x="9993"/>
        <item x="9994"/>
        <item x="9995"/>
        <item x="9996"/>
        <item x="9997"/>
        <item x="9998"/>
        <item x="9999"/>
        <item h="1" x="10000"/>
        <item h="1" x="10001"/>
        <item h="1" x="10002"/>
        <item h="1" x="10003"/>
        <item h="1" x="10004"/>
        <item h="1" x="10005"/>
        <item h="1" x="10006"/>
        <item h="1" x="10007"/>
        <item h="1" x="10008"/>
        <item h="1" x="10009"/>
        <item h="1" x="10010"/>
        <item h="1" x="10011"/>
        <item h="1" x="10012"/>
        <item h="1" x="10013"/>
        <item h="1" x="10014"/>
        <item h="1" x="10015"/>
        <item h="1" x="10016"/>
        <item h="1" x="10017"/>
        <item h="1" x="10018"/>
        <item h="1" x="10019"/>
        <item h="1" x="10020"/>
        <item h="1" x="10021"/>
        <item h="1" x="10022"/>
        <item h="1" x="10023"/>
        <item h="1" x="10024"/>
        <item h="1" x="10025"/>
        <item h="1" x="10026"/>
        <item h="1" x="10027"/>
        <item h="1" x="10028"/>
        <item h="1" x="10029"/>
        <item h="1" x="10030"/>
        <item h="1" x="10031"/>
        <item h="1" x="10032"/>
        <item h="1" x="10033"/>
        <item h="1" x="10034"/>
        <item h="1" x="10035"/>
        <item h="1" x="10036"/>
        <item h="1" x="10037"/>
        <item h="1" x="10038"/>
        <item h="1" x="10039"/>
        <item h="1" x="10040"/>
        <item h="1" x="10041"/>
        <item h="1" x="10042"/>
        <item h="1" x="10043"/>
        <item h="1" x="10044"/>
        <item h="1" x="10045"/>
        <item h="1" x="10046"/>
        <item x="10047"/>
        <item x="10048"/>
        <item h="1" x="10049"/>
        <item x="10050"/>
        <item h="1" x="10051"/>
        <item x="10052"/>
        <item h="1" x="10053"/>
        <item x="10054"/>
        <item h="1" x="10055"/>
        <item x="10056"/>
        <item h="1" x="10057"/>
        <item x="10058"/>
        <item h="1" x="10059"/>
        <item x="10060"/>
        <item h="1" x="10061"/>
        <item x="10062"/>
        <item h="1" x="10063"/>
        <item x="10064"/>
        <item h="1" x="10065"/>
        <item x="10066"/>
        <item h="1" x="10067"/>
        <item x="10068"/>
        <item h="1" x="10069"/>
        <item x="10070"/>
        <item h="1" x="10071"/>
        <item h="1" x="10072"/>
        <item h="1" x="10073"/>
        <item x="10074"/>
        <item h="1" x="10075"/>
        <item x="10076"/>
        <item h="1" x="10077"/>
        <item x="10078"/>
        <item h="1" x="10079"/>
        <item x="10080"/>
        <item h="1" x="10081"/>
        <item x="10082"/>
        <item h="1" x="10083"/>
        <item x="10084"/>
        <item h="1" x="10085"/>
        <item x="10086"/>
        <item h="1" x="10087"/>
        <item x="10088"/>
        <item h="1" x="10089"/>
        <item x="10090"/>
        <item h="1" x="10091"/>
        <item x="10092"/>
        <item h="1" x="10093"/>
        <item x="10094"/>
        <item h="1" x="10095"/>
        <item x="10096"/>
        <item h="1" x="10097"/>
        <item x="10098"/>
        <item h="1" x="10099"/>
        <item x="10100"/>
        <item t="default"/>
      </items>
    </pivotField>
    <pivotField numFmtId="2" showAll="0"/>
    <pivotField numFmtId="2" showAll="0"/>
    <pivotField numFmtId="2" showAll="0"/>
    <pivotField numFmtId="2" showAll="0"/>
    <pivotField numFmtId="2" showAll="0"/>
    <pivotField axis="axisRow" numFmtId="2" showAll="0" sortType="ascending">
      <items count="172">
        <item m="1" x="132"/>
        <item m="1" x="122"/>
        <item m="1" x="110"/>
        <item x="49"/>
        <item x="54"/>
        <item x="48"/>
        <item x="50"/>
        <item x="47"/>
        <item x="36"/>
        <item x="53"/>
        <item x="42"/>
        <item x="19"/>
        <item x="41"/>
        <item x="0"/>
        <item x="43"/>
        <item x="35"/>
        <item x="18"/>
        <item x="37"/>
        <item x="44"/>
        <item x="39"/>
        <item x="31"/>
        <item x="29"/>
        <item x="20"/>
        <item x="6"/>
        <item x="30"/>
        <item x="17"/>
        <item x="21"/>
        <item x="7"/>
        <item x="26"/>
        <item x="8"/>
        <item x="22"/>
        <item x="33"/>
        <item x="23"/>
        <item x="4"/>
        <item x="5"/>
        <item x="28"/>
        <item x="24"/>
        <item x="32"/>
        <item x="27"/>
        <item x="16"/>
        <item x="12"/>
        <item x="25"/>
        <item x="9"/>
        <item x="13"/>
        <item x="10"/>
        <item x="15"/>
        <item x="14"/>
        <item x="38"/>
        <item x="11"/>
        <item x="45"/>
        <item x="51"/>
        <item x="40"/>
        <item x="52"/>
        <item x="46"/>
        <item x="34"/>
        <item x="56"/>
        <item x="55"/>
        <item x="57"/>
        <item x="3"/>
        <item x="60"/>
        <item x="59"/>
        <item m="1" x="96"/>
        <item m="1" x="154"/>
        <item m="1" x="101"/>
        <item m="1" x="158"/>
        <item x="58"/>
        <item m="1" x="162"/>
        <item m="1" x="111"/>
        <item m="1" x="168"/>
        <item m="1" x="117"/>
        <item m="1" x="63"/>
        <item m="1" x="123"/>
        <item m="1" x="68"/>
        <item x="2"/>
        <item m="1" x="73"/>
        <item m="1" x="133"/>
        <item m="1" x="77"/>
        <item m="1" x="137"/>
        <item m="1" x="107"/>
        <item m="1" x="81"/>
        <item m="1" x="164"/>
        <item m="1" x="141"/>
        <item m="1" x="113"/>
        <item m="1" x="85"/>
        <item m="1" x="170"/>
        <item m="1" x="146"/>
        <item m="1" x="119"/>
        <item m="1" x="90"/>
        <item m="1" x="65"/>
        <item m="1" x="150"/>
        <item m="1" x="125"/>
        <item m="1" x="95"/>
        <item m="1" x="70"/>
        <item x="1"/>
        <item m="1" x="129"/>
        <item m="1" x="100"/>
        <item m="1" x="75"/>
        <item m="1" x="157"/>
        <item m="1" x="135"/>
        <item m="1" x="104"/>
        <item m="1" x="79"/>
        <item m="1" x="161"/>
        <item m="1" x="139"/>
        <item m="1" x="109"/>
        <item m="1" x="83"/>
        <item m="1" x="166"/>
        <item m="1" x="143"/>
        <item m="1" x="115"/>
        <item m="1" x="87"/>
        <item m="1" x="61"/>
        <item m="1" x="147"/>
        <item m="1" x="120"/>
        <item m="1" x="91"/>
        <item m="1" x="66"/>
        <item m="1" x="151"/>
        <item m="1" x="126"/>
        <item m="1" x="97"/>
        <item m="1" x="71"/>
        <item m="1" x="155"/>
        <item m="1" x="130"/>
        <item m="1" x="102"/>
        <item m="1" x="76"/>
        <item m="1" x="159"/>
        <item m="1" x="136"/>
        <item m="1" x="106"/>
        <item m="1" x="80"/>
        <item m="1" x="163"/>
        <item m="1" x="140"/>
        <item m="1" x="112"/>
        <item m="1" x="84"/>
        <item m="1" x="169"/>
        <item m="1" x="145"/>
        <item m="1" x="118"/>
        <item m="1" x="89"/>
        <item m="1" x="64"/>
        <item m="1" x="149"/>
        <item m="1" x="124"/>
        <item m="1" x="94"/>
        <item m="1" x="69"/>
        <item m="1" x="153"/>
        <item m="1" x="128"/>
        <item m="1" x="99"/>
        <item m="1" x="144"/>
        <item m="1" x="74"/>
        <item m="1" x="116"/>
        <item m="1" x="156"/>
        <item m="1" x="88"/>
        <item m="1" x="134"/>
        <item m="1" x="62"/>
        <item m="1" x="103"/>
        <item m="1" x="148"/>
        <item m="1" x="78"/>
        <item m="1" x="121"/>
        <item m="1" x="160"/>
        <item m="1" x="92"/>
        <item m="1" x="138"/>
        <item m="1" x="67"/>
        <item m="1" x="108"/>
        <item m="1" x="152"/>
        <item m="1" x="82"/>
        <item m="1" x="127"/>
        <item m="1" x="165"/>
        <item m="1" x="98"/>
        <item m="1" x="142"/>
        <item m="1" x="72"/>
        <item m="1" x="114"/>
        <item m="1" x="86"/>
        <item m="1" x="131"/>
        <item m="1" x="167"/>
        <item m="1" x="93"/>
        <item m="1" x="105"/>
        <item t="default"/>
      </items>
    </pivotField>
    <pivotField numFmtId="2" showAll="0"/>
    <pivotField numFmtId="2" showAll="0"/>
    <pivotField numFmtId="2" showAll="0"/>
    <pivotField numFmtId="164" showAll="0"/>
    <pivotField showAll="0"/>
    <pivotField dataField="1" numFmtId="2" showAll="0"/>
  </pivotFields>
  <rowFields count="1">
    <field x="6"/>
  </rowFields>
  <rowItems count="62"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5"/>
    </i>
    <i>
      <x v="73"/>
    </i>
    <i>
      <x v="93"/>
    </i>
    <i t="grand">
      <x/>
    </i>
  </rowItems>
  <colFields count="1">
    <field x="-2"/>
  </colFields>
  <colItems count="2">
    <i>
      <x/>
    </i>
    <i i="1">
      <x v="1"/>
    </i>
  </colItems>
  <pageFields count="1">
    <pageField fld="0" hier="-1"/>
  </pageFields>
  <dataFields count="2">
    <dataField name="Count of Period" fld="0" subtotal="count" baseField="0" baseItem="0"/>
    <dataField name="Average of # Stockouts" fld="12" subtotal="average" baseField="0" baseItem="0"/>
  </dataField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E124"/>
  <sheetViews>
    <sheetView topLeftCell="A14" workbookViewId="0">
      <selection activeCell="C19" sqref="C19"/>
    </sheetView>
  </sheetViews>
  <sheetFormatPr baseColWidth="10" defaultRowHeight="16"/>
  <cols>
    <col min="1" max="1" width="13" customWidth="1"/>
    <col min="2" max="2" width="17" customWidth="1"/>
    <col min="3" max="3" width="19.83203125" customWidth="1"/>
    <col min="4" max="13" width="8.1640625" customWidth="1"/>
    <col min="14" max="14" width="10.83203125" bestFit="1" customWidth="1"/>
    <col min="15" max="22" width="4.83203125" bestFit="1" customWidth="1"/>
    <col min="23" max="31" width="5.83203125" bestFit="1" customWidth="1"/>
  </cols>
  <sheetData>
    <row r="1" spans="1:5">
      <c r="A1" s="25" t="s">
        <v>10</v>
      </c>
      <c r="B1" t="s">
        <v>52</v>
      </c>
    </row>
    <row r="3" spans="1:5">
      <c r="B3" s="25" t="s">
        <v>50</v>
      </c>
    </row>
    <row r="4" spans="1:5">
      <c r="A4" s="25" t="s">
        <v>48</v>
      </c>
      <c r="B4" t="s">
        <v>53</v>
      </c>
      <c r="C4" t="s">
        <v>51</v>
      </c>
    </row>
    <row r="5" spans="1:5">
      <c r="A5" s="24">
        <v>-10</v>
      </c>
      <c r="B5" s="20">
        <v>2</v>
      </c>
      <c r="C5" s="20">
        <v>24.5</v>
      </c>
      <c r="D5">
        <f>VLOOKUP(A5,'[1]fill rate'!$Y$22:$AD$455,3,0)</f>
        <v>100</v>
      </c>
      <c r="E5" s="26">
        <f>(C5-D5)/D5</f>
        <v>-0.755</v>
      </c>
    </row>
    <row r="6" spans="1:5">
      <c r="A6" s="24">
        <v>-9</v>
      </c>
      <c r="B6" s="20">
        <v>2</v>
      </c>
      <c r="C6" s="20">
        <v>24.5</v>
      </c>
      <c r="D6">
        <f>VLOOKUP(A6,'[1]fill rate'!$Y$22:$AD$455,3,0)</f>
        <v>100</v>
      </c>
      <c r="E6" s="26">
        <f t="shared" ref="E6:E69" si="0">(C6-D6)/D6</f>
        <v>-0.755</v>
      </c>
    </row>
    <row r="7" spans="1:5">
      <c r="A7" s="24">
        <v>-8</v>
      </c>
      <c r="B7" s="20">
        <v>2</v>
      </c>
      <c r="C7" s="20">
        <v>24</v>
      </c>
      <c r="D7">
        <f>VLOOKUP(A7,'[1]fill rate'!$Y$22:$AD$455,3,0)</f>
        <v>100</v>
      </c>
      <c r="E7" s="26">
        <f t="shared" si="0"/>
        <v>-0.76</v>
      </c>
    </row>
    <row r="8" spans="1:5">
      <c r="A8" s="24">
        <v>-7</v>
      </c>
      <c r="B8" s="20">
        <v>5</v>
      </c>
      <c r="C8" s="20">
        <v>18.600000000000001</v>
      </c>
      <c r="D8">
        <f>VLOOKUP(A8,'[1]fill rate'!$Y$22:$AD$455,3,0)</f>
        <v>100</v>
      </c>
      <c r="E8" s="26">
        <f t="shared" si="0"/>
        <v>-0.81400000000000006</v>
      </c>
    </row>
    <row r="9" spans="1:5">
      <c r="A9" s="24">
        <v>-6</v>
      </c>
      <c r="B9" s="20">
        <v>2</v>
      </c>
      <c r="C9" s="20">
        <v>24.5</v>
      </c>
      <c r="D9">
        <f>VLOOKUP(A9,'[1]fill rate'!$Y$22:$AD$455,3,0)</f>
        <v>100</v>
      </c>
      <c r="E9" s="26">
        <f t="shared" si="0"/>
        <v>-0.755</v>
      </c>
    </row>
    <row r="10" spans="1:5">
      <c r="A10" s="24">
        <v>-5</v>
      </c>
      <c r="B10" s="20">
        <v>9</v>
      </c>
      <c r="C10" s="20">
        <v>18</v>
      </c>
      <c r="D10">
        <f>VLOOKUP(A10,'[1]fill rate'!$Y$22:$AD$455,3,0)</f>
        <v>100</v>
      </c>
      <c r="E10" s="26">
        <f t="shared" si="0"/>
        <v>-0.82</v>
      </c>
    </row>
    <row r="11" spans="1:5">
      <c r="A11" s="24">
        <v>-4</v>
      </c>
      <c r="B11" s="20">
        <v>7</v>
      </c>
      <c r="C11" s="20">
        <v>20</v>
      </c>
      <c r="D11">
        <f>VLOOKUP(A11,'[1]fill rate'!$Y$22:$AD$455,3,0)</f>
        <v>100</v>
      </c>
      <c r="E11" s="26">
        <f t="shared" si="0"/>
        <v>-0.8</v>
      </c>
    </row>
    <row r="12" spans="1:5">
      <c r="A12" s="24">
        <v>-3</v>
      </c>
      <c r="B12" s="20">
        <v>5</v>
      </c>
      <c r="C12" s="20">
        <v>24.4</v>
      </c>
      <c r="D12">
        <f>VLOOKUP(A12,'[1]fill rate'!$Y$22:$AD$455,3,0)</f>
        <v>100</v>
      </c>
      <c r="E12" s="26">
        <f t="shared" si="0"/>
        <v>-0.75599999999999989</v>
      </c>
    </row>
    <row r="13" spans="1:5">
      <c r="A13" s="24">
        <v>-2</v>
      </c>
      <c r="B13" s="20">
        <v>18</v>
      </c>
      <c r="C13" s="20">
        <v>21.277777777777779</v>
      </c>
      <c r="D13">
        <f>VLOOKUP(A13,'[1]fill rate'!$Y$22:$AD$455,3,0)</f>
        <v>100</v>
      </c>
      <c r="E13" s="26">
        <f t="shared" si="0"/>
        <v>-0.78722222222222227</v>
      </c>
    </row>
    <row r="14" spans="1:5">
      <c r="A14" s="24">
        <v>-1</v>
      </c>
      <c r="B14" s="20">
        <v>14</v>
      </c>
      <c r="C14" s="20">
        <v>21.642857142857142</v>
      </c>
      <c r="D14">
        <f>VLOOKUP(A14,'[1]fill rate'!$Y$22:$AD$455,3,0)</f>
        <v>100</v>
      </c>
      <c r="E14" s="26">
        <f t="shared" si="0"/>
        <v>-0.78357142857142859</v>
      </c>
    </row>
    <row r="15" spans="1:5">
      <c r="A15" s="24">
        <v>0</v>
      </c>
      <c r="B15" s="20">
        <v>17</v>
      </c>
      <c r="C15" s="20">
        <v>20.647058823529413</v>
      </c>
      <c r="D15">
        <f>VLOOKUP(A15,'[1]fill rate'!$Y$22:$AD$455,3,0)</f>
        <v>100.00000000000003</v>
      </c>
      <c r="E15" s="26">
        <f t="shared" si="0"/>
        <v>-0.79352941176470582</v>
      </c>
    </row>
    <row r="16" spans="1:5">
      <c r="A16" s="24">
        <v>1</v>
      </c>
      <c r="B16" s="20">
        <v>33</v>
      </c>
      <c r="C16" s="20">
        <v>18.060606060606062</v>
      </c>
      <c r="D16">
        <f>VLOOKUP(A16,'[1]fill rate'!$Y$22:$AD$455,3,0)</f>
        <v>99.000000000000014</v>
      </c>
      <c r="E16" s="26">
        <f t="shared" si="0"/>
        <v>-0.81756963575145392</v>
      </c>
    </row>
    <row r="17" spans="1:5">
      <c r="A17" s="24">
        <v>2</v>
      </c>
      <c r="B17" s="20">
        <v>31</v>
      </c>
      <c r="C17" s="20">
        <v>18</v>
      </c>
      <c r="D17">
        <f>VLOOKUP(A17,'[1]fill rate'!$Y$22:$AD$455,3,0)</f>
        <v>98.000000000000014</v>
      </c>
      <c r="E17" s="26">
        <f t="shared" si="0"/>
        <v>-0.81632653061224492</v>
      </c>
    </row>
    <row r="18" spans="1:5">
      <c r="A18" s="24">
        <v>3</v>
      </c>
      <c r="B18" s="20">
        <v>41</v>
      </c>
      <c r="C18" s="20">
        <v>17.170731707317074</v>
      </c>
      <c r="D18">
        <f>VLOOKUP(A18,'[1]fill rate'!$Y$22:$AD$455,3,0)</f>
        <v>97.000000000000014</v>
      </c>
      <c r="E18" s="26">
        <f t="shared" si="0"/>
        <v>-0.82298214734724673</v>
      </c>
    </row>
    <row r="19" spans="1:5">
      <c r="A19" s="24">
        <v>4</v>
      </c>
      <c r="B19" s="20">
        <v>66</v>
      </c>
      <c r="C19" s="20">
        <v>15.939393939393939</v>
      </c>
      <c r="D19">
        <f>VLOOKUP(A19,'[1]fill rate'!$Y$22:$AD$455,3,0)</f>
        <v>96.000000000000014</v>
      </c>
      <c r="E19" s="26">
        <f t="shared" si="0"/>
        <v>-0.83396464646464652</v>
      </c>
    </row>
    <row r="20" spans="1:5">
      <c r="A20" s="24">
        <v>5</v>
      </c>
      <c r="B20" s="20">
        <v>67</v>
      </c>
      <c r="C20" s="20">
        <v>14.626865671641792</v>
      </c>
      <c r="D20">
        <f>VLOOKUP(A20,'[1]fill rate'!$Y$22:$AD$455,3,0)</f>
        <v>95.000000000000014</v>
      </c>
      <c r="E20" s="26">
        <f t="shared" si="0"/>
        <v>-0.84603299293008638</v>
      </c>
    </row>
    <row r="21" spans="1:5">
      <c r="A21" s="24">
        <v>6</v>
      </c>
      <c r="B21" s="20">
        <v>94</v>
      </c>
      <c r="C21" s="20">
        <v>13.106382978723405</v>
      </c>
      <c r="D21">
        <f>VLOOKUP(A21,'[1]fill rate'!$Y$22:$AD$455,3,0)</f>
        <v>94.000000000000014</v>
      </c>
      <c r="E21" s="26">
        <f t="shared" si="0"/>
        <v>-0.86057039384336809</v>
      </c>
    </row>
    <row r="22" spans="1:5">
      <c r="A22" s="24">
        <v>7</v>
      </c>
      <c r="B22" s="20">
        <v>133</v>
      </c>
      <c r="C22" s="20">
        <v>12.81203007518797</v>
      </c>
      <c r="D22">
        <f>VLOOKUP(A22,'[1]fill rate'!$Y$22:$AD$455,3,0)</f>
        <v>93</v>
      </c>
      <c r="E22" s="26">
        <f t="shared" si="0"/>
        <v>-0.86223623575066688</v>
      </c>
    </row>
    <row r="23" spans="1:5">
      <c r="A23" s="24">
        <v>8</v>
      </c>
      <c r="B23" s="20">
        <v>172</v>
      </c>
      <c r="C23" s="20">
        <v>11.837209302325581</v>
      </c>
      <c r="D23">
        <f>VLOOKUP(A23,'[1]fill rate'!$Y$22:$AD$455,3,0)</f>
        <v>92</v>
      </c>
      <c r="E23" s="26">
        <f t="shared" si="0"/>
        <v>-0.87133468149646109</v>
      </c>
    </row>
    <row r="24" spans="1:5">
      <c r="A24" s="24">
        <v>9</v>
      </c>
      <c r="B24" s="20">
        <v>143</v>
      </c>
      <c r="C24" s="20">
        <v>11.503496503496503</v>
      </c>
      <c r="D24">
        <f>VLOOKUP(A24,'[1]fill rate'!$Y$22:$AD$455,3,0)</f>
        <v>91</v>
      </c>
      <c r="E24" s="26">
        <f t="shared" si="0"/>
        <v>-0.87358795051102744</v>
      </c>
    </row>
    <row r="25" spans="1:5">
      <c r="A25" s="24">
        <v>10</v>
      </c>
      <c r="B25" s="20">
        <v>205</v>
      </c>
      <c r="C25" s="20">
        <v>9.3073170731707311</v>
      </c>
      <c r="D25">
        <f>VLOOKUP(A25,'[1]fill rate'!$Y$22:$AD$455,3,0)</f>
        <v>89.999999999999986</v>
      </c>
      <c r="E25" s="26">
        <f t="shared" si="0"/>
        <v>-0.89658536585365844</v>
      </c>
    </row>
    <row r="26" spans="1:5">
      <c r="A26" s="24">
        <v>11</v>
      </c>
      <c r="B26" s="20">
        <v>238</v>
      </c>
      <c r="C26" s="20">
        <v>8.7689075630252109</v>
      </c>
      <c r="D26">
        <f>VLOOKUP(A26,'[1]fill rate'!$Y$22:$AD$455,3,0)</f>
        <v>89</v>
      </c>
      <c r="E26" s="26">
        <f t="shared" si="0"/>
        <v>-0.90147294873005379</v>
      </c>
    </row>
    <row r="27" spans="1:5">
      <c r="A27" s="24">
        <v>12</v>
      </c>
      <c r="B27" s="20">
        <v>290</v>
      </c>
      <c r="C27" s="20">
        <v>8.1931034482758616</v>
      </c>
      <c r="D27">
        <f>VLOOKUP(A27,'[1]fill rate'!$Y$22:$AD$455,3,0)</f>
        <v>87.999999999999986</v>
      </c>
      <c r="E27" s="26">
        <f t="shared" si="0"/>
        <v>-0.90689655172413786</v>
      </c>
    </row>
    <row r="28" spans="1:5">
      <c r="A28" s="24">
        <v>13</v>
      </c>
      <c r="B28" s="20">
        <v>350</v>
      </c>
      <c r="C28" s="20">
        <v>7.5542857142857143</v>
      </c>
      <c r="D28">
        <f>VLOOKUP(A28,'[1]fill rate'!$Y$22:$AD$455,3,0)</f>
        <v>86.999999999999986</v>
      </c>
      <c r="E28" s="26">
        <f t="shared" si="0"/>
        <v>-0.91316912972085384</v>
      </c>
    </row>
    <row r="29" spans="1:5">
      <c r="A29" s="24">
        <v>14</v>
      </c>
      <c r="B29" s="20">
        <v>353</v>
      </c>
      <c r="C29" s="20">
        <v>5.9320113314447589</v>
      </c>
      <c r="D29">
        <f>VLOOKUP(A29,'[1]fill rate'!$Y$22:$AD$455,3,0)</f>
        <v>85.999999999999986</v>
      </c>
      <c r="E29" s="26">
        <f t="shared" si="0"/>
        <v>-0.93102312405296794</v>
      </c>
    </row>
    <row r="30" spans="1:5">
      <c r="A30" s="24">
        <v>15</v>
      </c>
      <c r="B30" s="20">
        <v>434</v>
      </c>
      <c r="C30" s="20">
        <v>5.17741935483871</v>
      </c>
      <c r="D30">
        <f>VLOOKUP(A30,'[1]fill rate'!$Y$22:$AD$455,3,0)</f>
        <v>85</v>
      </c>
      <c r="E30" s="26">
        <f t="shared" si="0"/>
        <v>-0.93908918406072117</v>
      </c>
    </row>
    <row r="31" spans="1:5">
      <c r="A31" s="24">
        <v>16</v>
      </c>
      <c r="B31" s="20">
        <v>445</v>
      </c>
      <c r="C31" s="20">
        <v>4.2786516853932586</v>
      </c>
      <c r="D31">
        <f>VLOOKUP(A31,'[1]fill rate'!$Y$22:$AD$455,3,0)</f>
        <v>84</v>
      </c>
      <c r="E31" s="26">
        <f t="shared" si="0"/>
        <v>-0.94906367041198503</v>
      </c>
    </row>
    <row r="32" spans="1:5">
      <c r="A32" s="24">
        <v>17</v>
      </c>
      <c r="B32" s="20">
        <v>473</v>
      </c>
      <c r="C32" s="20">
        <v>3.456659619450317</v>
      </c>
      <c r="D32">
        <f>VLOOKUP(A32,'[1]fill rate'!$Y$22:$AD$455,3,0)</f>
        <v>83.000000000000014</v>
      </c>
      <c r="E32" s="26">
        <f t="shared" si="0"/>
        <v>-0.95835349856083951</v>
      </c>
    </row>
    <row r="33" spans="1:5">
      <c r="A33" s="24">
        <v>18</v>
      </c>
      <c r="B33" s="20">
        <v>472</v>
      </c>
      <c r="C33" s="20">
        <v>2.906779661016949</v>
      </c>
      <c r="D33">
        <f>VLOOKUP(A33,'[1]fill rate'!$Y$22:$AD$455,3,0)</f>
        <v>82.000000000000014</v>
      </c>
      <c r="E33" s="26">
        <f t="shared" si="0"/>
        <v>-0.96455146754857368</v>
      </c>
    </row>
    <row r="34" spans="1:5">
      <c r="A34" s="24">
        <v>19</v>
      </c>
      <c r="B34" s="20">
        <v>497</v>
      </c>
      <c r="C34" s="20">
        <v>2.2756539235412476</v>
      </c>
      <c r="D34">
        <f>VLOOKUP(A34,'[1]fill rate'!$Y$22:$AD$455,3,0)</f>
        <v>81.000000000000014</v>
      </c>
      <c r="E34" s="26">
        <f t="shared" si="0"/>
        <v>-0.97190550711677481</v>
      </c>
    </row>
    <row r="35" spans="1:5">
      <c r="A35" s="24">
        <v>20</v>
      </c>
      <c r="B35" s="20">
        <v>569</v>
      </c>
      <c r="C35" s="20">
        <v>1.7926186291739894</v>
      </c>
      <c r="D35">
        <f>VLOOKUP(A35,'[1]fill rate'!$Y$22:$AD$455,3,0)</f>
        <v>80.000000000000014</v>
      </c>
      <c r="E35" s="26">
        <f t="shared" si="0"/>
        <v>-0.97759226713532521</v>
      </c>
    </row>
    <row r="36" spans="1:5">
      <c r="A36" s="24">
        <v>21</v>
      </c>
      <c r="B36" s="20">
        <v>526</v>
      </c>
      <c r="C36" s="20">
        <v>1.2965779467680609</v>
      </c>
      <c r="D36">
        <f>VLOOKUP(A36,'[1]fill rate'!$Y$22:$AD$455,3,0)</f>
        <v>79.000000000000014</v>
      </c>
      <c r="E36" s="26">
        <f t="shared" si="0"/>
        <v>-0.98358762092698648</v>
      </c>
    </row>
    <row r="37" spans="1:5">
      <c r="A37" s="24">
        <v>22</v>
      </c>
      <c r="B37" s="20">
        <v>516</v>
      </c>
      <c r="C37" s="20">
        <v>1.0658914728682169</v>
      </c>
      <c r="D37">
        <f>VLOOKUP(A37,'[1]fill rate'!$Y$22:$AD$455,3,0)</f>
        <v>78.000000000000028</v>
      </c>
      <c r="E37" s="26">
        <f t="shared" si="0"/>
        <v>-0.98633472470681771</v>
      </c>
    </row>
    <row r="38" spans="1:5">
      <c r="A38" s="24">
        <v>23</v>
      </c>
      <c r="B38" s="20">
        <v>468</v>
      </c>
      <c r="C38" s="20">
        <v>0.74358974358974361</v>
      </c>
      <c r="D38">
        <f>VLOOKUP(A38,'[1]fill rate'!$Y$22:$AD$455,3,0)</f>
        <v>77.000000000000028</v>
      </c>
      <c r="E38" s="26">
        <f t="shared" si="0"/>
        <v>-0.99034299034299045</v>
      </c>
    </row>
    <row r="39" spans="1:5">
      <c r="A39" s="24">
        <v>24</v>
      </c>
      <c r="B39" s="20">
        <v>452</v>
      </c>
      <c r="C39" s="20">
        <v>0.46460176991150443</v>
      </c>
      <c r="D39">
        <f>VLOOKUP(A39,'[1]fill rate'!$Y$22:$AD$455,3,0)</f>
        <v>76.000000000000028</v>
      </c>
      <c r="E39" s="26">
        <f t="shared" si="0"/>
        <v>-0.99388681881695384</v>
      </c>
    </row>
    <row r="40" spans="1:5">
      <c r="A40" s="24">
        <v>25</v>
      </c>
      <c r="B40" s="20">
        <v>425</v>
      </c>
      <c r="C40" s="20">
        <v>0.36705882352941177</v>
      </c>
      <c r="D40">
        <f>VLOOKUP(A40,'[1]fill rate'!$Y$22:$AD$455,3,0)</f>
        <v>75.000000000000028</v>
      </c>
      <c r="E40" s="26">
        <f t="shared" si="0"/>
        <v>-0.99510588235294128</v>
      </c>
    </row>
    <row r="41" spans="1:5">
      <c r="A41" s="24">
        <v>26</v>
      </c>
      <c r="B41" s="20">
        <v>393</v>
      </c>
      <c r="C41" s="20">
        <v>0.19592875318066158</v>
      </c>
      <c r="D41">
        <f>VLOOKUP(A41,'[1]fill rate'!$Y$22:$AD$455,3,0)</f>
        <v>74.000000000000028</v>
      </c>
      <c r="E41" s="26">
        <f t="shared" si="0"/>
        <v>-0.99735231414620718</v>
      </c>
    </row>
    <row r="42" spans="1:5">
      <c r="A42" s="24">
        <v>27</v>
      </c>
      <c r="B42" s="20">
        <v>369</v>
      </c>
      <c r="C42" s="20">
        <v>0.14634146341463414</v>
      </c>
      <c r="D42">
        <f>VLOOKUP(A42,'[1]fill rate'!$Y$22:$AD$455,3,0)</f>
        <v>73.000000000000028</v>
      </c>
      <c r="E42" s="26">
        <f t="shared" si="0"/>
        <v>-0.9979953224189777</v>
      </c>
    </row>
    <row r="43" spans="1:5">
      <c r="A43" s="24">
        <v>28</v>
      </c>
      <c r="B43" s="20">
        <v>275</v>
      </c>
      <c r="C43" s="20">
        <v>0.11636363636363636</v>
      </c>
      <c r="D43">
        <f>VLOOKUP(A43,'[1]fill rate'!$Y$22:$AD$455,3,0)</f>
        <v>72.000000000000014</v>
      </c>
      <c r="E43" s="26">
        <f t="shared" si="0"/>
        <v>-0.99838383838383848</v>
      </c>
    </row>
    <row r="44" spans="1:5">
      <c r="A44" s="24">
        <v>29</v>
      </c>
      <c r="B44" s="20">
        <v>260</v>
      </c>
      <c r="C44" s="20">
        <v>5.7692307692307696E-2</v>
      </c>
      <c r="D44">
        <f>VLOOKUP(A44,'[1]fill rate'!$Y$22:$AD$455,3,0)</f>
        <v>71.000000000000028</v>
      </c>
      <c r="E44" s="26">
        <f t="shared" si="0"/>
        <v>-0.9991874322860238</v>
      </c>
    </row>
    <row r="45" spans="1:5">
      <c r="A45" s="24">
        <v>30</v>
      </c>
      <c r="B45" s="20">
        <v>231</v>
      </c>
      <c r="C45" s="20">
        <v>1.7316017316017316E-2</v>
      </c>
      <c r="D45">
        <f>VLOOKUP(A45,'[1]fill rate'!$Y$22:$AD$455,3,0)</f>
        <v>70</v>
      </c>
      <c r="E45" s="26">
        <f t="shared" si="0"/>
        <v>-0.99975262832405687</v>
      </c>
    </row>
    <row r="46" spans="1:5">
      <c r="A46" s="24">
        <v>31</v>
      </c>
      <c r="B46" s="20">
        <v>207</v>
      </c>
      <c r="C46" s="20">
        <v>4.830917874396135E-3</v>
      </c>
      <c r="D46">
        <f>VLOOKUP(A46,'[1]fill rate'!$Y$22:$AD$455,3,0)</f>
        <v>69</v>
      </c>
      <c r="E46" s="26">
        <f t="shared" si="0"/>
        <v>-0.99992998669747246</v>
      </c>
    </row>
    <row r="47" spans="1:5">
      <c r="A47" s="24">
        <v>32</v>
      </c>
      <c r="B47" s="20">
        <v>152</v>
      </c>
      <c r="C47" s="20">
        <v>0</v>
      </c>
      <c r="D47">
        <f>VLOOKUP(A47,'[1]fill rate'!$Y$22:$AD$455,3,0)</f>
        <v>68</v>
      </c>
      <c r="E47" s="26">
        <f t="shared" si="0"/>
        <v>-1</v>
      </c>
    </row>
    <row r="48" spans="1:5">
      <c r="A48" s="24">
        <v>33</v>
      </c>
      <c r="B48" s="20">
        <v>111</v>
      </c>
      <c r="C48" s="20">
        <v>0</v>
      </c>
      <c r="D48">
        <f>VLOOKUP(A48,'[1]fill rate'!$Y$22:$AD$455,3,0)</f>
        <v>67</v>
      </c>
      <c r="E48" s="26">
        <f t="shared" si="0"/>
        <v>-1</v>
      </c>
    </row>
    <row r="49" spans="1:5">
      <c r="A49" s="24">
        <v>34</v>
      </c>
      <c r="B49" s="20">
        <v>96</v>
      </c>
      <c r="C49" s="20">
        <v>0</v>
      </c>
      <c r="D49">
        <f>VLOOKUP(A49,'[1]fill rate'!$Y$22:$AD$455,3,0)</f>
        <v>66</v>
      </c>
      <c r="E49" s="26">
        <f t="shared" si="0"/>
        <v>-1</v>
      </c>
    </row>
    <row r="50" spans="1:5">
      <c r="A50" s="24">
        <v>35</v>
      </c>
      <c r="B50" s="20">
        <v>87</v>
      </c>
      <c r="C50" s="20">
        <v>0</v>
      </c>
      <c r="D50">
        <f>VLOOKUP(A50,'[1]fill rate'!$Y$22:$AD$455,3,0)</f>
        <v>65.000000000000014</v>
      </c>
      <c r="E50" s="26">
        <f t="shared" si="0"/>
        <v>-1</v>
      </c>
    </row>
    <row r="51" spans="1:5">
      <c r="A51" s="24">
        <v>36</v>
      </c>
      <c r="B51" s="20">
        <v>48</v>
      </c>
      <c r="C51" s="20">
        <v>0</v>
      </c>
      <c r="D51">
        <f>VLOOKUP(A51,'[1]fill rate'!$Y$22:$AD$455,3,0)</f>
        <v>64.000000000000071</v>
      </c>
      <c r="E51" s="26">
        <f t="shared" si="0"/>
        <v>-1</v>
      </c>
    </row>
    <row r="52" spans="1:5">
      <c r="A52" s="24">
        <v>37</v>
      </c>
      <c r="B52" s="20">
        <v>36</v>
      </c>
      <c r="C52" s="20">
        <v>0</v>
      </c>
      <c r="D52">
        <f>VLOOKUP(A52,'[1]fill rate'!$Y$22:$AD$455,3,0)</f>
        <v>63.000000000000227</v>
      </c>
      <c r="E52" s="26">
        <f t="shared" si="0"/>
        <v>-1</v>
      </c>
    </row>
    <row r="53" spans="1:5">
      <c r="A53" s="24">
        <v>38</v>
      </c>
      <c r="B53" s="20">
        <v>29</v>
      </c>
      <c r="C53" s="20">
        <v>0</v>
      </c>
      <c r="D53">
        <f>VLOOKUP(A53,'[1]fill rate'!$Y$22:$AD$455,3,0)</f>
        <v>62.000000000000654</v>
      </c>
      <c r="E53" s="26">
        <f t="shared" si="0"/>
        <v>-1</v>
      </c>
    </row>
    <row r="54" spans="1:5">
      <c r="A54" s="24">
        <v>39</v>
      </c>
      <c r="B54" s="20">
        <v>20</v>
      </c>
      <c r="C54" s="20">
        <v>0</v>
      </c>
      <c r="D54">
        <f>VLOOKUP(A54,'[1]fill rate'!$Y$22:$AD$455,3,0)</f>
        <v>61.000000000001791</v>
      </c>
      <c r="E54" s="26">
        <f t="shared" si="0"/>
        <v>-1</v>
      </c>
    </row>
    <row r="55" spans="1:5">
      <c r="A55" s="24">
        <v>40</v>
      </c>
      <c r="B55" s="20">
        <v>11</v>
      </c>
      <c r="C55" s="20">
        <v>0</v>
      </c>
      <c r="D55">
        <f>VLOOKUP(A55,'[1]fill rate'!$Y$22:$AD$455,3,0)</f>
        <v>60.000000000004746</v>
      </c>
      <c r="E55" s="26">
        <f t="shared" si="0"/>
        <v>-1</v>
      </c>
    </row>
    <row r="56" spans="1:5">
      <c r="A56" s="24">
        <v>41</v>
      </c>
      <c r="B56" s="20">
        <v>8</v>
      </c>
      <c r="C56" s="20">
        <v>0</v>
      </c>
      <c r="D56">
        <f>VLOOKUP(A56,'[1]fill rate'!$Y$22:$AD$455,3,0)</f>
        <v>59.000000000012278</v>
      </c>
      <c r="E56" s="26">
        <f t="shared" si="0"/>
        <v>-1</v>
      </c>
    </row>
    <row r="57" spans="1:5">
      <c r="A57" s="24">
        <v>42</v>
      </c>
      <c r="B57" s="20">
        <v>5</v>
      </c>
      <c r="C57" s="20">
        <v>0</v>
      </c>
      <c r="D57">
        <f>VLOOKUP(A57,'[1]fill rate'!$Y$22:$AD$455,3,0)</f>
        <v>58.000000000030909</v>
      </c>
      <c r="E57" s="26">
        <f t="shared" si="0"/>
        <v>-1</v>
      </c>
    </row>
    <row r="58" spans="1:5">
      <c r="A58" s="24">
        <v>43</v>
      </c>
      <c r="B58" s="20">
        <v>4</v>
      </c>
      <c r="C58" s="20">
        <v>0</v>
      </c>
      <c r="D58">
        <f>VLOOKUP(A58,'[1]fill rate'!$Y$22:$AD$455,3,0)</f>
        <v>57.000000000076028</v>
      </c>
      <c r="E58" s="26">
        <f t="shared" si="0"/>
        <v>-1</v>
      </c>
    </row>
    <row r="59" spans="1:5">
      <c r="A59" s="24">
        <v>44</v>
      </c>
      <c r="B59" s="20">
        <v>1</v>
      </c>
      <c r="C59" s="20">
        <v>0</v>
      </c>
      <c r="D59">
        <f>VLOOKUP(A59,'[1]fill rate'!$Y$22:$AD$455,3,0)</f>
        <v>56.000000000182723</v>
      </c>
      <c r="E59" s="26">
        <f t="shared" si="0"/>
        <v>-1</v>
      </c>
    </row>
    <row r="60" spans="1:5">
      <c r="A60" s="24">
        <v>45</v>
      </c>
      <c r="B60" s="20">
        <v>2</v>
      </c>
      <c r="C60" s="20">
        <v>0</v>
      </c>
      <c r="D60">
        <f>VLOOKUP(A60,'[1]fill rate'!$Y$22:$AD$455,3,0)</f>
        <v>55.000000000429367</v>
      </c>
      <c r="E60" s="26">
        <f t="shared" si="0"/>
        <v>-1</v>
      </c>
    </row>
    <row r="61" spans="1:5">
      <c r="A61" s="24">
        <v>46</v>
      </c>
      <c r="B61" s="20">
        <v>1</v>
      </c>
      <c r="C61" s="20">
        <v>0</v>
      </c>
      <c r="D61">
        <f>VLOOKUP(A61,'[1]fill rate'!$Y$22:$AD$455,3,0)</f>
        <v>54.000000000986986</v>
      </c>
      <c r="E61" s="26">
        <f t="shared" si="0"/>
        <v>-1</v>
      </c>
    </row>
    <row r="62" spans="1:5">
      <c r="A62" s="24">
        <v>47</v>
      </c>
      <c r="B62" s="20">
        <v>1</v>
      </c>
      <c r="C62" s="20">
        <v>0</v>
      </c>
      <c r="D62">
        <f>VLOOKUP(A62,'[1]fill rate'!$Y$22:$AD$455,3,0)</f>
        <v>53.000000002220659</v>
      </c>
      <c r="E62" s="26">
        <f t="shared" si="0"/>
        <v>-1</v>
      </c>
    </row>
    <row r="63" spans="1:5">
      <c r="A63" s="24">
        <v>52</v>
      </c>
      <c r="B63" s="20">
        <v>1</v>
      </c>
      <c r="C63" s="20">
        <v>0</v>
      </c>
      <c r="D63">
        <f>VLOOKUP(A63,'[1]fill rate'!$Y$22:$AD$455,3,0)</f>
        <v>48.000000094361056</v>
      </c>
      <c r="E63" s="26">
        <f t="shared" si="0"/>
        <v>-1</v>
      </c>
    </row>
    <row r="64" spans="1:5">
      <c r="A64" s="24">
        <v>60</v>
      </c>
      <c r="B64" s="20">
        <v>1</v>
      </c>
      <c r="C64" s="20">
        <v>0</v>
      </c>
      <c r="D64">
        <f>VLOOKUP(A64,'[1]fill rate'!$Y$22:$AD$455,3,0)</f>
        <v>40.000014582747454</v>
      </c>
      <c r="E64" s="26">
        <f t="shared" si="0"/>
        <v>-1</v>
      </c>
    </row>
    <row r="65" spans="1:5">
      <c r="A65" s="24">
        <v>80</v>
      </c>
      <c r="B65" s="20">
        <v>1</v>
      </c>
      <c r="C65" s="20">
        <v>0</v>
      </c>
      <c r="D65">
        <f>VLOOKUP(A65,'[1]fill rate'!$Y$22:$AD$455,3,0)</f>
        <v>20.066801879752909</v>
      </c>
      <c r="E65" s="26">
        <f t="shared" si="0"/>
        <v>-1</v>
      </c>
    </row>
    <row r="66" spans="1:5">
      <c r="A66" s="24" t="s">
        <v>49</v>
      </c>
      <c r="B66" s="20">
        <v>9926</v>
      </c>
      <c r="C66" s="20">
        <v>3.506246222043119</v>
      </c>
      <c r="D66" t="e">
        <f>VLOOKUP(A66,'[1]fill rate'!$Y$22:$AD$455,3,0)</f>
        <v>#N/A</v>
      </c>
      <c r="E66" s="26" t="e">
        <f t="shared" si="0"/>
        <v>#N/A</v>
      </c>
    </row>
    <row r="67" spans="1:5">
      <c r="D67">
        <f>VLOOKUP(A67,'[1]fill rate'!$Y$22:$AD$455,3,0)</f>
        <v>100.00000000000003</v>
      </c>
      <c r="E67" s="26">
        <f t="shared" si="0"/>
        <v>-1</v>
      </c>
    </row>
    <row r="68" spans="1:5">
      <c r="D68">
        <f>VLOOKUP(A68,'[1]fill rate'!$Y$22:$AD$455,3,0)</f>
        <v>100.00000000000003</v>
      </c>
      <c r="E68" s="26">
        <f t="shared" si="0"/>
        <v>-1</v>
      </c>
    </row>
    <row r="69" spans="1:5">
      <c r="D69">
        <f>VLOOKUP(A69,'[1]fill rate'!$Y$22:$AD$455,3,0)</f>
        <v>100.00000000000003</v>
      </c>
      <c r="E69" s="26">
        <f t="shared" si="0"/>
        <v>-1</v>
      </c>
    </row>
    <row r="70" spans="1:5">
      <c r="D70">
        <f>VLOOKUP(A70,'[1]fill rate'!$Y$22:$AD$455,3,0)</f>
        <v>100.00000000000003</v>
      </c>
      <c r="E70" s="26">
        <f t="shared" ref="E70:E124" si="1">(C70-D70)/D70</f>
        <v>-1</v>
      </c>
    </row>
    <row r="71" spans="1:5">
      <c r="D71">
        <f>VLOOKUP(A71,'[1]fill rate'!$Y$22:$AD$455,3,0)</f>
        <v>100.00000000000003</v>
      </c>
      <c r="E71" s="26">
        <f t="shared" si="1"/>
        <v>-1</v>
      </c>
    </row>
    <row r="72" spans="1:5">
      <c r="D72">
        <f>VLOOKUP(A72,'[1]fill rate'!$Y$22:$AD$455,3,0)</f>
        <v>100.00000000000003</v>
      </c>
      <c r="E72" s="26">
        <f t="shared" si="1"/>
        <v>-1</v>
      </c>
    </row>
    <row r="73" spans="1:5">
      <c r="D73">
        <f>VLOOKUP(A73,'[1]fill rate'!$Y$22:$AD$455,3,0)</f>
        <v>100.00000000000003</v>
      </c>
      <c r="E73" s="26">
        <f t="shared" si="1"/>
        <v>-1</v>
      </c>
    </row>
    <row r="74" spans="1:5">
      <c r="D74">
        <f>VLOOKUP(A74,'[1]fill rate'!$Y$22:$AD$455,3,0)</f>
        <v>100.00000000000003</v>
      </c>
      <c r="E74" s="26">
        <f t="shared" si="1"/>
        <v>-1</v>
      </c>
    </row>
    <row r="75" spans="1:5">
      <c r="D75">
        <f>VLOOKUP(A75,'[1]fill rate'!$Y$22:$AD$455,3,0)</f>
        <v>100.00000000000003</v>
      </c>
      <c r="E75" s="26">
        <f t="shared" si="1"/>
        <v>-1</v>
      </c>
    </row>
    <row r="76" spans="1:5">
      <c r="D76">
        <f>VLOOKUP(A76,'[1]fill rate'!$Y$22:$AD$455,3,0)</f>
        <v>100.00000000000003</v>
      </c>
      <c r="E76" s="26">
        <f t="shared" si="1"/>
        <v>-1</v>
      </c>
    </row>
    <row r="77" spans="1:5">
      <c r="D77">
        <f>VLOOKUP(A77,'[1]fill rate'!$Y$22:$AD$455,3,0)</f>
        <v>100.00000000000003</v>
      </c>
      <c r="E77" s="26">
        <f t="shared" si="1"/>
        <v>-1</v>
      </c>
    </row>
    <row r="78" spans="1:5">
      <c r="D78">
        <f>VLOOKUP(A78,'[1]fill rate'!$Y$22:$AD$455,3,0)</f>
        <v>100.00000000000003</v>
      </c>
      <c r="E78" s="26">
        <f t="shared" si="1"/>
        <v>-1</v>
      </c>
    </row>
    <row r="79" spans="1:5">
      <c r="D79">
        <f>VLOOKUP(A79,'[1]fill rate'!$Y$22:$AD$455,3,0)</f>
        <v>100.00000000000003</v>
      </c>
      <c r="E79" s="26">
        <f t="shared" si="1"/>
        <v>-1</v>
      </c>
    </row>
    <row r="80" spans="1:5">
      <c r="D80">
        <f>VLOOKUP(A80,'[1]fill rate'!$Y$22:$AD$455,3,0)</f>
        <v>100.00000000000003</v>
      </c>
      <c r="E80" s="26">
        <f t="shared" si="1"/>
        <v>-1</v>
      </c>
    </row>
    <row r="81" spans="4:5">
      <c r="D81">
        <f>VLOOKUP(A81,'[1]fill rate'!$Y$22:$AD$455,3,0)</f>
        <v>100.00000000000003</v>
      </c>
      <c r="E81" s="26">
        <f t="shared" si="1"/>
        <v>-1</v>
      </c>
    </row>
    <row r="82" spans="4:5">
      <c r="D82">
        <f>VLOOKUP(A82,'[1]fill rate'!$Y$22:$AD$455,3,0)</f>
        <v>100.00000000000003</v>
      </c>
      <c r="E82" s="26">
        <f t="shared" si="1"/>
        <v>-1</v>
      </c>
    </row>
    <row r="83" spans="4:5">
      <c r="D83">
        <f>VLOOKUP(A83,'[1]fill rate'!$Y$22:$AD$455,3,0)</f>
        <v>100.00000000000003</v>
      </c>
      <c r="E83" s="26">
        <f t="shared" si="1"/>
        <v>-1</v>
      </c>
    </row>
    <row r="84" spans="4:5">
      <c r="D84">
        <f>VLOOKUP(A84,'[1]fill rate'!$Y$22:$AD$455,3,0)</f>
        <v>100.00000000000003</v>
      </c>
      <c r="E84" s="26">
        <f t="shared" si="1"/>
        <v>-1</v>
      </c>
    </row>
    <row r="85" spans="4:5">
      <c r="D85">
        <f>VLOOKUP(A85,'[1]fill rate'!$Y$22:$AD$455,3,0)</f>
        <v>100.00000000000003</v>
      </c>
      <c r="E85" s="26">
        <f t="shared" si="1"/>
        <v>-1</v>
      </c>
    </row>
    <row r="86" spans="4:5">
      <c r="D86">
        <f>VLOOKUP(A86,'[1]fill rate'!$Y$22:$AD$455,3,0)</f>
        <v>100.00000000000003</v>
      </c>
      <c r="E86" s="26">
        <f t="shared" si="1"/>
        <v>-1</v>
      </c>
    </row>
    <row r="87" spans="4:5">
      <c r="D87">
        <f>VLOOKUP(A87,'[1]fill rate'!$Y$22:$AD$455,3,0)</f>
        <v>100.00000000000003</v>
      </c>
      <c r="E87" s="26">
        <f t="shared" si="1"/>
        <v>-1</v>
      </c>
    </row>
    <row r="88" spans="4:5">
      <c r="D88">
        <f>VLOOKUP(A88,'[1]fill rate'!$Y$22:$AD$455,3,0)</f>
        <v>100.00000000000003</v>
      </c>
      <c r="E88" s="26">
        <f t="shared" si="1"/>
        <v>-1</v>
      </c>
    </row>
    <row r="89" spans="4:5">
      <c r="D89">
        <f>VLOOKUP(A89,'[1]fill rate'!$Y$22:$AD$455,3,0)</f>
        <v>100.00000000000003</v>
      </c>
      <c r="E89" s="26">
        <f t="shared" si="1"/>
        <v>-1</v>
      </c>
    </row>
    <row r="90" spans="4:5">
      <c r="D90">
        <f>VLOOKUP(A90,'[1]fill rate'!$Y$22:$AD$455,3,0)</f>
        <v>100.00000000000003</v>
      </c>
      <c r="E90" s="26">
        <f t="shared" si="1"/>
        <v>-1</v>
      </c>
    </row>
    <row r="91" spans="4:5">
      <c r="D91">
        <f>VLOOKUP(A91,'[1]fill rate'!$Y$22:$AD$455,3,0)</f>
        <v>100.00000000000003</v>
      </c>
      <c r="E91" s="26">
        <f t="shared" si="1"/>
        <v>-1</v>
      </c>
    </row>
    <row r="92" spans="4:5">
      <c r="D92">
        <f>VLOOKUP(A92,'[1]fill rate'!$Y$22:$AD$455,3,0)</f>
        <v>100.00000000000003</v>
      </c>
      <c r="E92" s="26">
        <f t="shared" si="1"/>
        <v>-1</v>
      </c>
    </row>
    <row r="93" spans="4:5">
      <c r="D93">
        <f>VLOOKUP(A93,'[1]fill rate'!$Y$22:$AD$455,3,0)</f>
        <v>100.00000000000003</v>
      </c>
      <c r="E93" s="26">
        <f t="shared" si="1"/>
        <v>-1</v>
      </c>
    </row>
    <row r="94" spans="4:5">
      <c r="D94">
        <f>VLOOKUP(A94,'[1]fill rate'!$Y$22:$AD$455,3,0)</f>
        <v>100.00000000000003</v>
      </c>
      <c r="E94" s="26">
        <f t="shared" si="1"/>
        <v>-1</v>
      </c>
    </row>
    <row r="95" spans="4:5">
      <c r="D95">
        <f>VLOOKUP(A95,'[1]fill rate'!$Y$22:$AD$455,3,0)</f>
        <v>100.00000000000003</v>
      </c>
      <c r="E95" s="26">
        <f t="shared" si="1"/>
        <v>-1</v>
      </c>
    </row>
    <row r="96" spans="4:5">
      <c r="D96">
        <f>VLOOKUP(A96,'[1]fill rate'!$Y$22:$AD$455,3,0)</f>
        <v>100.00000000000003</v>
      </c>
      <c r="E96" s="26">
        <f t="shared" si="1"/>
        <v>-1</v>
      </c>
    </row>
    <row r="97" spans="4:5">
      <c r="D97">
        <f>VLOOKUP(A97,'[1]fill rate'!$Y$22:$AD$455,3,0)</f>
        <v>100.00000000000003</v>
      </c>
      <c r="E97" s="26">
        <f t="shared" si="1"/>
        <v>-1</v>
      </c>
    </row>
    <row r="98" spans="4:5">
      <c r="D98">
        <f>VLOOKUP(A98,'[1]fill rate'!$Y$22:$AD$455,3,0)</f>
        <v>100.00000000000003</v>
      </c>
      <c r="E98" s="26">
        <f t="shared" si="1"/>
        <v>-1</v>
      </c>
    </row>
    <row r="99" spans="4:5">
      <c r="D99">
        <f>VLOOKUP(A99,'[1]fill rate'!$Y$22:$AD$455,3,0)</f>
        <v>100.00000000000003</v>
      </c>
      <c r="E99" s="26">
        <f t="shared" si="1"/>
        <v>-1</v>
      </c>
    </row>
    <row r="100" spans="4:5">
      <c r="D100">
        <f>VLOOKUP(A100,'[1]fill rate'!$Y$22:$AD$455,3,0)</f>
        <v>100.00000000000003</v>
      </c>
      <c r="E100" s="26">
        <f t="shared" si="1"/>
        <v>-1</v>
      </c>
    </row>
    <row r="101" spans="4:5">
      <c r="D101">
        <f>VLOOKUP(A101,'[1]fill rate'!$Y$22:$AD$455,3,0)</f>
        <v>100.00000000000003</v>
      </c>
      <c r="E101" s="26">
        <f t="shared" si="1"/>
        <v>-1</v>
      </c>
    </row>
    <row r="102" spans="4:5">
      <c r="D102">
        <f>VLOOKUP(A102,'[1]fill rate'!$Y$22:$AD$455,3,0)</f>
        <v>100.00000000000003</v>
      </c>
      <c r="E102" s="26">
        <f t="shared" si="1"/>
        <v>-1</v>
      </c>
    </row>
    <row r="103" spans="4:5">
      <c r="D103">
        <f>VLOOKUP(A103,'[1]fill rate'!$Y$22:$AD$455,3,0)</f>
        <v>100.00000000000003</v>
      </c>
      <c r="E103" s="26">
        <f t="shared" si="1"/>
        <v>-1</v>
      </c>
    </row>
    <row r="104" spans="4:5">
      <c r="D104">
        <f>VLOOKUP(A104,'[1]fill rate'!$Y$22:$AD$455,3,0)</f>
        <v>100.00000000000003</v>
      </c>
      <c r="E104" s="26">
        <f t="shared" si="1"/>
        <v>-1</v>
      </c>
    </row>
    <row r="105" spans="4:5">
      <c r="D105">
        <f>VLOOKUP(A105,'[1]fill rate'!$Y$22:$AD$455,3,0)</f>
        <v>100.00000000000003</v>
      </c>
      <c r="E105" s="26">
        <f t="shared" si="1"/>
        <v>-1</v>
      </c>
    </row>
    <row r="106" spans="4:5">
      <c r="D106">
        <f>VLOOKUP(A106,'[1]fill rate'!$Y$22:$AD$455,3,0)</f>
        <v>100.00000000000003</v>
      </c>
      <c r="E106" s="26">
        <f t="shared" si="1"/>
        <v>-1</v>
      </c>
    </row>
    <row r="107" spans="4:5">
      <c r="D107">
        <f>VLOOKUP(A107,'[1]fill rate'!$Y$22:$AD$455,3,0)</f>
        <v>100.00000000000003</v>
      </c>
      <c r="E107" s="26">
        <f t="shared" si="1"/>
        <v>-1</v>
      </c>
    </row>
    <row r="108" spans="4:5">
      <c r="D108">
        <f>VLOOKUP(A108,'[1]fill rate'!$Y$22:$AD$455,3,0)</f>
        <v>100.00000000000003</v>
      </c>
      <c r="E108" s="26">
        <f t="shared" si="1"/>
        <v>-1</v>
      </c>
    </row>
    <row r="109" spans="4:5">
      <c r="D109">
        <f>VLOOKUP(A109,'[1]fill rate'!$Y$22:$AD$455,3,0)</f>
        <v>100.00000000000003</v>
      </c>
      <c r="E109" s="26">
        <f t="shared" si="1"/>
        <v>-1</v>
      </c>
    </row>
    <row r="110" spans="4:5">
      <c r="D110">
        <f>VLOOKUP(A110,'[1]fill rate'!$Y$22:$AD$455,3,0)</f>
        <v>100.00000000000003</v>
      </c>
      <c r="E110" s="26">
        <f t="shared" si="1"/>
        <v>-1</v>
      </c>
    </row>
    <row r="111" spans="4:5">
      <c r="D111">
        <f>VLOOKUP(A111,'[1]fill rate'!$Y$22:$AD$455,3,0)</f>
        <v>100.00000000000003</v>
      </c>
      <c r="E111" s="26">
        <f t="shared" si="1"/>
        <v>-1</v>
      </c>
    </row>
    <row r="112" spans="4:5">
      <c r="D112">
        <f>VLOOKUP(A112,'[1]fill rate'!$Y$22:$AD$455,3,0)</f>
        <v>100.00000000000003</v>
      </c>
      <c r="E112" s="26">
        <f t="shared" si="1"/>
        <v>-1</v>
      </c>
    </row>
    <row r="113" spans="4:5">
      <c r="D113">
        <f>VLOOKUP(A113,'[1]fill rate'!$Y$22:$AD$455,3,0)</f>
        <v>100.00000000000003</v>
      </c>
      <c r="E113" s="26">
        <f t="shared" si="1"/>
        <v>-1</v>
      </c>
    </row>
    <row r="114" spans="4:5">
      <c r="D114">
        <f>VLOOKUP(A114,'[1]fill rate'!$Y$22:$AD$455,3,0)</f>
        <v>100.00000000000003</v>
      </c>
      <c r="E114" s="26">
        <f t="shared" si="1"/>
        <v>-1</v>
      </c>
    </row>
    <row r="115" spans="4:5">
      <c r="D115">
        <f>VLOOKUP(A115,'[1]fill rate'!$Y$22:$AD$455,3,0)</f>
        <v>100.00000000000003</v>
      </c>
      <c r="E115" s="26">
        <f t="shared" si="1"/>
        <v>-1</v>
      </c>
    </row>
    <row r="116" spans="4:5">
      <c r="D116">
        <f>VLOOKUP(A116,'[1]fill rate'!$Y$22:$AD$455,3,0)</f>
        <v>100.00000000000003</v>
      </c>
      <c r="E116" s="26">
        <f t="shared" si="1"/>
        <v>-1</v>
      </c>
    </row>
    <row r="117" spans="4:5">
      <c r="D117">
        <f>VLOOKUP(A117,'[1]fill rate'!$Y$22:$AD$455,3,0)</f>
        <v>100.00000000000003</v>
      </c>
      <c r="E117" s="26">
        <f t="shared" si="1"/>
        <v>-1</v>
      </c>
    </row>
    <row r="118" spans="4:5">
      <c r="D118">
        <f>VLOOKUP(A118,'[1]fill rate'!$Y$22:$AD$455,3,0)</f>
        <v>100.00000000000003</v>
      </c>
      <c r="E118" s="26">
        <f t="shared" si="1"/>
        <v>-1</v>
      </c>
    </row>
    <row r="119" spans="4:5">
      <c r="D119">
        <f>VLOOKUP(A119,'[1]fill rate'!$Y$22:$AD$455,3,0)</f>
        <v>100.00000000000003</v>
      </c>
      <c r="E119" s="26">
        <f t="shared" si="1"/>
        <v>-1</v>
      </c>
    </row>
    <row r="120" spans="4:5">
      <c r="D120">
        <f>VLOOKUP(A120,'[1]fill rate'!$Y$22:$AD$455,3,0)</f>
        <v>100.00000000000003</v>
      </c>
      <c r="E120" s="26">
        <f t="shared" si="1"/>
        <v>-1</v>
      </c>
    </row>
    <row r="121" spans="4:5">
      <c r="D121">
        <f>VLOOKUP(A121,'[1]fill rate'!$Y$22:$AD$455,3,0)</f>
        <v>100.00000000000003</v>
      </c>
      <c r="E121" s="26">
        <f t="shared" si="1"/>
        <v>-1</v>
      </c>
    </row>
    <row r="122" spans="4:5">
      <c r="D122">
        <f>VLOOKUP(A122,'[1]fill rate'!$Y$22:$AD$455,3,0)</f>
        <v>100.00000000000003</v>
      </c>
      <c r="E122" s="26">
        <f t="shared" si="1"/>
        <v>-1</v>
      </c>
    </row>
    <row r="123" spans="4:5">
      <c r="D123">
        <f>VLOOKUP(A123,'[1]fill rate'!$Y$22:$AD$455,3,0)</f>
        <v>100.00000000000003</v>
      </c>
      <c r="E123" s="26">
        <f t="shared" si="1"/>
        <v>-1</v>
      </c>
    </row>
    <row r="124" spans="4:5">
      <c r="D124">
        <f>VLOOKUP(A124,'[1]fill rate'!$Y$22:$AD$455,3,0)</f>
        <v>100.00000000000003</v>
      </c>
      <c r="E124" s="26">
        <f t="shared" si="1"/>
        <v>-1</v>
      </c>
    </row>
  </sheetData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R225"/>
  <sheetViews>
    <sheetView tabSelected="1" workbookViewId="0">
      <pane ySplit="24" topLeftCell="A221" activePane="bottomLeft" state="frozen"/>
      <selection pane="bottomLeft" activeCell="B225" sqref="B225"/>
    </sheetView>
  </sheetViews>
  <sheetFormatPr baseColWidth="10" defaultRowHeight="16" outlineLevelRow="1"/>
  <cols>
    <col min="1" max="1" width="15.6640625" style="1" customWidth="1"/>
    <col min="2" max="4" width="10.83203125" style="1"/>
    <col min="5" max="5" width="13.83203125" style="1" bestFit="1" customWidth="1"/>
    <col min="6" max="6" width="15" style="1" customWidth="1"/>
    <col min="7" max="8" width="15.1640625" style="1" customWidth="1"/>
    <col min="9" max="9" width="12.1640625" style="1" bestFit="1" customWidth="1"/>
    <col min="10" max="10" width="17.1640625" style="1" customWidth="1"/>
    <col min="11" max="11" width="14" style="20" bestFit="1" customWidth="1"/>
    <col min="12" max="12" width="12.83203125" bestFit="1" customWidth="1"/>
    <col min="13" max="13" width="15.6640625" bestFit="1" customWidth="1"/>
  </cols>
  <sheetData>
    <row r="1" spans="1:12">
      <c r="A1" s="5" t="s">
        <v>0</v>
      </c>
      <c r="B1" s="5"/>
      <c r="C1" s="5"/>
      <c r="D1" s="5"/>
      <c r="E1"/>
      <c r="F1" s="6" t="s">
        <v>5</v>
      </c>
      <c r="G1" s="6"/>
      <c r="H1" s="6"/>
      <c r="I1" s="6"/>
      <c r="J1"/>
      <c r="K1"/>
    </row>
    <row r="2" spans="1:12">
      <c r="A2"/>
      <c r="B2"/>
      <c r="C2"/>
      <c r="D2"/>
      <c r="E2"/>
      <c r="F2"/>
      <c r="G2"/>
      <c r="H2"/>
      <c r="I2"/>
      <c r="J2"/>
      <c r="K2"/>
    </row>
    <row r="3" spans="1:12">
      <c r="A3" s="10" t="s">
        <v>23</v>
      </c>
      <c r="B3" s="1">
        <v>50</v>
      </c>
      <c r="C3" t="s">
        <v>60</v>
      </c>
      <c r="D3"/>
      <c r="E3"/>
      <c r="F3"/>
      <c r="G3" s="11" t="s">
        <v>29</v>
      </c>
      <c r="H3" s="11" t="s">
        <v>30</v>
      </c>
      <c r="I3" s="21"/>
      <c r="J3" s="15" t="s">
        <v>6</v>
      </c>
      <c r="K3"/>
    </row>
    <row r="4" spans="1:12">
      <c r="A4" s="10" t="s">
        <v>24</v>
      </c>
      <c r="B4" s="1">
        <v>8</v>
      </c>
      <c r="C4" t="s">
        <v>60</v>
      </c>
      <c r="D4"/>
      <c r="E4"/>
      <c r="F4" s="10" t="s">
        <v>31</v>
      </c>
      <c r="G4" s="13">
        <f>G5+G6</f>
        <v>63.158829015611772</v>
      </c>
      <c r="H4" s="13">
        <f>mu_LTD+L9*sigma_LTD</f>
        <v>51.520000000000159</v>
      </c>
      <c r="I4"/>
      <c r="J4" t="s">
        <v>7</v>
      </c>
      <c r="K4" s="1">
        <f>(mu_L+RP)*mu_D</f>
        <v>50</v>
      </c>
      <c r="L4" s="1"/>
    </row>
    <row r="5" spans="1:12">
      <c r="A5" s="10" t="s">
        <v>1</v>
      </c>
      <c r="B5" s="1">
        <v>0</v>
      </c>
      <c r="C5" t="s">
        <v>59</v>
      </c>
      <c r="D5"/>
      <c r="E5"/>
      <c r="F5" s="10" t="s">
        <v>32</v>
      </c>
      <c r="G5" s="13">
        <f>mu_LTD</f>
        <v>50</v>
      </c>
      <c r="H5" s="13">
        <f>mu_LTD</f>
        <v>50</v>
      </c>
      <c r="I5"/>
      <c r="J5" t="s">
        <v>8</v>
      </c>
      <c r="K5" s="12">
        <f>SQRT((mu_D^2)*(sigma_L^2)+(mu_L+RP)*(sigma_D^2))</f>
        <v>8</v>
      </c>
      <c r="L5" s="1"/>
    </row>
    <row r="6" spans="1:12">
      <c r="A6" s="10" t="s">
        <v>2</v>
      </c>
      <c r="B6" s="1">
        <v>0</v>
      </c>
      <c r="C6" t="s">
        <v>59</v>
      </c>
      <c r="D6"/>
      <c r="E6"/>
      <c r="F6" s="10" t="s">
        <v>33</v>
      </c>
      <c r="G6" s="13">
        <f>_xlfn.NORM.S.INV(SL)*sigma_LTD</f>
        <v>13.158829015611772</v>
      </c>
      <c r="H6" s="13">
        <f>H4-H5</f>
        <v>1.5200000000001594</v>
      </c>
      <c r="I6"/>
      <c r="J6" s="4" t="s">
        <v>20</v>
      </c>
      <c r="K6" s="12">
        <f>(G4-mu_LTD)/sigma_LTD</f>
        <v>1.6448536269514715</v>
      </c>
      <c r="L6" s="1">
        <f>(H4-mu_LTD)/sigma_LTD</f>
        <v>0.19000000000001993</v>
      </c>
    </row>
    <row r="7" spans="1:12">
      <c r="A7" s="10" t="s">
        <v>25</v>
      </c>
      <c r="B7" s="1">
        <v>1</v>
      </c>
      <c r="C7" t="s">
        <v>59</v>
      </c>
      <c r="D7"/>
      <c r="E7"/>
      <c r="F7" s="10" t="s">
        <v>19</v>
      </c>
      <c r="G7" s="7">
        <f>h*(K6+K7)*sigma_LTD</f>
        <v>2.3986750838101476</v>
      </c>
      <c r="H7" s="7">
        <f>h*(L6+L7)*sigma_LTD</f>
        <v>0.72161510944571083</v>
      </c>
      <c r="I7"/>
      <c r="J7" s="4" t="s">
        <v>21</v>
      </c>
      <c r="K7" s="12">
        <f>_xlfn.NORM.S.DIST(K6,FALSE)-K6*(1-_xlfn.NORM.S.DIST(K6,TRUE))</f>
        <v>2.0892959027797683E-2</v>
      </c>
      <c r="L7" s="12">
        <f>_xlfn.NORM.S.DIST(L6,FALSE)-L6*(1-_xlfn.NORM.S.DIST(L6,TRUE))</f>
        <v>0.31112160378172371</v>
      </c>
    </row>
    <row r="8" spans="1:12">
      <c r="A8" s="10" t="s">
        <v>3</v>
      </c>
      <c r="B8" s="1">
        <v>0.95</v>
      </c>
      <c r="C8"/>
      <c r="D8"/>
      <c r="E8"/>
      <c r="F8" s="23" t="s">
        <v>41</v>
      </c>
      <c r="G8" s="12">
        <f>_xlfn.NORM.DIST(G4,mu_LTD,sigma_LTD,TRUE)</f>
        <v>0.94999999999999984</v>
      </c>
      <c r="H8" s="12">
        <f>_xlfn.NORM.DIST(H4,mu_LTD,sigma_LTD,TRUE)</f>
        <v>0.57534543473480326</v>
      </c>
      <c r="I8"/>
      <c r="J8" s="4" t="s">
        <v>43</v>
      </c>
      <c r="K8" s="22"/>
      <c r="L8" s="12">
        <f>(1-SL)*RP*mu_D/sigma_LTD</f>
        <v>0.31250000000000028</v>
      </c>
    </row>
    <row r="9" spans="1:12">
      <c r="A9" s="10" t="s">
        <v>26</v>
      </c>
      <c r="B9" s="1">
        <v>0</v>
      </c>
      <c r="C9" t="s">
        <v>4</v>
      </c>
      <c r="D9"/>
      <c r="E9"/>
      <c r="F9" s="23" t="s">
        <v>42</v>
      </c>
      <c r="G9" s="12">
        <f>1-sigma_LTD*K7/mu_D</f>
        <v>0.99665712655555239</v>
      </c>
      <c r="H9" s="12">
        <f>1-sigma_LTD*L7/(RP*mu_D)</f>
        <v>0.95022054339492423</v>
      </c>
      <c r="I9"/>
      <c r="J9" s="4" t="s">
        <v>44</v>
      </c>
      <c r="K9" s="22"/>
      <c r="L9" s="1">
        <f>VLOOKUP(L8,'loss function'!A2:B602,2,1)</f>
        <v>0.19000000000001971</v>
      </c>
    </row>
    <row r="10" spans="1:12">
      <c r="A10" s="10" t="s">
        <v>27</v>
      </c>
      <c r="B10" s="1">
        <v>0</v>
      </c>
      <c r="C10" t="s">
        <v>75</v>
      </c>
      <c r="D10"/>
      <c r="E10"/>
      <c r="F10" s="4"/>
      <c r="I10"/>
      <c r="J10" s="4"/>
      <c r="K10"/>
    </row>
    <row r="11" spans="1:12">
      <c r="A11" s="10" t="s">
        <v>28</v>
      </c>
      <c r="B11" s="7">
        <v>0.18</v>
      </c>
      <c r="C11"/>
      <c r="D11"/>
      <c r="E11"/>
      <c r="I11"/>
      <c r="J11"/>
      <c r="K11"/>
    </row>
    <row r="12" spans="1:12">
      <c r="A12" s="10" t="s">
        <v>61</v>
      </c>
      <c r="B12" s="7">
        <v>0.7</v>
      </c>
      <c r="C12"/>
      <c r="D12"/>
      <c r="E12"/>
      <c r="I12"/>
      <c r="J12"/>
      <c r="K12"/>
    </row>
    <row r="13" spans="1:12">
      <c r="A13" s="10" t="s">
        <v>68</v>
      </c>
      <c r="B13" s="7">
        <v>0</v>
      </c>
      <c r="E13"/>
      <c r="I13"/>
      <c r="J13"/>
      <c r="K13"/>
    </row>
    <row r="14" spans="1:12">
      <c r="E14"/>
      <c r="I14"/>
      <c r="J14"/>
      <c r="K14"/>
    </row>
    <row r="15" spans="1:12">
      <c r="A15"/>
      <c r="B15"/>
      <c r="C15"/>
      <c r="D15"/>
      <c r="E15"/>
      <c r="I15"/>
      <c r="J15"/>
      <c r="K15"/>
    </row>
    <row r="16" spans="1:12">
      <c r="A16" s="14" t="s">
        <v>9</v>
      </c>
      <c r="B16" s="14"/>
      <c r="C16" s="14"/>
      <c r="D16" s="14"/>
      <c r="E16"/>
      <c r="F16"/>
      <c r="G16"/>
      <c r="I16"/>
      <c r="J16"/>
      <c r="K16"/>
    </row>
    <row r="17" spans="1:18">
      <c r="A17" s="15" t="s">
        <v>67</v>
      </c>
      <c r="C17"/>
      <c r="D17"/>
      <c r="E17"/>
      <c r="F17"/>
      <c r="G17"/>
      <c r="I17"/>
      <c r="J17"/>
      <c r="K17"/>
    </row>
    <row r="18" spans="1:18">
      <c r="B18"/>
      <c r="C18"/>
      <c r="D18"/>
      <c r="E18"/>
      <c r="F18"/>
      <c r="G18"/>
      <c r="H18"/>
      <c r="I18"/>
      <c r="J18"/>
      <c r="K18"/>
    </row>
    <row r="19" spans="1:18">
      <c r="A19" s="17" t="s">
        <v>0</v>
      </c>
      <c r="B19" s="16"/>
      <c r="C19" s="16"/>
      <c r="D19" s="16"/>
      <c r="E19"/>
      <c r="F19" s="17" t="s">
        <v>35</v>
      </c>
      <c r="G19" s="17"/>
      <c r="H19" s="17"/>
      <c r="I19" s="17"/>
      <c r="J19" s="17"/>
      <c r="K19" s="17"/>
      <c r="L19" s="17"/>
      <c r="M19" s="17"/>
      <c r="N19" s="16"/>
      <c r="O19" s="16"/>
      <c r="P19" s="16"/>
      <c r="Q19" s="16"/>
      <c r="R19" s="16"/>
    </row>
    <row r="20" spans="1:18">
      <c r="A20" s="10" t="s">
        <v>31</v>
      </c>
      <c r="B20" s="13">
        <v>56.6</v>
      </c>
      <c r="C20" s="13"/>
      <c r="D20"/>
      <c r="E20"/>
      <c r="F20" s="11" t="s">
        <v>57</v>
      </c>
      <c r="G20" s="11" t="s">
        <v>56</v>
      </c>
      <c r="H20" s="11" t="s">
        <v>70</v>
      </c>
      <c r="I20" s="11" t="s">
        <v>45</v>
      </c>
      <c r="J20" s="11" t="s">
        <v>46</v>
      </c>
      <c r="K20" s="11" t="s">
        <v>73</v>
      </c>
      <c r="L20" s="11" t="s">
        <v>72</v>
      </c>
      <c r="M20" s="11" t="s">
        <v>39</v>
      </c>
      <c r="N20" s="11" t="s">
        <v>37</v>
      </c>
      <c r="O20" s="11" t="s">
        <v>58</v>
      </c>
      <c r="P20" s="11" t="s">
        <v>64</v>
      </c>
      <c r="Q20" s="11" t="s">
        <v>69</v>
      </c>
      <c r="R20" s="11" t="s">
        <v>65</v>
      </c>
    </row>
    <row r="21" spans="1:18">
      <c r="A21" s="10" t="s">
        <v>34</v>
      </c>
      <c r="B21" s="13">
        <v>56.6</v>
      </c>
      <c r="C21"/>
      <c r="D21"/>
      <c r="E21"/>
      <c r="F21" s="13">
        <f ca="1">AVERAGE(F126:F225)</f>
        <v>50.468114313314437</v>
      </c>
      <c r="G21" s="13">
        <f ca="1">AVERAGE(G126:G225)</f>
        <v>56.600000000000051</v>
      </c>
      <c r="H21" s="13">
        <f ca="1">AVERAGE(H126:H225)</f>
        <v>56.600000000000051</v>
      </c>
      <c r="I21" s="13">
        <f>AVERAGE(I126:I225)</f>
        <v>51.044886517899123</v>
      </c>
      <c r="J21" s="13">
        <f ca="1">AVERAGE(J126:J225)</f>
        <v>5.5551134821008681</v>
      </c>
      <c r="K21" s="13">
        <f ca="1">AVERAGE(K126:K225)</f>
        <v>0</v>
      </c>
      <c r="L21" s="13">
        <f ca="1">AVERAGE(L126:L225)</f>
        <v>5.5551134821008681</v>
      </c>
      <c r="M21" s="7">
        <f ca="1">AVERAGE(M126:M225)</f>
        <v>1.2615406912046749</v>
      </c>
      <c r="N21" s="12">
        <f ca="1">1-AVERAGE(N126:N225)</f>
        <v>0.65999999999999992</v>
      </c>
      <c r="O21" s="12">
        <f ca="1">AVERAGE(O126:O225)</f>
        <v>1.4534459134806588</v>
      </c>
      <c r="P21" s="7">
        <f ca="1">AVERAGE(P126:P225)</f>
        <v>1.0174121394364606</v>
      </c>
      <c r="Q21" s="7">
        <f ca="1">AVERAGE(Q126:Q225)</f>
        <v>0</v>
      </c>
      <c r="R21" s="7">
        <f ca="1">AVERAGE(R126:R225)</f>
        <v>2.2789528306411353</v>
      </c>
    </row>
    <row r="22" spans="1:18">
      <c r="A22" s="10" t="s">
        <v>54</v>
      </c>
      <c r="B22" s="13" t="s">
        <v>66</v>
      </c>
      <c r="C22" t="s">
        <v>55</v>
      </c>
      <c r="D22"/>
      <c r="E22"/>
      <c r="F22"/>
      <c r="G22"/>
      <c r="H22"/>
      <c r="I22"/>
      <c r="K22" s="10"/>
      <c r="L22" s="10"/>
      <c r="M22" s="7"/>
      <c r="N22" s="12"/>
      <c r="O22" s="11" t="s">
        <v>38</v>
      </c>
      <c r="R22" s="7"/>
    </row>
    <row r="23" spans="1:18">
      <c r="A23"/>
      <c r="B23"/>
      <c r="C23"/>
      <c r="D23"/>
      <c r="E23"/>
      <c r="F23"/>
      <c r="G23"/>
      <c r="H23"/>
      <c r="I23"/>
      <c r="J23"/>
      <c r="K23"/>
      <c r="O23" s="27">
        <f ca="1">1-O21/AVERAGE(I126:I225)</f>
        <v>0.97152612117237247</v>
      </c>
    </row>
    <row r="24" spans="1:18" s="10" customFormat="1">
      <c r="A24" s="11" t="s">
        <v>10</v>
      </c>
      <c r="B24" s="11" t="s">
        <v>11</v>
      </c>
      <c r="C24" s="11" t="s">
        <v>12</v>
      </c>
      <c r="D24" s="11" t="s">
        <v>22</v>
      </c>
      <c r="E24" s="11" t="s">
        <v>13</v>
      </c>
      <c r="F24" s="11" t="s">
        <v>14</v>
      </c>
      <c r="G24" s="11" t="s">
        <v>47</v>
      </c>
      <c r="H24" s="11" t="s">
        <v>71</v>
      </c>
      <c r="I24" s="11" t="s">
        <v>15</v>
      </c>
      <c r="J24" s="11" t="s">
        <v>16</v>
      </c>
      <c r="K24" s="11" t="s">
        <v>17</v>
      </c>
      <c r="L24" s="11" t="s">
        <v>74</v>
      </c>
      <c r="M24" s="11" t="s">
        <v>18</v>
      </c>
      <c r="N24" s="11" t="s">
        <v>40</v>
      </c>
      <c r="O24" s="11" t="s">
        <v>36</v>
      </c>
      <c r="P24" s="11" t="s">
        <v>62</v>
      </c>
      <c r="Q24" s="11" t="s">
        <v>68</v>
      </c>
      <c r="R24" s="11" t="s">
        <v>63</v>
      </c>
    </row>
    <row r="25" spans="1:18" hidden="1" outlineLevel="1">
      <c r="A25" s="3">
        <v>-100</v>
      </c>
      <c r="B25" s="18">
        <v>0</v>
      </c>
      <c r="C25" s="18">
        <v>0</v>
      </c>
      <c r="D25" s="18">
        <f t="shared" ref="D25:D88" si="0">B25+C25</f>
        <v>0</v>
      </c>
      <c r="E25" s="18">
        <f t="shared" ref="E25:E56" si="1">IF(A25=-mu_L,BSL,0)</f>
        <v>0</v>
      </c>
      <c r="F25" s="18">
        <v>0</v>
      </c>
      <c r="G25" s="18">
        <f t="shared" ref="G25:G88" si="2">B25+F25</f>
        <v>0</v>
      </c>
      <c r="H25" s="18">
        <f>D25+E25</f>
        <v>0</v>
      </c>
      <c r="I25" s="18">
        <v>0</v>
      </c>
      <c r="J25" s="18">
        <f t="shared" ref="J25:J88" si="3">G25-I25</f>
        <v>0</v>
      </c>
      <c r="K25" s="18">
        <f t="shared" ref="K25:K88" si="4">C25+E25-F25</f>
        <v>0</v>
      </c>
      <c r="L25" s="18">
        <f>J25+K25</f>
        <v>0</v>
      </c>
      <c r="M25" s="8">
        <v>0</v>
      </c>
      <c r="N25" s="3">
        <v>0</v>
      </c>
      <c r="O25" s="18">
        <v>0</v>
      </c>
      <c r="P25" s="8">
        <v>0</v>
      </c>
      <c r="Q25" s="8">
        <v>0</v>
      </c>
      <c r="R25" s="8">
        <f>P25+M25+Q25</f>
        <v>0</v>
      </c>
    </row>
    <row r="26" spans="1:18" hidden="1" outlineLevel="1">
      <c r="A26" s="3">
        <f>A25+1</f>
        <v>-99</v>
      </c>
      <c r="B26" s="18">
        <f t="shared" ref="B26:B125" si="5">J25</f>
        <v>0</v>
      </c>
      <c r="C26" s="18">
        <f t="shared" ref="C26:C125" si="6">K25</f>
        <v>0</v>
      </c>
      <c r="D26" s="18">
        <f t="shared" si="0"/>
        <v>0</v>
      </c>
      <c r="E26" s="18">
        <f t="shared" si="1"/>
        <v>0</v>
      </c>
      <c r="F26" s="18">
        <v>0</v>
      </c>
      <c r="G26" s="18">
        <f t="shared" si="2"/>
        <v>0</v>
      </c>
      <c r="H26" s="18">
        <f t="shared" ref="H26:H89" si="7">D26+E26</f>
        <v>0</v>
      </c>
      <c r="I26" s="18">
        <v>0</v>
      </c>
      <c r="J26" s="18">
        <f t="shared" si="3"/>
        <v>0</v>
      </c>
      <c r="K26" s="18">
        <f t="shared" si="4"/>
        <v>0</v>
      </c>
      <c r="L26" s="18">
        <f t="shared" ref="L26:L89" si="8">J26+K26</f>
        <v>0</v>
      </c>
      <c r="M26" s="8">
        <v>0</v>
      </c>
      <c r="N26" s="3">
        <v>0</v>
      </c>
      <c r="O26" s="18">
        <v>0</v>
      </c>
      <c r="P26" s="8">
        <v>0</v>
      </c>
      <c r="Q26" s="8">
        <v>0</v>
      </c>
      <c r="R26" s="8">
        <f t="shared" ref="R26:R89" si="9">P26+M26+Q26</f>
        <v>0</v>
      </c>
    </row>
    <row r="27" spans="1:18" hidden="1" outlineLevel="1">
      <c r="A27" s="3">
        <f t="shared" ref="A27:A90" si="10">A26+1</f>
        <v>-98</v>
      </c>
      <c r="B27" s="18">
        <f t="shared" ref="B27:B90" si="11">J26</f>
        <v>0</v>
      </c>
      <c r="C27" s="18">
        <f t="shared" ref="C27:C90" si="12">K26</f>
        <v>0</v>
      </c>
      <c r="D27" s="18">
        <f t="shared" si="0"/>
        <v>0</v>
      </c>
      <c r="E27" s="18">
        <f t="shared" si="1"/>
        <v>0</v>
      </c>
      <c r="F27" s="18">
        <v>0</v>
      </c>
      <c r="G27" s="18">
        <f t="shared" si="2"/>
        <v>0</v>
      </c>
      <c r="H27" s="18">
        <f t="shared" si="7"/>
        <v>0</v>
      </c>
      <c r="I27" s="18">
        <v>0</v>
      </c>
      <c r="J27" s="18">
        <f t="shared" si="3"/>
        <v>0</v>
      </c>
      <c r="K27" s="18">
        <f t="shared" si="4"/>
        <v>0</v>
      </c>
      <c r="L27" s="18">
        <f t="shared" si="8"/>
        <v>0</v>
      </c>
      <c r="M27" s="8">
        <v>0</v>
      </c>
      <c r="N27" s="3">
        <v>0</v>
      </c>
      <c r="O27" s="18">
        <v>0</v>
      </c>
      <c r="P27" s="8">
        <v>0</v>
      </c>
      <c r="Q27" s="8">
        <v>0</v>
      </c>
      <c r="R27" s="8">
        <f t="shared" si="9"/>
        <v>0</v>
      </c>
    </row>
    <row r="28" spans="1:18" hidden="1" outlineLevel="1">
      <c r="A28" s="3">
        <f t="shared" si="10"/>
        <v>-97</v>
      </c>
      <c r="B28" s="18">
        <f t="shared" si="11"/>
        <v>0</v>
      </c>
      <c r="C28" s="18">
        <f t="shared" si="12"/>
        <v>0</v>
      </c>
      <c r="D28" s="18">
        <f t="shared" si="0"/>
        <v>0</v>
      </c>
      <c r="E28" s="18">
        <f t="shared" si="1"/>
        <v>0</v>
      </c>
      <c r="F28" s="18">
        <v>0</v>
      </c>
      <c r="G28" s="18">
        <f t="shared" si="2"/>
        <v>0</v>
      </c>
      <c r="H28" s="18">
        <f t="shared" si="7"/>
        <v>0</v>
      </c>
      <c r="I28" s="18">
        <v>0</v>
      </c>
      <c r="J28" s="18">
        <f t="shared" si="3"/>
        <v>0</v>
      </c>
      <c r="K28" s="18">
        <f t="shared" si="4"/>
        <v>0</v>
      </c>
      <c r="L28" s="18">
        <f t="shared" si="8"/>
        <v>0</v>
      </c>
      <c r="M28" s="8">
        <v>0</v>
      </c>
      <c r="N28" s="3">
        <v>0</v>
      </c>
      <c r="O28" s="18">
        <v>0</v>
      </c>
      <c r="P28" s="8">
        <v>0</v>
      </c>
      <c r="Q28" s="8">
        <v>0</v>
      </c>
      <c r="R28" s="8">
        <f t="shared" si="9"/>
        <v>0</v>
      </c>
    </row>
    <row r="29" spans="1:18" hidden="1" outlineLevel="1">
      <c r="A29" s="3">
        <f t="shared" si="10"/>
        <v>-96</v>
      </c>
      <c r="B29" s="18">
        <f t="shared" si="11"/>
        <v>0</v>
      </c>
      <c r="C29" s="18">
        <f t="shared" si="12"/>
        <v>0</v>
      </c>
      <c r="D29" s="18">
        <f t="shared" si="0"/>
        <v>0</v>
      </c>
      <c r="E29" s="18">
        <f t="shared" si="1"/>
        <v>0</v>
      </c>
      <c r="F29" s="18">
        <v>0</v>
      </c>
      <c r="G29" s="18">
        <f t="shared" si="2"/>
        <v>0</v>
      </c>
      <c r="H29" s="18">
        <f t="shared" si="7"/>
        <v>0</v>
      </c>
      <c r="I29" s="18">
        <v>0</v>
      </c>
      <c r="J29" s="18">
        <f t="shared" si="3"/>
        <v>0</v>
      </c>
      <c r="K29" s="18">
        <f t="shared" si="4"/>
        <v>0</v>
      </c>
      <c r="L29" s="18">
        <f t="shared" si="8"/>
        <v>0</v>
      </c>
      <c r="M29" s="8">
        <v>0</v>
      </c>
      <c r="N29" s="3">
        <v>0</v>
      </c>
      <c r="O29" s="18">
        <v>0</v>
      </c>
      <c r="P29" s="8">
        <v>0</v>
      </c>
      <c r="Q29" s="8">
        <v>0</v>
      </c>
      <c r="R29" s="8">
        <f t="shared" si="9"/>
        <v>0</v>
      </c>
    </row>
    <row r="30" spans="1:18" hidden="1" outlineLevel="1">
      <c r="A30" s="3">
        <f t="shared" si="10"/>
        <v>-95</v>
      </c>
      <c r="B30" s="18">
        <f t="shared" si="11"/>
        <v>0</v>
      </c>
      <c r="C30" s="18">
        <f t="shared" si="12"/>
        <v>0</v>
      </c>
      <c r="D30" s="18">
        <f t="shared" si="0"/>
        <v>0</v>
      </c>
      <c r="E30" s="18">
        <f t="shared" si="1"/>
        <v>0</v>
      </c>
      <c r="F30" s="18">
        <v>0</v>
      </c>
      <c r="G30" s="18">
        <f t="shared" si="2"/>
        <v>0</v>
      </c>
      <c r="H30" s="18">
        <f t="shared" si="7"/>
        <v>0</v>
      </c>
      <c r="I30" s="18">
        <v>0</v>
      </c>
      <c r="J30" s="18">
        <f t="shared" si="3"/>
        <v>0</v>
      </c>
      <c r="K30" s="18">
        <f t="shared" si="4"/>
        <v>0</v>
      </c>
      <c r="L30" s="18">
        <f t="shared" si="8"/>
        <v>0</v>
      </c>
      <c r="M30" s="8">
        <v>0</v>
      </c>
      <c r="N30" s="3">
        <v>0</v>
      </c>
      <c r="O30" s="18">
        <v>0</v>
      </c>
      <c r="P30" s="8">
        <v>0</v>
      </c>
      <c r="Q30" s="8">
        <v>0</v>
      </c>
      <c r="R30" s="8">
        <f t="shared" si="9"/>
        <v>0</v>
      </c>
    </row>
    <row r="31" spans="1:18" hidden="1" outlineLevel="1">
      <c r="A31" s="3">
        <f t="shared" si="10"/>
        <v>-94</v>
      </c>
      <c r="B31" s="18">
        <f t="shared" si="11"/>
        <v>0</v>
      </c>
      <c r="C31" s="18">
        <f t="shared" si="12"/>
        <v>0</v>
      </c>
      <c r="D31" s="18">
        <f t="shared" si="0"/>
        <v>0</v>
      </c>
      <c r="E31" s="18">
        <f t="shared" si="1"/>
        <v>0</v>
      </c>
      <c r="F31" s="18">
        <v>0</v>
      </c>
      <c r="G31" s="18">
        <f t="shared" si="2"/>
        <v>0</v>
      </c>
      <c r="H31" s="18">
        <f t="shared" si="7"/>
        <v>0</v>
      </c>
      <c r="I31" s="18">
        <v>0</v>
      </c>
      <c r="J31" s="18">
        <f t="shared" si="3"/>
        <v>0</v>
      </c>
      <c r="K31" s="18">
        <f t="shared" si="4"/>
        <v>0</v>
      </c>
      <c r="L31" s="18">
        <f t="shared" si="8"/>
        <v>0</v>
      </c>
      <c r="M31" s="8">
        <v>0</v>
      </c>
      <c r="N31" s="3">
        <v>0</v>
      </c>
      <c r="O31" s="18">
        <v>0</v>
      </c>
      <c r="P31" s="8">
        <v>0</v>
      </c>
      <c r="Q31" s="8">
        <v>0</v>
      </c>
      <c r="R31" s="8">
        <f t="shared" si="9"/>
        <v>0</v>
      </c>
    </row>
    <row r="32" spans="1:18" hidden="1" outlineLevel="1">
      <c r="A32" s="3">
        <f t="shared" si="10"/>
        <v>-93</v>
      </c>
      <c r="B32" s="18">
        <f t="shared" si="11"/>
        <v>0</v>
      </c>
      <c r="C32" s="18">
        <f t="shared" si="12"/>
        <v>0</v>
      </c>
      <c r="D32" s="18">
        <f t="shared" si="0"/>
        <v>0</v>
      </c>
      <c r="E32" s="18">
        <f t="shared" si="1"/>
        <v>0</v>
      </c>
      <c r="F32" s="18">
        <v>0</v>
      </c>
      <c r="G32" s="18">
        <f t="shared" si="2"/>
        <v>0</v>
      </c>
      <c r="H32" s="18">
        <f t="shared" si="7"/>
        <v>0</v>
      </c>
      <c r="I32" s="18">
        <v>0</v>
      </c>
      <c r="J32" s="18">
        <f t="shared" si="3"/>
        <v>0</v>
      </c>
      <c r="K32" s="18">
        <f t="shared" si="4"/>
        <v>0</v>
      </c>
      <c r="L32" s="18">
        <f t="shared" si="8"/>
        <v>0</v>
      </c>
      <c r="M32" s="8">
        <v>0</v>
      </c>
      <c r="N32" s="3">
        <v>0</v>
      </c>
      <c r="O32" s="18">
        <v>0</v>
      </c>
      <c r="P32" s="8">
        <v>0</v>
      </c>
      <c r="Q32" s="8">
        <v>0</v>
      </c>
      <c r="R32" s="8">
        <f t="shared" si="9"/>
        <v>0</v>
      </c>
    </row>
    <row r="33" spans="1:18" hidden="1" outlineLevel="1">
      <c r="A33" s="3">
        <f t="shared" si="10"/>
        <v>-92</v>
      </c>
      <c r="B33" s="18">
        <f t="shared" si="11"/>
        <v>0</v>
      </c>
      <c r="C33" s="18">
        <f t="shared" si="12"/>
        <v>0</v>
      </c>
      <c r="D33" s="18">
        <f t="shared" si="0"/>
        <v>0</v>
      </c>
      <c r="E33" s="18">
        <f t="shared" si="1"/>
        <v>0</v>
      </c>
      <c r="F33" s="18">
        <v>0</v>
      </c>
      <c r="G33" s="18">
        <f t="shared" si="2"/>
        <v>0</v>
      </c>
      <c r="H33" s="18">
        <f t="shared" si="7"/>
        <v>0</v>
      </c>
      <c r="I33" s="18">
        <v>0</v>
      </c>
      <c r="J33" s="18">
        <f t="shared" si="3"/>
        <v>0</v>
      </c>
      <c r="K33" s="18">
        <f t="shared" si="4"/>
        <v>0</v>
      </c>
      <c r="L33" s="18">
        <f t="shared" si="8"/>
        <v>0</v>
      </c>
      <c r="M33" s="8">
        <v>0</v>
      </c>
      <c r="N33" s="3">
        <v>0</v>
      </c>
      <c r="O33" s="18">
        <v>0</v>
      </c>
      <c r="P33" s="8">
        <v>0</v>
      </c>
      <c r="Q33" s="8">
        <v>0</v>
      </c>
      <c r="R33" s="8">
        <f t="shared" si="9"/>
        <v>0</v>
      </c>
    </row>
    <row r="34" spans="1:18" hidden="1" outlineLevel="1">
      <c r="A34" s="3">
        <f t="shared" si="10"/>
        <v>-91</v>
      </c>
      <c r="B34" s="18">
        <f t="shared" si="11"/>
        <v>0</v>
      </c>
      <c r="C34" s="18">
        <f t="shared" si="12"/>
        <v>0</v>
      </c>
      <c r="D34" s="18">
        <f t="shared" si="0"/>
        <v>0</v>
      </c>
      <c r="E34" s="18">
        <f t="shared" si="1"/>
        <v>0</v>
      </c>
      <c r="F34" s="18">
        <v>0</v>
      </c>
      <c r="G34" s="18">
        <f t="shared" si="2"/>
        <v>0</v>
      </c>
      <c r="H34" s="18">
        <f t="shared" si="7"/>
        <v>0</v>
      </c>
      <c r="I34" s="18">
        <v>0</v>
      </c>
      <c r="J34" s="18">
        <f t="shared" si="3"/>
        <v>0</v>
      </c>
      <c r="K34" s="18">
        <f t="shared" si="4"/>
        <v>0</v>
      </c>
      <c r="L34" s="18">
        <f t="shared" si="8"/>
        <v>0</v>
      </c>
      <c r="M34" s="8">
        <v>0</v>
      </c>
      <c r="N34" s="3">
        <v>0</v>
      </c>
      <c r="O34" s="18">
        <v>0</v>
      </c>
      <c r="P34" s="8">
        <v>0</v>
      </c>
      <c r="Q34" s="8">
        <v>0</v>
      </c>
      <c r="R34" s="8">
        <f t="shared" si="9"/>
        <v>0</v>
      </c>
    </row>
    <row r="35" spans="1:18" hidden="1" outlineLevel="1">
      <c r="A35" s="3">
        <f t="shared" si="10"/>
        <v>-90</v>
      </c>
      <c r="B35" s="18">
        <f t="shared" si="11"/>
        <v>0</v>
      </c>
      <c r="C35" s="18">
        <f t="shared" si="12"/>
        <v>0</v>
      </c>
      <c r="D35" s="18">
        <f t="shared" si="0"/>
        <v>0</v>
      </c>
      <c r="E35" s="18">
        <f t="shared" si="1"/>
        <v>0</v>
      </c>
      <c r="F35" s="18">
        <v>0</v>
      </c>
      <c r="G35" s="18">
        <f t="shared" si="2"/>
        <v>0</v>
      </c>
      <c r="H35" s="18">
        <f t="shared" si="7"/>
        <v>0</v>
      </c>
      <c r="I35" s="18">
        <v>0</v>
      </c>
      <c r="J35" s="18">
        <f t="shared" si="3"/>
        <v>0</v>
      </c>
      <c r="K35" s="18">
        <f t="shared" si="4"/>
        <v>0</v>
      </c>
      <c r="L35" s="18">
        <f t="shared" si="8"/>
        <v>0</v>
      </c>
      <c r="M35" s="8">
        <v>0</v>
      </c>
      <c r="N35" s="3">
        <v>0</v>
      </c>
      <c r="O35" s="18">
        <v>0</v>
      </c>
      <c r="P35" s="8">
        <v>0</v>
      </c>
      <c r="Q35" s="8">
        <v>0</v>
      </c>
      <c r="R35" s="8">
        <f t="shared" si="9"/>
        <v>0</v>
      </c>
    </row>
    <row r="36" spans="1:18" hidden="1" outlineLevel="1">
      <c r="A36" s="3">
        <f t="shared" si="10"/>
        <v>-89</v>
      </c>
      <c r="B36" s="18">
        <f t="shared" si="11"/>
        <v>0</v>
      </c>
      <c r="C36" s="18">
        <f t="shared" si="12"/>
        <v>0</v>
      </c>
      <c r="D36" s="18">
        <f t="shared" si="0"/>
        <v>0</v>
      </c>
      <c r="E36" s="18">
        <f t="shared" si="1"/>
        <v>0</v>
      </c>
      <c r="F36" s="18">
        <v>0</v>
      </c>
      <c r="G36" s="18">
        <f t="shared" si="2"/>
        <v>0</v>
      </c>
      <c r="H36" s="18">
        <f t="shared" si="7"/>
        <v>0</v>
      </c>
      <c r="I36" s="18">
        <v>0</v>
      </c>
      <c r="J36" s="18">
        <f t="shared" si="3"/>
        <v>0</v>
      </c>
      <c r="K36" s="18">
        <f t="shared" si="4"/>
        <v>0</v>
      </c>
      <c r="L36" s="18">
        <f t="shared" si="8"/>
        <v>0</v>
      </c>
      <c r="M36" s="8">
        <v>0</v>
      </c>
      <c r="N36" s="3">
        <v>0</v>
      </c>
      <c r="O36" s="18">
        <v>0</v>
      </c>
      <c r="P36" s="8">
        <v>0</v>
      </c>
      <c r="Q36" s="8">
        <v>0</v>
      </c>
      <c r="R36" s="8">
        <f t="shared" si="9"/>
        <v>0</v>
      </c>
    </row>
    <row r="37" spans="1:18" hidden="1" outlineLevel="1">
      <c r="A37" s="3">
        <f t="shared" si="10"/>
        <v>-88</v>
      </c>
      <c r="B37" s="18">
        <f t="shared" si="11"/>
        <v>0</v>
      </c>
      <c r="C37" s="18">
        <f t="shared" si="12"/>
        <v>0</v>
      </c>
      <c r="D37" s="18">
        <f t="shared" si="0"/>
        <v>0</v>
      </c>
      <c r="E37" s="18">
        <f t="shared" si="1"/>
        <v>0</v>
      </c>
      <c r="F37" s="18">
        <v>0</v>
      </c>
      <c r="G37" s="18">
        <f t="shared" si="2"/>
        <v>0</v>
      </c>
      <c r="H37" s="18">
        <f t="shared" si="7"/>
        <v>0</v>
      </c>
      <c r="I37" s="18">
        <v>0</v>
      </c>
      <c r="J37" s="18">
        <f t="shared" si="3"/>
        <v>0</v>
      </c>
      <c r="K37" s="18">
        <f t="shared" si="4"/>
        <v>0</v>
      </c>
      <c r="L37" s="18">
        <f t="shared" si="8"/>
        <v>0</v>
      </c>
      <c r="M37" s="8">
        <v>0</v>
      </c>
      <c r="N37" s="3">
        <v>0</v>
      </c>
      <c r="O37" s="18">
        <v>0</v>
      </c>
      <c r="P37" s="8">
        <v>0</v>
      </c>
      <c r="Q37" s="8">
        <v>0</v>
      </c>
      <c r="R37" s="8">
        <f t="shared" si="9"/>
        <v>0</v>
      </c>
    </row>
    <row r="38" spans="1:18" hidden="1" outlineLevel="1">
      <c r="A38" s="3">
        <f t="shared" si="10"/>
        <v>-87</v>
      </c>
      <c r="B38" s="18">
        <f t="shared" si="11"/>
        <v>0</v>
      </c>
      <c r="C38" s="18">
        <f t="shared" si="12"/>
        <v>0</v>
      </c>
      <c r="D38" s="18">
        <f t="shared" si="0"/>
        <v>0</v>
      </c>
      <c r="E38" s="18">
        <f t="shared" si="1"/>
        <v>0</v>
      </c>
      <c r="F38" s="18">
        <v>0</v>
      </c>
      <c r="G38" s="18">
        <f t="shared" si="2"/>
        <v>0</v>
      </c>
      <c r="H38" s="18">
        <f t="shared" si="7"/>
        <v>0</v>
      </c>
      <c r="I38" s="18">
        <v>0</v>
      </c>
      <c r="J38" s="18">
        <f t="shared" si="3"/>
        <v>0</v>
      </c>
      <c r="K38" s="18">
        <f t="shared" si="4"/>
        <v>0</v>
      </c>
      <c r="L38" s="18">
        <f t="shared" si="8"/>
        <v>0</v>
      </c>
      <c r="M38" s="8">
        <v>0</v>
      </c>
      <c r="N38" s="3">
        <v>0</v>
      </c>
      <c r="O38" s="18">
        <v>0</v>
      </c>
      <c r="P38" s="8">
        <v>0</v>
      </c>
      <c r="Q38" s="8">
        <v>0</v>
      </c>
      <c r="R38" s="8">
        <f t="shared" si="9"/>
        <v>0</v>
      </c>
    </row>
    <row r="39" spans="1:18" hidden="1" outlineLevel="1">
      <c r="A39" s="3">
        <f t="shared" si="10"/>
        <v>-86</v>
      </c>
      <c r="B39" s="18">
        <f t="shared" si="11"/>
        <v>0</v>
      </c>
      <c r="C39" s="18">
        <f t="shared" si="12"/>
        <v>0</v>
      </c>
      <c r="D39" s="18">
        <f t="shared" si="0"/>
        <v>0</v>
      </c>
      <c r="E39" s="18">
        <f t="shared" si="1"/>
        <v>0</v>
      </c>
      <c r="F39" s="18">
        <v>0</v>
      </c>
      <c r="G39" s="18">
        <f t="shared" si="2"/>
        <v>0</v>
      </c>
      <c r="H39" s="18">
        <f t="shared" si="7"/>
        <v>0</v>
      </c>
      <c r="I39" s="18">
        <v>0</v>
      </c>
      <c r="J39" s="18">
        <f t="shared" si="3"/>
        <v>0</v>
      </c>
      <c r="K39" s="18">
        <f t="shared" si="4"/>
        <v>0</v>
      </c>
      <c r="L39" s="18">
        <f t="shared" si="8"/>
        <v>0</v>
      </c>
      <c r="M39" s="8">
        <v>0</v>
      </c>
      <c r="N39" s="3">
        <v>0</v>
      </c>
      <c r="O39" s="18">
        <v>0</v>
      </c>
      <c r="P39" s="8">
        <v>0</v>
      </c>
      <c r="Q39" s="8">
        <v>0</v>
      </c>
      <c r="R39" s="8">
        <f t="shared" si="9"/>
        <v>0</v>
      </c>
    </row>
    <row r="40" spans="1:18" hidden="1" outlineLevel="1">
      <c r="A40" s="3">
        <f t="shared" si="10"/>
        <v>-85</v>
      </c>
      <c r="B40" s="18">
        <f t="shared" si="11"/>
        <v>0</v>
      </c>
      <c r="C40" s="18">
        <f t="shared" si="12"/>
        <v>0</v>
      </c>
      <c r="D40" s="18">
        <f t="shared" si="0"/>
        <v>0</v>
      </c>
      <c r="E40" s="18">
        <f t="shared" si="1"/>
        <v>0</v>
      </c>
      <c r="F40" s="18">
        <v>0</v>
      </c>
      <c r="G40" s="18">
        <f t="shared" si="2"/>
        <v>0</v>
      </c>
      <c r="H40" s="18">
        <f t="shared" si="7"/>
        <v>0</v>
      </c>
      <c r="I40" s="18">
        <v>0</v>
      </c>
      <c r="J40" s="18">
        <f t="shared" si="3"/>
        <v>0</v>
      </c>
      <c r="K40" s="18">
        <f t="shared" si="4"/>
        <v>0</v>
      </c>
      <c r="L40" s="18">
        <f t="shared" si="8"/>
        <v>0</v>
      </c>
      <c r="M40" s="8">
        <v>0</v>
      </c>
      <c r="N40" s="3">
        <v>0</v>
      </c>
      <c r="O40" s="18">
        <v>0</v>
      </c>
      <c r="P40" s="8">
        <v>0</v>
      </c>
      <c r="Q40" s="8">
        <v>0</v>
      </c>
      <c r="R40" s="8">
        <f t="shared" si="9"/>
        <v>0</v>
      </c>
    </row>
    <row r="41" spans="1:18" hidden="1" outlineLevel="1">
      <c r="A41" s="3">
        <f t="shared" si="10"/>
        <v>-84</v>
      </c>
      <c r="B41" s="18">
        <f t="shared" si="11"/>
        <v>0</v>
      </c>
      <c r="C41" s="18">
        <f t="shared" si="12"/>
        <v>0</v>
      </c>
      <c r="D41" s="18">
        <f t="shared" si="0"/>
        <v>0</v>
      </c>
      <c r="E41" s="18">
        <f t="shared" si="1"/>
        <v>0</v>
      </c>
      <c r="F41" s="18">
        <v>0</v>
      </c>
      <c r="G41" s="18">
        <f t="shared" si="2"/>
        <v>0</v>
      </c>
      <c r="H41" s="18">
        <f t="shared" si="7"/>
        <v>0</v>
      </c>
      <c r="I41" s="18">
        <v>0</v>
      </c>
      <c r="J41" s="18">
        <f t="shared" si="3"/>
        <v>0</v>
      </c>
      <c r="K41" s="18">
        <f t="shared" si="4"/>
        <v>0</v>
      </c>
      <c r="L41" s="18">
        <f t="shared" si="8"/>
        <v>0</v>
      </c>
      <c r="M41" s="8">
        <v>0</v>
      </c>
      <c r="N41" s="3">
        <v>0</v>
      </c>
      <c r="O41" s="18">
        <v>0</v>
      </c>
      <c r="P41" s="8">
        <v>0</v>
      </c>
      <c r="Q41" s="8">
        <v>0</v>
      </c>
      <c r="R41" s="8">
        <f t="shared" si="9"/>
        <v>0</v>
      </c>
    </row>
    <row r="42" spans="1:18" hidden="1" outlineLevel="1">
      <c r="A42" s="3">
        <f t="shared" si="10"/>
        <v>-83</v>
      </c>
      <c r="B42" s="18">
        <f t="shared" si="11"/>
        <v>0</v>
      </c>
      <c r="C42" s="18">
        <f t="shared" si="12"/>
        <v>0</v>
      </c>
      <c r="D42" s="18">
        <f t="shared" si="0"/>
        <v>0</v>
      </c>
      <c r="E42" s="18">
        <f t="shared" si="1"/>
        <v>0</v>
      </c>
      <c r="F42" s="18">
        <v>0</v>
      </c>
      <c r="G42" s="18">
        <f t="shared" si="2"/>
        <v>0</v>
      </c>
      <c r="H42" s="18">
        <f t="shared" si="7"/>
        <v>0</v>
      </c>
      <c r="I42" s="18">
        <v>0</v>
      </c>
      <c r="J42" s="18">
        <f t="shared" si="3"/>
        <v>0</v>
      </c>
      <c r="K42" s="18">
        <f t="shared" si="4"/>
        <v>0</v>
      </c>
      <c r="L42" s="18">
        <f t="shared" si="8"/>
        <v>0</v>
      </c>
      <c r="M42" s="8">
        <v>0</v>
      </c>
      <c r="N42" s="3">
        <v>0</v>
      </c>
      <c r="O42" s="18">
        <v>0</v>
      </c>
      <c r="P42" s="8">
        <v>0</v>
      </c>
      <c r="Q42" s="8">
        <v>0</v>
      </c>
      <c r="R42" s="8">
        <f t="shared" si="9"/>
        <v>0</v>
      </c>
    </row>
    <row r="43" spans="1:18" hidden="1" outlineLevel="1">
      <c r="A43" s="3">
        <f t="shared" si="10"/>
        <v>-82</v>
      </c>
      <c r="B43" s="18">
        <f t="shared" si="11"/>
        <v>0</v>
      </c>
      <c r="C43" s="18">
        <f t="shared" si="12"/>
        <v>0</v>
      </c>
      <c r="D43" s="18">
        <f t="shared" si="0"/>
        <v>0</v>
      </c>
      <c r="E43" s="18">
        <f t="shared" si="1"/>
        <v>0</v>
      </c>
      <c r="F43" s="18">
        <v>0</v>
      </c>
      <c r="G43" s="18">
        <f t="shared" si="2"/>
        <v>0</v>
      </c>
      <c r="H43" s="18">
        <f t="shared" si="7"/>
        <v>0</v>
      </c>
      <c r="I43" s="18">
        <v>0</v>
      </c>
      <c r="J43" s="18">
        <f t="shared" si="3"/>
        <v>0</v>
      </c>
      <c r="K43" s="18">
        <f t="shared" si="4"/>
        <v>0</v>
      </c>
      <c r="L43" s="18">
        <f t="shared" si="8"/>
        <v>0</v>
      </c>
      <c r="M43" s="8">
        <v>0</v>
      </c>
      <c r="N43" s="3">
        <v>0</v>
      </c>
      <c r="O43" s="18">
        <v>0</v>
      </c>
      <c r="P43" s="8">
        <v>0</v>
      </c>
      <c r="Q43" s="8">
        <v>0</v>
      </c>
      <c r="R43" s="8">
        <f t="shared" si="9"/>
        <v>0</v>
      </c>
    </row>
    <row r="44" spans="1:18" hidden="1" outlineLevel="1">
      <c r="A44" s="3">
        <f t="shared" si="10"/>
        <v>-81</v>
      </c>
      <c r="B44" s="18">
        <f t="shared" si="11"/>
        <v>0</v>
      </c>
      <c r="C44" s="18">
        <f t="shared" si="12"/>
        <v>0</v>
      </c>
      <c r="D44" s="18">
        <f t="shared" si="0"/>
        <v>0</v>
      </c>
      <c r="E44" s="18">
        <f t="shared" si="1"/>
        <v>0</v>
      </c>
      <c r="F44" s="18">
        <v>0</v>
      </c>
      <c r="G44" s="18">
        <f t="shared" si="2"/>
        <v>0</v>
      </c>
      <c r="H44" s="18">
        <f t="shared" si="7"/>
        <v>0</v>
      </c>
      <c r="I44" s="18">
        <v>0</v>
      </c>
      <c r="J44" s="18">
        <f t="shared" si="3"/>
        <v>0</v>
      </c>
      <c r="K44" s="18">
        <f t="shared" si="4"/>
        <v>0</v>
      </c>
      <c r="L44" s="18">
        <f t="shared" si="8"/>
        <v>0</v>
      </c>
      <c r="M44" s="8">
        <v>0</v>
      </c>
      <c r="N44" s="3">
        <v>0</v>
      </c>
      <c r="O44" s="18">
        <v>0</v>
      </c>
      <c r="P44" s="8">
        <v>0</v>
      </c>
      <c r="Q44" s="8">
        <v>0</v>
      </c>
      <c r="R44" s="8">
        <f t="shared" si="9"/>
        <v>0</v>
      </c>
    </row>
    <row r="45" spans="1:18" hidden="1" outlineLevel="1">
      <c r="A45" s="3">
        <f t="shared" si="10"/>
        <v>-80</v>
      </c>
      <c r="B45" s="18">
        <f t="shared" si="11"/>
        <v>0</v>
      </c>
      <c r="C45" s="18">
        <f t="shared" si="12"/>
        <v>0</v>
      </c>
      <c r="D45" s="18">
        <f t="shared" si="0"/>
        <v>0</v>
      </c>
      <c r="E45" s="18">
        <f t="shared" si="1"/>
        <v>0</v>
      </c>
      <c r="F45" s="18">
        <v>0</v>
      </c>
      <c r="G45" s="18">
        <f t="shared" si="2"/>
        <v>0</v>
      </c>
      <c r="H45" s="18">
        <f t="shared" si="7"/>
        <v>0</v>
      </c>
      <c r="I45" s="18">
        <v>0</v>
      </c>
      <c r="J45" s="18">
        <f t="shared" si="3"/>
        <v>0</v>
      </c>
      <c r="K45" s="18">
        <f t="shared" si="4"/>
        <v>0</v>
      </c>
      <c r="L45" s="18">
        <f t="shared" si="8"/>
        <v>0</v>
      </c>
      <c r="M45" s="8">
        <v>0</v>
      </c>
      <c r="N45" s="3">
        <v>0</v>
      </c>
      <c r="O45" s="18">
        <v>0</v>
      </c>
      <c r="P45" s="8">
        <v>0</v>
      </c>
      <c r="Q45" s="8">
        <v>0</v>
      </c>
      <c r="R45" s="8">
        <f t="shared" si="9"/>
        <v>0</v>
      </c>
    </row>
    <row r="46" spans="1:18" hidden="1" outlineLevel="1">
      <c r="A46" s="3">
        <f t="shared" si="10"/>
        <v>-79</v>
      </c>
      <c r="B46" s="18">
        <f t="shared" si="11"/>
        <v>0</v>
      </c>
      <c r="C46" s="18">
        <f t="shared" si="12"/>
        <v>0</v>
      </c>
      <c r="D46" s="18">
        <f t="shared" si="0"/>
        <v>0</v>
      </c>
      <c r="E46" s="18">
        <f t="shared" si="1"/>
        <v>0</v>
      </c>
      <c r="F46" s="18">
        <v>0</v>
      </c>
      <c r="G46" s="18">
        <f t="shared" si="2"/>
        <v>0</v>
      </c>
      <c r="H46" s="18">
        <f t="shared" si="7"/>
        <v>0</v>
      </c>
      <c r="I46" s="18">
        <v>0</v>
      </c>
      <c r="J46" s="18">
        <f t="shared" si="3"/>
        <v>0</v>
      </c>
      <c r="K46" s="18">
        <f t="shared" si="4"/>
        <v>0</v>
      </c>
      <c r="L46" s="18">
        <f t="shared" si="8"/>
        <v>0</v>
      </c>
      <c r="M46" s="8">
        <v>0</v>
      </c>
      <c r="N46" s="3">
        <v>0</v>
      </c>
      <c r="O46" s="18">
        <v>0</v>
      </c>
      <c r="P46" s="8">
        <v>0</v>
      </c>
      <c r="Q46" s="8">
        <v>0</v>
      </c>
      <c r="R46" s="8">
        <f t="shared" si="9"/>
        <v>0</v>
      </c>
    </row>
    <row r="47" spans="1:18" hidden="1" outlineLevel="1">
      <c r="A47" s="3">
        <f t="shared" si="10"/>
        <v>-78</v>
      </c>
      <c r="B47" s="18">
        <f t="shared" si="11"/>
        <v>0</v>
      </c>
      <c r="C47" s="18">
        <f t="shared" si="12"/>
        <v>0</v>
      </c>
      <c r="D47" s="18">
        <f t="shared" si="0"/>
        <v>0</v>
      </c>
      <c r="E47" s="18">
        <f t="shared" si="1"/>
        <v>0</v>
      </c>
      <c r="F47" s="18">
        <v>0</v>
      </c>
      <c r="G47" s="18">
        <f t="shared" si="2"/>
        <v>0</v>
      </c>
      <c r="H47" s="18">
        <f t="shared" si="7"/>
        <v>0</v>
      </c>
      <c r="I47" s="18">
        <v>0</v>
      </c>
      <c r="J47" s="18">
        <f t="shared" si="3"/>
        <v>0</v>
      </c>
      <c r="K47" s="18">
        <f t="shared" si="4"/>
        <v>0</v>
      </c>
      <c r="L47" s="18">
        <f t="shared" si="8"/>
        <v>0</v>
      </c>
      <c r="M47" s="8">
        <v>0</v>
      </c>
      <c r="N47" s="3">
        <v>0</v>
      </c>
      <c r="O47" s="18">
        <v>0</v>
      </c>
      <c r="P47" s="8">
        <v>0</v>
      </c>
      <c r="Q47" s="8">
        <v>0</v>
      </c>
      <c r="R47" s="8">
        <f t="shared" si="9"/>
        <v>0</v>
      </c>
    </row>
    <row r="48" spans="1:18" hidden="1" outlineLevel="1">
      <c r="A48" s="3">
        <f t="shared" si="10"/>
        <v>-77</v>
      </c>
      <c r="B48" s="18">
        <f t="shared" si="11"/>
        <v>0</v>
      </c>
      <c r="C48" s="18">
        <f t="shared" si="12"/>
        <v>0</v>
      </c>
      <c r="D48" s="18">
        <f t="shared" si="0"/>
        <v>0</v>
      </c>
      <c r="E48" s="18">
        <f t="shared" si="1"/>
        <v>0</v>
      </c>
      <c r="F48" s="18">
        <v>0</v>
      </c>
      <c r="G48" s="18">
        <f t="shared" si="2"/>
        <v>0</v>
      </c>
      <c r="H48" s="18">
        <f t="shared" si="7"/>
        <v>0</v>
      </c>
      <c r="I48" s="18">
        <v>0</v>
      </c>
      <c r="J48" s="18">
        <f t="shared" si="3"/>
        <v>0</v>
      </c>
      <c r="K48" s="18">
        <f t="shared" si="4"/>
        <v>0</v>
      </c>
      <c r="L48" s="18">
        <f t="shared" si="8"/>
        <v>0</v>
      </c>
      <c r="M48" s="8">
        <v>0</v>
      </c>
      <c r="N48" s="3">
        <v>0</v>
      </c>
      <c r="O48" s="18">
        <v>0</v>
      </c>
      <c r="P48" s="8">
        <v>0</v>
      </c>
      <c r="Q48" s="8">
        <v>0</v>
      </c>
      <c r="R48" s="8">
        <f t="shared" si="9"/>
        <v>0</v>
      </c>
    </row>
    <row r="49" spans="1:18" hidden="1" outlineLevel="1">
      <c r="A49" s="3">
        <f t="shared" si="10"/>
        <v>-76</v>
      </c>
      <c r="B49" s="18">
        <f t="shared" si="11"/>
        <v>0</v>
      </c>
      <c r="C49" s="18">
        <f t="shared" si="12"/>
        <v>0</v>
      </c>
      <c r="D49" s="18">
        <f t="shared" si="0"/>
        <v>0</v>
      </c>
      <c r="E49" s="18">
        <f t="shared" si="1"/>
        <v>0</v>
      </c>
      <c r="F49" s="18">
        <v>0</v>
      </c>
      <c r="G49" s="18">
        <f t="shared" si="2"/>
        <v>0</v>
      </c>
      <c r="H49" s="18">
        <f t="shared" si="7"/>
        <v>0</v>
      </c>
      <c r="I49" s="18">
        <v>0</v>
      </c>
      <c r="J49" s="18">
        <f t="shared" si="3"/>
        <v>0</v>
      </c>
      <c r="K49" s="18">
        <f t="shared" si="4"/>
        <v>0</v>
      </c>
      <c r="L49" s="18">
        <f t="shared" si="8"/>
        <v>0</v>
      </c>
      <c r="M49" s="8">
        <v>0</v>
      </c>
      <c r="N49" s="3">
        <v>0</v>
      </c>
      <c r="O49" s="18">
        <v>0</v>
      </c>
      <c r="P49" s="8">
        <v>0</v>
      </c>
      <c r="Q49" s="8">
        <v>0</v>
      </c>
      <c r="R49" s="8">
        <f t="shared" si="9"/>
        <v>0</v>
      </c>
    </row>
    <row r="50" spans="1:18" hidden="1" outlineLevel="1">
      <c r="A50" s="3">
        <f t="shared" si="10"/>
        <v>-75</v>
      </c>
      <c r="B50" s="18">
        <f t="shared" si="11"/>
        <v>0</v>
      </c>
      <c r="C50" s="18">
        <f t="shared" si="12"/>
        <v>0</v>
      </c>
      <c r="D50" s="18">
        <f t="shared" si="0"/>
        <v>0</v>
      </c>
      <c r="E50" s="18">
        <f t="shared" si="1"/>
        <v>0</v>
      </c>
      <c r="F50" s="18">
        <v>0</v>
      </c>
      <c r="G50" s="18">
        <f t="shared" si="2"/>
        <v>0</v>
      </c>
      <c r="H50" s="18">
        <f t="shared" si="7"/>
        <v>0</v>
      </c>
      <c r="I50" s="18">
        <v>0</v>
      </c>
      <c r="J50" s="18">
        <f t="shared" si="3"/>
        <v>0</v>
      </c>
      <c r="K50" s="18">
        <f t="shared" si="4"/>
        <v>0</v>
      </c>
      <c r="L50" s="18">
        <f t="shared" si="8"/>
        <v>0</v>
      </c>
      <c r="M50" s="8">
        <v>0</v>
      </c>
      <c r="N50" s="3">
        <v>0</v>
      </c>
      <c r="O50" s="18">
        <v>0</v>
      </c>
      <c r="P50" s="8">
        <v>0</v>
      </c>
      <c r="Q50" s="8">
        <v>0</v>
      </c>
      <c r="R50" s="8">
        <f t="shared" si="9"/>
        <v>0</v>
      </c>
    </row>
    <row r="51" spans="1:18" hidden="1" outlineLevel="1">
      <c r="A51" s="3">
        <f t="shared" si="10"/>
        <v>-74</v>
      </c>
      <c r="B51" s="18">
        <f t="shared" si="11"/>
        <v>0</v>
      </c>
      <c r="C51" s="18">
        <f t="shared" si="12"/>
        <v>0</v>
      </c>
      <c r="D51" s="18">
        <f t="shared" si="0"/>
        <v>0</v>
      </c>
      <c r="E51" s="18">
        <f t="shared" si="1"/>
        <v>0</v>
      </c>
      <c r="F51" s="18">
        <v>0</v>
      </c>
      <c r="G51" s="18">
        <f t="shared" si="2"/>
        <v>0</v>
      </c>
      <c r="H51" s="18">
        <f t="shared" si="7"/>
        <v>0</v>
      </c>
      <c r="I51" s="18">
        <v>0</v>
      </c>
      <c r="J51" s="18">
        <f t="shared" si="3"/>
        <v>0</v>
      </c>
      <c r="K51" s="18">
        <f t="shared" si="4"/>
        <v>0</v>
      </c>
      <c r="L51" s="18">
        <f t="shared" si="8"/>
        <v>0</v>
      </c>
      <c r="M51" s="8">
        <v>0</v>
      </c>
      <c r="N51" s="3">
        <v>0</v>
      </c>
      <c r="O51" s="18">
        <v>0</v>
      </c>
      <c r="P51" s="8">
        <v>0</v>
      </c>
      <c r="Q51" s="8">
        <v>0</v>
      </c>
      <c r="R51" s="8">
        <f t="shared" si="9"/>
        <v>0</v>
      </c>
    </row>
    <row r="52" spans="1:18" hidden="1" outlineLevel="1">
      <c r="A52" s="3">
        <f t="shared" si="10"/>
        <v>-73</v>
      </c>
      <c r="B52" s="18">
        <f t="shared" si="11"/>
        <v>0</v>
      </c>
      <c r="C52" s="18">
        <f t="shared" si="12"/>
        <v>0</v>
      </c>
      <c r="D52" s="18">
        <f t="shared" si="0"/>
        <v>0</v>
      </c>
      <c r="E52" s="18">
        <f t="shared" si="1"/>
        <v>0</v>
      </c>
      <c r="F52" s="18">
        <v>0</v>
      </c>
      <c r="G52" s="18">
        <f t="shared" si="2"/>
        <v>0</v>
      </c>
      <c r="H52" s="18">
        <f t="shared" si="7"/>
        <v>0</v>
      </c>
      <c r="I52" s="18">
        <v>0</v>
      </c>
      <c r="J52" s="18">
        <f t="shared" si="3"/>
        <v>0</v>
      </c>
      <c r="K52" s="18">
        <f t="shared" si="4"/>
        <v>0</v>
      </c>
      <c r="L52" s="18">
        <f t="shared" si="8"/>
        <v>0</v>
      </c>
      <c r="M52" s="8">
        <v>0</v>
      </c>
      <c r="N52" s="3">
        <v>0</v>
      </c>
      <c r="O52" s="18">
        <v>0</v>
      </c>
      <c r="P52" s="8">
        <v>0</v>
      </c>
      <c r="Q52" s="8">
        <v>0</v>
      </c>
      <c r="R52" s="8">
        <f t="shared" si="9"/>
        <v>0</v>
      </c>
    </row>
    <row r="53" spans="1:18" hidden="1" outlineLevel="1">
      <c r="A53" s="3">
        <f t="shared" si="10"/>
        <v>-72</v>
      </c>
      <c r="B53" s="18">
        <f t="shared" si="11"/>
        <v>0</v>
      </c>
      <c r="C53" s="18">
        <f t="shared" si="12"/>
        <v>0</v>
      </c>
      <c r="D53" s="18">
        <f t="shared" si="0"/>
        <v>0</v>
      </c>
      <c r="E53" s="18">
        <f t="shared" si="1"/>
        <v>0</v>
      </c>
      <c r="F53" s="18">
        <v>0</v>
      </c>
      <c r="G53" s="18">
        <f t="shared" si="2"/>
        <v>0</v>
      </c>
      <c r="H53" s="18">
        <f t="shared" si="7"/>
        <v>0</v>
      </c>
      <c r="I53" s="18">
        <v>0</v>
      </c>
      <c r="J53" s="18">
        <f t="shared" si="3"/>
        <v>0</v>
      </c>
      <c r="K53" s="18">
        <f t="shared" si="4"/>
        <v>0</v>
      </c>
      <c r="L53" s="18">
        <f t="shared" si="8"/>
        <v>0</v>
      </c>
      <c r="M53" s="8">
        <v>0</v>
      </c>
      <c r="N53" s="3">
        <v>0</v>
      </c>
      <c r="O53" s="18">
        <v>0</v>
      </c>
      <c r="P53" s="8">
        <v>0</v>
      </c>
      <c r="Q53" s="8">
        <v>0</v>
      </c>
      <c r="R53" s="8">
        <f t="shared" si="9"/>
        <v>0</v>
      </c>
    </row>
    <row r="54" spans="1:18" hidden="1" outlineLevel="1">
      <c r="A54" s="3">
        <f t="shared" si="10"/>
        <v>-71</v>
      </c>
      <c r="B54" s="18">
        <f t="shared" si="11"/>
        <v>0</v>
      </c>
      <c r="C54" s="18">
        <f t="shared" si="12"/>
        <v>0</v>
      </c>
      <c r="D54" s="18">
        <f t="shared" si="0"/>
        <v>0</v>
      </c>
      <c r="E54" s="18">
        <f t="shared" si="1"/>
        <v>0</v>
      </c>
      <c r="F54" s="18">
        <v>0</v>
      </c>
      <c r="G54" s="18">
        <f t="shared" si="2"/>
        <v>0</v>
      </c>
      <c r="H54" s="18">
        <f t="shared" si="7"/>
        <v>0</v>
      </c>
      <c r="I54" s="18">
        <v>0</v>
      </c>
      <c r="J54" s="18">
        <f t="shared" si="3"/>
        <v>0</v>
      </c>
      <c r="K54" s="18">
        <f t="shared" si="4"/>
        <v>0</v>
      </c>
      <c r="L54" s="18">
        <f t="shared" si="8"/>
        <v>0</v>
      </c>
      <c r="M54" s="8">
        <v>0</v>
      </c>
      <c r="N54" s="3">
        <v>0</v>
      </c>
      <c r="O54" s="18">
        <v>0</v>
      </c>
      <c r="P54" s="8">
        <v>0</v>
      </c>
      <c r="Q54" s="8">
        <v>0</v>
      </c>
      <c r="R54" s="8">
        <f t="shared" si="9"/>
        <v>0</v>
      </c>
    </row>
    <row r="55" spans="1:18" hidden="1" outlineLevel="1">
      <c r="A55" s="3">
        <f t="shared" si="10"/>
        <v>-70</v>
      </c>
      <c r="B55" s="18">
        <f t="shared" si="11"/>
        <v>0</v>
      </c>
      <c r="C55" s="18">
        <f t="shared" si="12"/>
        <v>0</v>
      </c>
      <c r="D55" s="18">
        <f t="shared" si="0"/>
        <v>0</v>
      </c>
      <c r="E55" s="18">
        <f t="shared" si="1"/>
        <v>0</v>
      </c>
      <c r="F55" s="18">
        <v>0</v>
      </c>
      <c r="G55" s="18">
        <f t="shared" si="2"/>
        <v>0</v>
      </c>
      <c r="H55" s="18">
        <f t="shared" si="7"/>
        <v>0</v>
      </c>
      <c r="I55" s="18">
        <v>0</v>
      </c>
      <c r="J55" s="18">
        <f t="shared" si="3"/>
        <v>0</v>
      </c>
      <c r="K55" s="18">
        <f t="shared" si="4"/>
        <v>0</v>
      </c>
      <c r="L55" s="18">
        <f t="shared" si="8"/>
        <v>0</v>
      </c>
      <c r="M55" s="8">
        <v>0</v>
      </c>
      <c r="N55" s="3">
        <v>0</v>
      </c>
      <c r="O55" s="18">
        <v>0</v>
      </c>
      <c r="P55" s="8">
        <v>0</v>
      </c>
      <c r="Q55" s="8">
        <v>0</v>
      </c>
      <c r="R55" s="8">
        <f t="shared" si="9"/>
        <v>0</v>
      </c>
    </row>
    <row r="56" spans="1:18" hidden="1" outlineLevel="1">
      <c r="A56" s="3">
        <f t="shared" si="10"/>
        <v>-69</v>
      </c>
      <c r="B56" s="18">
        <f t="shared" si="11"/>
        <v>0</v>
      </c>
      <c r="C56" s="18">
        <f t="shared" si="12"/>
        <v>0</v>
      </c>
      <c r="D56" s="18">
        <f t="shared" si="0"/>
        <v>0</v>
      </c>
      <c r="E56" s="18">
        <f t="shared" si="1"/>
        <v>0</v>
      </c>
      <c r="F56" s="18">
        <v>0</v>
      </c>
      <c r="G56" s="18">
        <f t="shared" si="2"/>
        <v>0</v>
      </c>
      <c r="H56" s="18">
        <f t="shared" si="7"/>
        <v>0</v>
      </c>
      <c r="I56" s="18">
        <v>0</v>
      </c>
      <c r="J56" s="18">
        <f t="shared" si="3"/>
        <v>0</v>
      </c>
      <c r="K56" s="18">
        <f t="shared" si="4"/>
        <v>0</v>
      </c>
      <c r="L56" s="18">
        <f t="shared" si="8"/>
        <v>0</v>
      </c>
      <c r="M56" s="8">
        <v>0</v>
      </c>
      <c r="N56" s="3">
        <v>0</v>
      </c>
      <c r="O56" s="18">
        <v>0</v>
      </c>
      <c r="P56" s="8">
        <v>0</v>
      </c>
      <c r="Q56" s="8">
        <v>0</v>
      </c>
      <c r="R56" s="8">
        <f t="shared" si="9"/>
        <v>0</v>
      </c>
    </row>
    <row r="57" spans="1:18" hidden="1" outlineLevel="1">
      <c r="A57" s="3">
        <f t="shared" si="10"/>
        <v>-68</v>
      </c>
      <c r="B57" s="18">
        <f t="shared" si="11"/>
        <v>0</v>
      </c>
      <c r="C57" s="18">
        <f t="shared" si="12"/>
        <v>0</v>
      </c>
      <c r="D57" s="18">
        <f t="shared" si="0"/>
        <v>0</v>
      </c>
      <c r="E57" s="18">
        <f t="shared" ref="E57:E88" si="13">IF(A57=-mu_L,BSL,0)</f>
        <v>0</v>
      </c>
      <c r="F57" s="18">
        <v>0</v>
      </c>
      <c r="G57" s="18">
        <f t="shared" si="2"/>
        <v>0</v>
      </c>
      <c r="H57" s="18">
        <f t="shared" si="7"/>
        <v>0</v>
      </c>
      <c r="I57" s="18">
        <v>0</v>
      </c>
      <c r="J57" s="18">
        <f t="shared" si="3"/>
        <v>0</v>
      </c>
      <c r="K57" s="18">
        <f t="shared" si="4"/>
        <v>0</v>
      </c>
      <c r="L57" s="18">
        <f t="shared" si="8"/>
        <v>0</v>
      </c>
      <c r="M57" s="8">
        <v>0</v>
      </c>
      <c r="N57" s="3">
        <v>0</v>
      </c>
      <c r="O57" s="18">
        <v>0</v>
      </c>
      <c r="P57" s="8">
        <v>0</v>
      </c>
      <c r="Q57" s="8">
        <v>0</v>
      </c>
      <c r="R57" s="8">
        <f t="shared" si="9"/>
        <v>0</v>
      </c>
    </row>
    <row r="58" spans="1:18" hidden="1" outlineLevel="1">
      <c r="A58" s="3">
        <f t="shared" si="10"/>
        <v>-67</v>
      </c>
      <c r="B58" s="18">
        <f t="shared" si="11"/>
        <v>0</v>
      </c>
      <c r="C58" s="18">
        <f t="shared" si="12"/>
        <v>0</v>
      </c>
      <c r="D58" s="18">
        <f t="shared" si="0"/>
        <v>0</v>
      </c>
      <c r="E58" s="18">
        <f t="shared" si="13"/>
        <v>0</v>
      </c>
      <c r="F58" s="18">
        <v>0</v>
      </c>
      <c r="G58" s="18">
        <f t="shared" si="2"/>
        <v>0</v>
      </c>
      <c r="H58" s="18">
        <f t="shared" si="7"/>
        <v>0</v>
      </c>
      <c r="I58" s="18">
        <v>0</v>
      </c>
      <c r="J58" s="18">
        <f t="shared" si="3"/>
        <v>0</v>
      </c>
      <c r="K58" s="18">
        <f t="shared" si="4"/>
        <v>0</v>
      </c>
      <c r="L58" s="18">
        <f t="shared" si="8"/>
        <v>0</v>
      </c>
      <c r="M58" s="8">
        <v>0</v>
      </c>
      <c r="N58" s="3">
        <v>0</v>
      </c>
      <c r="O58" s="18">
        <v>0</v>
      </c>
      <c r="P58" s="8">
        <v>0</v>
      </c>
      <c r="Q58" s="8">
        <v>0</v>
      </c>
      <c r="R58" s="8">
        <f t="shared" si="9"/>
        <v>0</v>
      </c>
    </row>
    <row r="59" spans="1:18" hidden="1" outlineLevel="1">
      <c r="A59" s="3">
        <f t="shared" si="10"/>
        <v>-66</v>
      </c>
      <c r="B59" s="18">
        <f t="shared" si="11"/>
        <v>0</v>
      </c>
      <c r="C59" s="18">
        <f t="shared" si="12"/>
        <v>0</v>
      </c>
      <c r="D59" s="18">
        <f t="shared" si="0"/>
        <v>0</v>
      </c>
      <c r="E59" s="18">
        <f t="shared" si="13"/>
        <v>0</v>
      </c>
      <c r="F59" s="18">
        <v>0</v>
      </c>
      <c r="G59" s="18">
        <f t="shared" si="2"/>
        <v>0</v>
      </c>
      <c r="H59" s="18">
        <f t="shared" si="7"/>
        <v>0</v>
      </c>
      <c r="I59" s="18">
        <v>0</v>
      </c>
      <c r="J59" s="18">
        <f t="shared" si="3"/>
        <v>0</v>
      </c>
      <c r="K59" s="18">
        <f t="shared" si="4"/>
        <v>0</v>
      </c>
      <c r="L59" s="18">
        <f t="shared" si="8"/>
        <v>0</v>
      </c>
      <c r="M59" s="8">
        <v>0</v>
      </c>
      <c r="N59" s="3">
        <v>0</v>
      </c>
      <c r="O59" s="18">
        <v>0</v>
      </c>
      <c r="P59" s="8">
        <v>0</v>
      </c>
      <c r="Q59" s="8">
        <v>0</v>
      </c>
      <c r="R59" s="8">
        <f t="shared" si="9"/>
        <v>0</v>
      </c>
    </row>
    <row r="60" spans="1:18" hidden="1" outlineLevel="1">
      <c r="A60" s="3">
        <f t="shared" si="10"/>
        <v>-65</v>
      </c>
      <c r="B60" s="18">
        <f t="shared" si="11"/>
        <v>0</v>
      </c>
      <c r="C60" s="18">
        <f t="shared" si="12"/>
        <v>0</v>
      </c>
      <c r="D60" s="18">
        <f t="shared" si="0"/>
        <v>0</v>
      </c>
      <c r="E60" s="18">
        <f t="shared" si="13"/>
        <v>0</v>
      </c>
      <c r="F60" s="18">
        <v>0</v>
      </c>
      <c r="G60" s="18">
        <f t="shared" si="2"/>
        <v>0</v>
      </c>
      <c r="H60" s="18">
        <f t="shared" si="7"/>
        <v>0</v>
      </c>
      <c r="I60" s="18">
        <v>0</v>
      </c>
      <c r="J60" s="18">
        <f t="shared" si="3"/>
        <v>0</v>
      </c>
      <c r="K60" s="18">
        <f t="shared" si="4"/>
        <v>0</v>
      </c>
      <c r="L60" s="18">
        <f t="shared" si="8"/>
        <v>0</v>
      </c>
      <c r="M60" s="8">
        <v>0</v>
      </c>
      <c r="N60" s="3">
        <v>0</v>
      </c>
      <c r="O60" s="18">
        <v>0</v>
      </c>
      <c r="P60" s="8">
        <v>0</v>
      </c>
      <c r="Q60" s="8">
        <v>0</v>
      </c>
      <c r="R60" s="8">
        <f t="shared" si="9"/>
        <v>0</v>
      </c>
    </row>
    <row r="61" spans="1:18" hidden="1" outlineLevel="1">
      <c r="A61" s="3">
        <f t="shared" si="10"/>
        <v>-64</v>
      </c>
      <c r="B61" s="18">
        <f t="shared" si="11"/>
        <v>0</v>
      </c>
      <c r="C61" s="18">
        <f t="shared" si="12"/>
        <v>0</v>
      </c>
      <c r="D61" s="18">
        <f t="shared" si="0"/>
        <v>0</v>
      </c>
      <c r="E61" s="18">
        <f t="shared" si="13"/>
        <v>0</v>
      </c>
      <c r="F61" s="18">
        <v>0</v>
      </c>
      <c r="G61" s="18">
        <f t="shared" si="2"/>
        <v>0</v>
      </c>
      <c r="H61" s="18">
        <f t="shared" si="7"/>
        <v>0</v>
      </c>
      <c r="I61" s="18">
        <v>0</v>
      </c>
      <c r="J61" s="18">
        <f t="shared" si="3"/>
        <v>0</v>
      </c>
      <c r="K61" s="18">
        <f t="shared" si="4"/>
        <v>0</v>
      </c>
      <c r="L61" s="18">
        <f t="shared" si="8"/>
        <v>0</v>
      </c>
      <c r="M61" s="8">
        <v>0</v>
      </c>
      <c r="N61" s="3">
        <v>0</v>
      </c>
      <c r="O61" s="18">
        <v>0</v>
      </c>
      <c r="P61" s="8">
        <v>0</v>
      </c>
      <c r="Q61" s="8">
        <v>0</v>
      </c>
      <c r="R61" s="8">
        <f t="shared" si="9"/>
        <v>0</v>
      </c>
    </row>
    <row r="62" spans="1:18" hidden="1" outlineLevel="1">
      <c r="A62" s="3">
        <f t="shared" si="10"/>
        <v>-63</v>
      </c>
      <c r="B62" s="18">
        <f t="shared" si="11"/>
        <v>0</v>
      </c>
      <c r="C62" s="18">
        <f t="shared" si="12"/>
        <v>0</v>
      </c>
      <c r="D62" s="18">
        <f t="shared" si="0"/>
        <v>0</v>
      </c>
      <c r="E62" s="18">
        <f t="shared" si="13"/>
        <v>0</v>
      </c>
      <c r="F62" s="18">
        <v>0</v>
      </c>
      <c r="G62" s="18">
        <f t="shared" si="2"/>
        <v>0</v>
      </c>
      <c r="H62" s="18">
        <f t="shared" si="7"/>
        <v>0</v>
      </c>
      <c r="I62" s="18">
        <v>0</v>
      </c>
      <c r="J62" s="18">
        <f t="shared" si="3"/>
        <v>0</v>
      </c>
      <c r="K62" s="18">
        <f t="shared" si="4"/>
        <v>0</v>
      </c>
      <c r="L62" s="18">
        <f t="shared" si="8"/>
        <v>0</v>
      </c>
      <c r="M62" s="8">
        <v>0</v>
      </c>
      <c r="N62" s="3">
        <v>0</v>
      </c>
      <c r="O62" s="18">
        <v>0</v>
      </c>
      <c r="P62" s="8">
        <v>0</v>
      </c>
      <c r="Q62" s="8">
        <v>0</v>
      </c>
      <c r="R62" s="8">
        <f t="shared" si="9"/>
        <v>0</v>
      </c>
    </row>
    <row r="63" spans="1:18" hidden="1" outlineLevel="1">
      <c r="A63" s="3">
        <f t="shared" si="10"/>
        <v>-62</v>
      </c>
      <c r="B63" s="18">
        <f t="shared" si="11"/>
        <v>0</v>
      </c>
      <c r="C63" s="18">
        <f t="shared" si="12"/>
        <v>0</v>
      </c>
      <c r="D63" s="18">
        <f t="shared" si="0"/>
        <v>0</v>
      </c>
      <c r="E63" s="18">
        <f t="shared" si="13"/>
        <v>0</v>
      </c>
      <c r="F63" s="18">
        <v>0</v>
      </c>
      <c r="G63" s="18">
        <f t="shared" si="2"/>
        <v>0</v>
      </c>
      <c r="H63" s="18">
        <f t="shared" si="7"/>
        <v>0</v>
      </c>
      <c r="I63" s="18">
        <v>0</v>
      </c>
      <c r="J63" s="18">
        <f t="shared" si="3"/>
        <v>0</v>
      </c>
      <c r="K63" s="18">
        <f t="shared" si="4"/>
        <v>0</v>
      </c>
      <c r="L63" s="18">
        <f t="shared" si="8"/>
        <v>0</v>
      </c>
      <c r="M63" s="8">
        <v>0</v>
      </c>
      <c r="N63" s="3">
        <v>0</v>
      </c>
      <c r="O63" s="18">
        <v>0</v>
      </c>
      <c r="P63" s="8">
        <v>0</v>
      </c>
      <c r="Q63" s="8">
        <v>0</v>
      </c>
      <c r="R63" s="8">
        <f t="shared" si="9"/>
        <v>0</v>
      </c>
    </row>
    <row r="64" spans="1:18" hidden="1" outlineLevel="1">
      <c r="A64" s="3">
        <f t="shared" si="10"/>
        <v>-61</v>
      </c>
      <c r="B64" s="18">
        <f t="shared" si="11"/>
        <v>0</v>
      </c>
      <c r="C64" s="18">
        <f t="shared" si="12"/>
        <v>0</v>
      </c>
      <c r="D64" s="18">
        <f t="shared" si="0"/>
        <v>0</v>
      </c>
      <c r="E64" s="18">
        <f t="shared" si="13"/>
        <v>0</v>
      </c>
      <c r="F64" s="18">
        <v>0</v>
      </c>
      <c r="G64" s="18">
        <f t="shared" si="2"/>
        <v>0</v>
      </c>
      <c r="H64" s="18">
        <f t="shared" si="7"/>
        <v>0</v>
      </c>
      <c r="I64" s="18">
        <v>0</v>
      </c>
      <c r="J64" s="18">
        <f t="shared" si="3"/>
        <v>0</v>
      </c>
      <c r="K64" s="18">
        <f t="shared" si="4"/>
        <v>0</v>
      </c>
      <c r="L64" s="18">
        <f t="shared" si="8"/>
        <v>0</v>
      </c>
      <c r="M64" s="8">
        <v>0</v>
      </c>
      <c r="N64" s="3">
        <v>0</v>
      </c>
      <c r="O64" s="18">
        <v>0</v>
      </c>
      <c r="P64" s="8">
        <v>0</v>
      </c>
      <c r="Q64" s="8">
        <v>0</v>
      </c>
      <c r="R64" s="8">
        <f t="shared" si="9"/>
        <v>0</v>
      </c>
    </row>
    <row r="65" spans="1:18" hidden="1" outlineLevel="1">
      <c r="A65" s="3">
        <f t="shared" si="10"/>
        <v>-60</v>
      </c>
      <c r="B65" s="18">
        <f t="shared" si="11"/>
        <v>0</v>
      </c>
      <c r="C65" s="18">
        <f t="shared" si="12"/>
        <v>0</v>
      </c>
      <c r="D65" s="18">
        <f t="shared" si="0"/>
        <v>0</v>
      </c>
      <c r="E65" s="18">
        <f t="shared" si="13"/>
        <v>0</v>
      </c>
      <c r="F65" s="18">
        <v>0</v>
      </c>
      <c r="G65" s="18">
        <f t="shared" si="2"/>
        <v>0</v>
      </c>
      <c r="H65" s="18">
        <f t="shared" si="7"/>
        <v>0</v>
      </c>
      <c r="I65" s="18">
        <v>0</v>
      </c>
      <c r="J65" s="18">
        <f t="shared" si="3"/>
        <v>0</v>
      </c>
      <c r="K65" s="18">
        <f t="shared" si="4"/>
        <v>0</v>
      </c>
      <c r="L65" s="18">
        <f t="shared" si="8"/>
        <v>0</v>
      </c>
      <c r="M65" s="8">
        <v>0</v>
      </c>
      <c r="N65" s="3">
        <v>0</v>
      </c>
      <c r="O65" s="18">
        <v>0</v>
      </c>
      <c r="P65" s="8">
        <v>0</v>
      </c>
      <c r="Q65" s="8">
        <v>0</v>
      </c>
      <c r="R65" s="8">
        <f t="shared" si="9"/>
        <v>0</v>
      </c>
    </row>
    <row r="66" spans="1:18" hidden="1" outlineLevel="1">
      <c r="A66" s="3">
        <f t="shared" si="10"/>
        <v>-59</v>
      </c>
      <c r="B66" s="18">
        <f t="shared" si="11"/>
        <v>0</v>
      </c>
      <c r="C66" s="18">
        <f t="shared" si="12"/>
        <v>0</v>
      </c>
      <c r="D66" s="18">
        <f t="shared" si="0"/>
        <v>0</v>
      </c>
      <c r="E66" s="18">
        <f t="shared" si="13"/>
        <v>0</v>
      </c>
      <c r="F66" s="18">
        <v>0</v>
      </c>
      <c r="G66" s="18">
        <f t="shared" si="2"/>
        <v>0</v>
      </c>
      <c r="H66" s="18">
        <f t="shared" si="7"/>
        <v>0</v>
      </c>
      <c r="I66" s="18">
        <v>0</v>
      </c>
      <c r="J66" s="18">
        <f t="shared" si="3"/>
        <v>0</v>
      </c>
      <c r="K66" s="18">
        <f t="shared" si="4"/>
        <v>0</v>
      </c>
      <c r="L66" s="18">
        <f t="shared" si="8"/>
        <v>0</v>
      </c>
      <c r="M66" s="8">
        <v>0</v>
      </c>
      <c r="N66" s="3">
        <v>0</v>
      </c>
      <c r="O66" s="18">
        <v>0</v>
      </c>
      <c r="P66" s="8">
        <v>0</v>
      </c>
      <c r="Q66" s="8">
        <v>0</v>
      </c>
      <c r="R66" s="8">
        <f t="shared" si="9"/>
        <v>0</v>
      </c>
    </row>
    <row r="67" spans="1:18" hidden="1" outlineLevel="1">
      <c r="A67" s="3">
        <f t="shared" si="10"/>
        <v>-58</v>
      </c>
      <c r="B67" s="18">
        <f t="shared" si="11"/>
        <v>0</v>
      </c>
      <c r="C67" s="18">
        <f t="shared" si="12"/>
        <v>0</v>
      </c>
      <c r="D67" s="18">
        <f t="shared" si="0"/>
        <v>0</v>
      </c>
      <c r="E67" s="18">
        <f t="shared" si="13"/>
        <v>0</v>
      </c>
      <c r="F67" s="18">
        <v>0</v>
      </c>
      <c r="G67" s="18">
        <f t="shared" si="2"/>
        <v>0</v>
      </c>
      <c r="H67" s="18">
        <f t="shared" si="7"/>
        <v>0</v>
      </c>
      <c r="I67" s="18">
        <v>0</v>
      </c>
      <c r="J67" s="18">
        <f t="shared" si="3"/>
        <v>0</v>
      </c>
      <c r="K67" s="18">
        <f t="shared" si="4"/>
        <v>0</v>
      </c>
      <c r="L67" s="18">
        <f t="shared" si="8"/>
        <v>0</v>
      </c>
      <c r="M67" s="8">
        <v>0</v>
      </c>
      <c r="N67" s="3">
        <v>0</v>
      </c>
      <c r="O67" s="18">
        <v>0</v>
      </c>
      <c r="P67" s="8">
        <v>0</v>
      </c>
      <c r="Q67" s="8">
        <v>0</v>
      </c>
      <c r="R67" s="8">
        <f t="shared" si="9"/>
        <v>0</v>
      </c>
    </row>
    <row r="68" spans="1:18" hidden="1" outlineLevel="1">
      <c r="A68" s="3">
        <f t="shared" si="10"/>
        <v>-57</v>
      </c>
      <c r="B68" s="18">
        <f t="shared" si="11"/>
        <v>0</v>
      </c>
      <c r="C68" s="18">
        <f t="shared" si="12"/>
        <v>0</v>
      </c>
      <c r="D68" s="18">
        <f t="shared" si="0"/>
        <v>0</v>
      </c>
      <c r="E68" s="18">
        <f t="shared" si="13"/>
        <v>0</v>
      </c>
      <c r="F68" s="18">
        <v>0</v>
      </c>
      <c r="G68" s="18">
        <f t="shared" si="2"/>
        <v>0</v>
      </c>
      <c r="H68" s="18">
        <f t="shared" si="7"/>
        <v>0</v>
      </c>
      <c r="I68" s="18">
        <v>0</v>
      </c>
      <c r="J68" s="18">
        <f t="shared" si="3"/>
        <v>0</v>
      </c>
      <c r="K68" s="18">
        <f t="shared" si="4"/>
        <v>0</v>
      </c>
      <c r="L68" s="18">
        <f t="shared" si="8"/>
        <v>0</v>
      </c>
      <c r="M68" s="8">
        <v>0</v>
      </c>
      <c r="N68" s="3">
        <v>0</v>
      </c>
      <c r="O68" s="18">
        <v>0</v>
      </c>
      <c r="P68" s="8">
        <v>0</v>
      </c>
      <c r="Q68" s="8">
        <v>0</v>
      </c>
      <c r="R68" s="8">
        <f t="shared" si="9"/>
        <v>0</v>
      </c>
    </row>
    <row r="69" spans="1:18" hidden="1" outlineLevel="1">
      <c r="A69" s="3">
        <f t="shared" si="10"/>
        <v>-56</v>
      </c>
      <c r="B69" s="18">
        <f t="shared" si="11"/>
        <v>0</v>
      </c>
      <c r="C69" s="18">
        <f t="shared" si="12"/>
        <v>0</v>
      </c>
      <c r="D69" s="18">
        <f t="shared" si="0"/>
        <v>0</v>
      </c>
      <c r="E69" s="18">
        <f t="shared" si="13"/>
        <v>0</v>
      </c>
      <c r="F69" s="18">
        <v>0</v>
      </c>
      <c r="G69" s="18">
        <f t="shared" si="2"/>
        <v>0</v>
      </c>
      <c r="H69" s="18">
        <f t="shared" si="7"/>
        <v>0</v>
      </c>
      <c r="I69" s="18">
        <v>0</v>
      </c>
      <c r="J69" s="18">
        <f t="shared" si="3"/>
        <v>0</v>
      </c>
      <c r="K69" s="18">
        <f t="shared" si="4"/>
        <v>0</v>
      </c>
      <c r="L69" s="18">
        <f t="shared" si="8"/>
        <v>0</v>
      </c>
      <c r="M69" s="8">
        <v>0</v>
      </c>
      <c r="N69" s="3">
        <v>0</v>
      </c>
      <c r="O69" s="18">
        <v>0</v>
      </c>
      <c r="P69" s="8">
        <v>0</v>
      </c>
      <c r="Q69" s="8">
        <v>0</v>
      </c>
      <c r="R69" s="8">
        <f t="shared" si="9"/>
        <v>0</v>
      </c>
    </row>
    <row r="70" spans="1:18" hidden="1" outlineLevel="1">
      <c r="A70" s="3">
        <f t="shared" si="10"/>
        <v>-55</v>
      </c>
      <c r="B70" s="18">
        <f t="shared" si="11"/>
        <v>0</v>
      </c>
      <c r="C70" s="18">
        <f t="shared" si="12"/>
        <v>0</v>
      </c>
      <c r="D70" s="18">
        <f t="shared" si="0"/>
        <v>0</v>
      </c>
      <c r="E70" s="18">
        <f t="shared" si="13"/>
        <v>0</v>
      </c>
      <c r="F70" s="18">
        <v>0</v>
      </c>
      <c r="G70" s="18">
        <f t="shared" si="2"/>
        <v>0</v>
      </c>
      <c r="H70" s="18">
        <f t="shared" si="7"/>
        <v>0</v>
      </c>
      <c r="I70" s="18">
        <v>0</v>
      </c>
      <c r="J70" s="18">
        <f t="shared" si="3"/>
        <v>0</v>
      </c>
      <c r="K70" s="18">
        <f t="shared" si="4"/>
        <v>0</v>
      </c>
      <c r="L70" s="18">
        <f t="shared" si="8"/>
        <v>0</v>
      </c>
      <c r="M70" s="8">
        <v>0</v>
      </c>
      <c r="N70" s="3">
        <v>0</v>
      </c>
      <c r="O70" s="18">
        <v>0</v>
      </c>
      <c r="P70" s="8">
        <v>0</v>
      </c>
      <c r="Q70" s="8">
        <v>0</v>
      </c>
      <c r="R70" s="8">
        <f t="shared" si="9"/>
        <v>0</v>
      </c>
    </row>
    <row r="71" spans="1:18" hidden="1" outlineLevel="1">
      <c r="A71" s="3">
        <f t="shared" si="10"/>
        <v>-54</v>
      </c>
      <c r="B71" s="18">
        <f t="shared" si="11"/>
        <v>0</v>
      </c>
      <c r="C71" s="18">
        <f t="shared" si="12"/>
        <v>0</v>
      </c>
      <c r="D71" s="18">
        <f t="shared" si="0"/>
        <v>0</v>
      </c>
      <c r="E71" s="18">
        <f t="shared" si="13"/>
        <v>0</v>
      </c>
      <c r="F71" s="18">
        <v>0</v>
      </c>
      <c r="G71" s="18">
        <f t="shared" si="2"/>
        <v>0</v>
      </c>
      <c r="H71" s="18">
        <f t="shared" si="7"/>
        <v>0</v>
      </c>
      <c r="I71" s="18">
        <v>0</v>
      </c>
      <c r="J71" s="18">
        <f t="shared" si="3"/>
        <v>0</v>
      </c>
      <c r="K71" s="18">
        <f t="shared" si="4"/>
        <v>0</v>
      </c>
      <c r="L71" s="18">
        <f t="shared" si="8"/>
        <v>0</v>
      </c>
      <c r="M71" s="8">
        <v>0</v>
      </c>
      <c r="N71" s="3">
        <v>0</v>
      </c>
      <c r="O71" s="18">
        <v>0</v>
      </c>
      <c r="P71" s="8">
        <v>0</v>
      </c>
      <c r="Q71" s="8">
        <v>0</v>
      </c>
      <c r="R71" s="8">
        <f t="shared" si="9"/>
        <v>0</v>
      </c>
    </row>
    <row r="72" spans="1:18" hidden="1" outlineLevel="1">
      <c r="A72" s="3">
        <f t="shared" si="10"/>
        <v>-53</v>
      </c>
      <c r="B72" s="18">
        <f t="shared" si="11"/>
        <v>0</v>
      </c>
      <c r="C72" s="18">
        <f t="shared" si="12"/>
        <v>0</v>
      </c>
      <c r="D72" s="18">
        <f t="shared" si="0"/>
        <v>0</v>
      </c>
      <c r="E72" s="18">
        <f t="shared" si="13"/>
        <v>0</v>
      </c>
      <c r="F72" s="18">
        <v>0</v>
      </c>
      <c r="G72" s="18">
        <f t="shared" si="2"/>
        <v>0</v>
      </c>
      <c r="H72" s="18">
        <f t="shared" si="7"/>
        <v>0</v>
      </c>
      <c r="I72" s="18">
        <v>0</v>
      </c>
      <c r="J72" s="18">
        <f t="shared" si="3"/>
        <v>0</v>
      </c>
      <c r="K72" s="18">
        <f t="shared" si="4"/>
        <v>0</v>
      </c>
      <c r="L72" s="18">
        <f t="shared" si="8"/>
        <v>0</v>
      </c>
      <c r="M72" s="8">
        <v>0</v>
      </c>
      <c r="N72" s="3">
        <v>0</v>
      </c>
      <c r="O72" s="18">
        <v>0</v>
      </c>
      <c r="P72" s="8">
        <v>0</v>
      </c>
      <c r="Q72" s="8">
        <v>0</v>
      </c>
      <c r="R72" s="8">
        <f t="shared" si="9"/>
        <v>0</v>
      </c>
    </row>
    <row r="73" spans="1:18" hidden="1" outlineLevel="1">
      <c r="A73" s="3">
        <f t="shared" si="10"/>
        <v>-52</v>
      </c>
      <c r="B73" s="18">
        <f t="shared" si="11"/>
        <v>0</v>
      </c>
      <c r="C73" s="18">
        <f t="shared" si="12"/>
        <v>0</v>
      </c>
      <c r="D73" s="18">
        <f t="shared" si="0"/>
        <v>0</v>
      </c>
      <c r="E73" s="18">
        <f t="shared" si="13"/>
        <v>0</v>
      </c>
      <c r="F73" s="18">
        <v>0</v>
      </c>
      <c r="G73" s="18">
        <f t="shared" si="2"/>
        <v>0</v>
      </c>
      <c r="H73" s="18">
        <f t="shared" si="7"/>
        <v>0</v>
      </c>
      <c r="I73" s="18">
        <v>0</v>
      </c>
      <c r="J73" s="18">
        <f t="shared" si="3"/>
        <v>0</v>
      </c>
      <c r="K73" s="18">
        <f t="shared" si="4"/>
        <v>0</v>
      </c>
      <c r="L73" s="18">
        <f t="shared" si="8"/>
        <v>0</v>
      </c>
      <c r="M73" s="8">
        <v>0</v>
      </c>
      <c r="N73" s="3">
        <v>0</v>
      </c>
      <c r="O73" s="18">
        <v>0</v>
      </c>
      <c r="P73" s="8">
        <v>0</v>
      </c>
      <c r="Q73" s="8">
        <v>0</v>
      </c>
      <c r="R73" s="8">
        <f t="shared" si="9"/>
        <v>0</v>
      </c>
    </row>
    <row r="74" spans="1:18" hidden="1" outlineLevel="1">
      <c r="A74" s="3">
        <f t="shared" si="10"/>
        <v>-51</v>
      </c>
      <c r="B74" s="18">
        <f t="shared" si="11"/>
        <v>0</v>
      </c>
      <c r="C74" s="18">
        <f t="shared" si="12"/>
        <v>0</v>
      </c>
      <c r="D74" s="18">
        <f t="shared" si="0"/>
        <v>0</v>
      </c>
      <c r="E74" s="18">
        <f t="shared" si="13"/>
        <v>0</v>
      </c>
      <c r="F74" s="18">
        <v>0</v>
      </c>
      <c r="G74" s="18">
        <f t="shared" si="2"/>
        <v>0</v>
      </c>
      <c r="H74" s="18">
        <f t="shared" si="7"/>
        <v>0</v>
      </c>
      <c r="I74" s="18">
        <v>0</v>
      </c>
      <c r="J74" s="18">
        <f t="shared" si="3"/>
        <v>0</v>
      </c>
      <c r="K74" s="18">
        <f t="shared" si="4"/>
        <v>0</v>
      </c>
      <c r="L74" s="18">
        <f t="shared" si="8"/>
        <v>0</v>
      </c>
      <c r="M74" s="8">
        <v>0</v>
      </c>
      <c r="N74" s="3">
        <v>0</v>
      </c>
      <c r="O74" s="18">
        <v>0</v>
      </c>
      <c r="P74" s="8">
        <v>0</v>
      </c>
      <c r="Q74" s="8">
        <v>0</v>
      </c>
      <c r="R74" s="8">
        <f t="shared" si="9"/>
        <v>0</v>
      </c>
    </row>
    <row r="75" spans="1:18" hidden="1" outlineLevel="1">
      <c r="A75" s="3">
        <f t="shared" si="10"/>
        <v>-50</v>
      </c>
      <c r="B75" s="18">
        <f t="shared" si="11"/>
        <v>0</v>
      </c>
      <c r="C75" s="18">
        <f t="shared" si="12"/>
        <v>0</v>
      </c>
      <c r="D75" s="18">
        <f t="shared" si="0"/>
        <v>0</v>
      </c>
      <c r="E75" s="18">
        <f t="shared" si="13"/>
        <v>0</v>
      </c>
      <c r="F75" s="18">
        <v>0</v>
      </c>
      <c r="G75" s="18">
        <f t="shared" si="2"/>
        <v>0</v>
      </c>
      <c r="H75" s="18">
        <f t="shared" si="7"/>
        <v>0</v>
      </c>
      <c r="I75" s="18">
        <v>0</v>
      </c>
      <c r="J75" s="18">
        <f t="shared" si="3"/>
        <v>0</v>
      </c>
      <c r="K75" s="18">
        <f t="shared" si="4"/>
        <v>0</v>
      </c>
      <c r="L75" s="18">
        <f t="shared" si="8"/>
        <v>0</v>
      </c>
      <c r="M75" s="8">
        <v>0</v>
      </c>
      <c r="N75" s="3">
        <v>0</v>
      </c>
      <c r="O75" s="18">
        <v>0</v>
      </c>
      <c r="P75" s="8">
        <v>0</v>
      </c>
      <c r="Q75" s="8">
        <v>0</v>
      </c>
      <c r="R75" s="8">
        <f t="shared" si="9"/>
        <v>0</v>
      </c>
    </row>
    <row r="76" spans="1:18" hidden="1" outlineLevel="1">
      <c r="A76" s="3">
        <f t="shared" si="10"/>
        <v>-49</v>
      </c>
      <c r="B76" s="18">
        <f t="shared" si="11"/>
        <v>0</v>
      </c>
      <c r="C76" s="18">
        <f t="shared" si="12"/>
        <v>0</v>
      </c>
      <c r="D76" s="18">
        <f t="shared" si="0"/>
        <v>0</v>
      </c>
      <c r="E76" s="18">
        <f t="shared" si="13"/>
        <v>0</v>
      </c>
      <c r="F76" s="18">
        <v>0</v>
      </c>
      <c r="G76" s="18">
        <f t="shared" si="2"/>
        <v>0</v>
      </c>
      <c r="H76" s="18">
        <f t="shared" si="7"/>
        <v>0</v>
      </c>
      <c r="I76" s="18">
        <v>0</v>
      </c>
      <c r="J76" s="18">
        <f t="shared" si="3"/>
        <v>0</v>
      </c>
      <c r="K76" s="18">
        <f t="shared" si="4"/>
        <v>0</v>
      </c>
      <c r="L76" s="18">
        <f t="shared" si="8"/>
        <v>0</v>
      </c>
      <c r="M76" s="8">
        <v>0</v>
      </c>
      <c r="N76" s="3">
        <v>0</v>
      </c>
      <c r="O76" s="18">
        <v>0</v>
      </c>
      <c r="P76" s="8">
        <v>0</v>
      </c>
      <c r="Q76" s="8">
        <v>0</v>
      </c>
      <c r="R76" s="8">
        <f t="shared" si="9"/>
        <v>0</v>
      </c>
    </row>
    <row r="77" spans="1:18" hidden="1" outlineLevel="1">
      <c r="A77" s="3">
        <f t="shared" si="10"/>
        <v>-48</v>
      </c>
      <c r="B77" s="18">
        <f t="shared" si="11"/>
        <v>0</v>
      </c>
      <c r="C77" s="18">
        <f t="shared" si="12"/>
        <v>0</v>
      </c>
      <c r="D77" s="18">
        <f t="shared" si="0"/>
        <v>0</v>
      </c>
      <c r="E77" s="18">
        <f t="shared" si="13"/>
        <v>0</v>
      </c>
      <c r="F77" s="18">
        <v>0</v>
      </c>
      <c r="G77" s="18">
        <f t="shared" si="2"/>
        <v>0</v>
      </c>
      <c r="H77" s="18">
        <f t="shared" si="7"/>
        <v>0</v>
      </c>
      <c r="I77" s="18">
        <v>0</v>
      </c>
      <c r="J77" s="18">
        <f t="shared" si="3"/>
        <v>0</v>
      </c>
      <c r="K77" s="18">
        <f t="shared" si="4"/>
        <v>0</v>
      </c>
      <c r="L77" s="18">
        <f t="shared" si="8"/>
        <v>0</v>
      </c>
      <c r="M77" s="8">
        <v>0</v>
      </c>
      <c r="N77" s="3">
        <v>0</v>
      </c>
      <c r="O77" s="18">
        <v>0</v>
      </c>
      <c r="P77" s="8">
        <v>0</v>
      </c>
      <c r="Q77" s="8">
        <v>0</v>
      </c>
      <c r="R77" s="8">
        <f t="shared" si="9"/>
        <v>0</v>
      </c>
    </row>
    <row r="78" spans="1:18" hidden="1" outlineLevel="1">
      <c r="A78" s="3">
        <f t="shared" si="10"/>
        <v>-47</v>
      </c>
      <c r="B78" s="18">
        <f t="shared" si="11"/>
        <v>0</v>
      </c>
      <c r="C78" s="18">
        <f t="shared" si="12"/>
        <v>0</v>
      </c>
      <c r="D78" s="18">
        <f t="shared" si="0"/>
        <v>0</v>
      </c>
      <c r="E78" s="18">
        <f t="shared" si="13"/>
        <v>0</v>
      </c>
      <c r="F78" s="18">
        <v>0</v>
      </c>
      <c r="G78" s="18">
        <f t="shared" si="2"/>
        <v>0</v>
      </c>
      <c r="H78" s="18">
        <f t="shared" si="7"/>
        <v>0</v>
      </c>
      <c r="I78" s="18">
        <v>0</v>
      </c>
      <c r="J78" s="18">
        <f t="shared" si="3"/>
        <v>0</v>
      </c>
      <c r="K78" s="18">
        <f t="shared" si="4"/>
        <v>0</v>
      </c>
      <c r="L78" s="18">
        <f t="shared" si="8"/>
        <v>0</v>
      </c>
      <c r="M78" s="8">
        <v>0</v>
      </c>
      <c r="N78" s="3">
        <v>0</v>
      </c>
      <c r="O78" s="18">
        <v>0</v>
      </c>
      <c r="P78" s="8">
        <v>0</v>
      </c>
      <c r="Q78" s="8">
        <v>0</v>
      </c>
      <c r="R78" s="8">
        <f t="shared" si="9"/>
        <v>0</v>
      </c>
    </row>
    <row r="79" spans="1:18" hidden="1" outlineLevel="1">
      <c r="A79" s="3">
        <f t="shared" si="10"/>
        <v>-46</v>
      </c>
      <c r="B79" s="18">
        <f t="shared" si="11"/>
        <v>0</v>
      </c>
      <c r="C79" s="18">
        <f t="shared" si="12"/>
        <v>0</v>
      </c>
      <c r="D79" s="18">
        <f t="shared" si="0"/>
        <v>0</v>
      </c>
      <c r="E79" s="18">
        <f t="shared" si="13"/>
        <v>0</v>
      </c>
      <c r="F79" s="18">
        <v>0</v>
      </c>
      <c r="G79" s="18">
        <f t="shared" si="2"/>
        <v>0</v>
      </c>
      <c r="H79" s="18">
        <f t="shared" si="7"/>
        <v>0</v>
      </c>
      <c r="I79" s="18">
        <v>0</v>
      </c>
      <c r="J79" s="18">
        <f t="shared" si="3"/>
        <v>0</v>
      </c>
      <c r="K79" s="18">
        <f t="shared" si="4"/>
        <v>0</v>
      </c>
      <c r="L79" s="18">
        <f t="shared" si="8"/>
        <v>0</v>
      </c>
      <c r="M79" s="8">
        <v>0</v>
      </c>
      <c r="N79" s="3">
        <v>0</v>
      </c>
      <c r="O79" s="18">
        <v>0</v>
      </c>
      <c r="P79" s="8">
        <v>0</v>
      </c>
      <c r="Q79" s="8">
        <v>0</v>
      </c>
      <c r="R79" s="8">
        <f t="shared" si="9"/>
        <v>0</v>
      </c>
    </row>
    <row r="80" spans="1:18" hidden="1" outlineLevel="1">
      <c r="A80" s="3">
        <f t="shared" si="10"/>
        <v>-45</v>
      </c>
      <c r="B80" s="18">
        <f t="shared" si="11"/>
        <v>0</v>
      </c>
      <c r="C80" s="18">
        <f t="shared" si="12"/>
        <v>0</v>
      </c>
      <c r="D80" s="18">
        <f t="shared" si="0"/>
        <v>0</v>
      </c>
      <c r="E80" s="18">
        <f t="shared" si="13"/>
        <v>0</v>
      </c>
      <c r="F80" s="18">
        <v>0</v>
      </c>
      <c r="G80" s="18">
        <f t="shared" si="2"/>
        <v>0</v>
      </c>
      <c r="H80" s="18">
        <f t="shared" si="7"/>
        <v>0</v>
      </c>
      <c r="I80" s="18">
        <v>0</v>
      </c>
      <c r="J80" s="18">
        <f t="shared" si="3"/>
        <v>0</v>
      </c>
      <c r="K80" s="18">
        <f t="shared" si="4"/>
        <v>0</v>
      </c>
      <c r="L80" s="18">
        <f t="shared" si="8"/>
        <v>0</v>
      </c>
      <c r="M80" s="8">
        <v>0</v>
      </c>
      <c r="N80" s="3">
        <v>0</v>
      </c>
      <c r="O80" s="18">
        <v>0</v>
      </c>
      <c r="P80" s="8">
        <v>0</v>
      </c>
      <c r="Q80" s="8">
        <v>0</v>
      </c>
      <c r="R80" s="8">
        <f t="shared" si="9"/>
        <v>0</v>
      </c>
    </row>
    <row r="81" spans="1:18" hidden="1" outlineLevel="1">
      <c r="A81" s="3">
        <f t="shared" si="10"/>
        <v>-44</v>
      </c>
      <c r="B81" s="18">
        <f t="shared" si="11"/>
        <v>0</v>
      </c>
      <c r="C81" s="18">
        <f t="shared" si="12"/>
        <v>0</v>
      </c>
      <c r="D81" s="18">
        <f t="shared" si="0"/>
        <v>0</v>
      </c>
      <c r="E81" s="18">
        <f t="shared" si="13"/>
        <v>0</v>
      </c>
      <c r="F81" s="18">
        <v>0</v>
      </c>
      <c r="G81" s="18">
        <f t="shared" si="2"/>
        <v>0</v>
      </c>
      <c r="H81" s="18">
        <f t="shared" si="7"/>
        <v>0</v>
      </c>
      <c r="I81" s="18">
        <v>0</v>
      </c>
      <c r="J81" s="18">
        <f t="shared" si="3"/>
        <v>0</v>
      </c>
      <c r="K81" s="18">
        <f t="shared" si="4"/>
        <v>0</v>
      </c>
      <c r="L81" s="18">
        <f t="shared" si="8"/>
        <v>0</v>
      </c>
      <c r="M81" s="8">
        <v>0</v>
      </c>
      <c r="N81" s="3">
        <v>0</v>
      </c>
      <c r="O81" s="18">
        <v>0</v>
      </c>
      <c r="P81" s="8">
        <v>0</v>
      </c>
      <c r="Q81" s="8">
        <v>0</v>
      </c>
      <c r="R81" s="8">
        <f t="shared" si="9"/>
        <v>0</v>
      </c>
    </row>
    <row r="82" spans="1:18" hidden="1" outlineLevel="1">
      <c r="A82" s="3">
        <f t="shared" si="10"/>
        <v>-43</v>
      </c>
      <c r="B82" s="18">
        <f t="shared" si="11"/>
        <v>0</v>
      </c>
      <c r="C82" s="18">
        <f t="shared" si="12"/>
        <v>0</v>
      </c>
      <c r="D82" s="18">
        <f t="shared" si="0"/>
        <v>0</v>
      </c>
      <c r="E82" s="18">
        <f t="shared" si="13"/>
        <v>0</v>
      </c>
      <c r="F82" s="18">
        <v>0</v>
      </c>
      <c r="G82" s="18">
        <f t="shared" si="2"/>
        <v>0</v>
      </c>
      <c r="H82" s="18">
        <f t="shared" si="7"/>
        <v>0</v>
      </c>
      <c r="I82" s="18">
        <v>0</v>
      </c>
      <c r="J82" s="18">
        <f t="shared" si="3"/>
        <v>0</v>
      </c>
      <c r="K82" s="18">
        <f t="shared" si="4"/>
        <v>0</v>
      </c>
      <c r="L82" s="18">
        <f t="shared" si="8"/>
        <v>0</v>
      </c>
      <c r="M82" s="8">
        <v>0</v>
      </c>
      <c r="N82" s="3">
        <v>0</v>
      </c>
      <c r="O82" s="18">
        <v>0</v>
      </c>
      <c r="P82" s="8">
        <v>0</v>
      </c>
      <c r="Q82" s="8">
        <v>0</v>
      </c>
      <c r="R82" s="8">
        <f t="shared" si="9"/>
        <v>0</v>
      </c>
    </row>
    <row r="83" spans="1:18" hidden="1" outlineLevel="1">
      <c r="A83" s="3">
        <f t="shared" si="10"/>
        <v>-42</v>
      </c>
      <c r="B83" s="18">
        <f t="shared" si="11"/>
        <v>0</v>
      </c>
      <c r="C83" s="18">
        <f t="shared" si="12"/>
        <v>0</v>
      </c>
      <c r="D83" s="18">
        <f t="shared" si="0"/>
        <v>0</v>
      </c>
      <c r="E83" s="18">
        <f t="shared" si="13"/>
        <v>0</v>
      </c>
      <c r="F83" s="18">
        <v>0</v>
      </c>
      <c r="G83" s="18">
        <f t="shared" si="2"/>
        <v>0</v>
      </c>
      <c r="H83" s="18">
        <f t="shared" si="7"/>
        <v>0</v>
      </c>
      <c r="I83" s="18">
        <v>0</v>
      </c>
      <c r="J83" s="18">
        <f t="shared" si="3"/>
        <v>0</v>
      </c>
      <c r="K83" s="18">
        <f t="shared" si="4"/>
        <v>0</v>
      </c>
      <c r="L83" s="18">
        <f t="shared" si="8"/>
        <v>0</v>
      </c>
      <c r="M83" s="8">
        <v>0</v>
      </c>
      <c r="N83" s="3">
        <v>0</v>
      </c>
      <c r="O83" s="18">
        <v>0</v>
      </c>
      <c r="P83" s="8">
        <v>0</v>
      </c>
      <c r="Q83" s="8">
        <v>0</v>
      </c>
      <c r="R83" s="8">
        <f t="shared" si="9"/>
        <v>0</v>
      </c>
    </row>
    <row r="84" spans="1:18" hidden="1" outlineLevel="1">
      <c r="A84" s="3">
        <f t="shared" si="10"/>
        <v>-41</v>
      </c>
      <c r="B84" s="18">
        <f t="shared" si="11"/>
        <v>0</v>
      </c>
      <c r="C84" s="18">
        <f t="shared" si="12"/>
        <v>0</v>
      </c>
      <c r="D84" s="18">
        <f t="shared" si="0"/>
        <v>0</v>
      </c>
      <c r="E84" s="18">
        <f t="shared" si="13"/>
        <v>0</v>
      </c>
      <c r="F84" s="18">
        <v>0</v>
      </c>
      <c r="G84" s="18">
        <f t="shared" si="2"/>
        <v>0</v>
      </c>
      <c r="H84" s="18">
        <f t="shared" si="7"/>
        <v>0</v>
      </c>
      <c r="I84" s="18">
        <v>0</v>
      </c>
      <c r="J84" s="18">
        <f t="shared" si="3"/>
        <v>0</v>
      </c>
      <c r="K84" s="18">
        <f t="shared" si="4"/>
        <v>0</v>
      </c>
      <c r="L84" s="18">
        <f t="shared" si="8"/>
        <v>0</v>
      </c>
      <c r="M84" s="8">
        <v>0</v>
      </c>
      <c r="N84" s="3">
        <v>0</v>
      </c>
      <c r="O84" s="18">
        <v>0</v>
      </c>
      <c r="P84" s="8">
        <v>0</v>
      </c>
      <c r="Q84" s="8">
        <v>0</v>
      </c>
      <c r="R84" s="8">
        <f t="shared" si="9"/>
        <v>0</v>
      </c>
    </row>
    <row r="85" spans="1:18" hidden="1" outlineLevel="1">
      <c r="A85" s="3">
        <f t="shared" si="10"/>
        <v>-40</v>
      </c>
      <c r="B85" s="18">
        <f t="shared" si="11"/>
        <v>0</v>
      </c>
      <c r="C85" s="18">
        <f t="shared" si="12"/>
        <v>0</v>
      </c>
      <c r="D85" s="18">
        <f t="shared" si="0"/>
        <v>0</v>
      </c>
      <c r="E85" s="18">
        <f t="shared" si="13"/>
        <v>0</v>
      </c>
      <c r="F85" s="18">
        <v>0</v>
      </c>
      <c r="G85" s="18">
        <f t="shared" si="2"/>
        <v>0</v>
      </c>
      <c r="H85" s="18">
        <f t="shared" si="7"/>
        <v>0</v>
      </c>
      <c r="I85" s="18">
        <v>0</v>
      </c>
      <c r="J85" s="18">
        <f t="shared" si="3"/>
        <v>0</v>
      </c>
      <c r="K85" s="18">
        <f t="shared" si="4"/>
        <v>0</v>
      </c>
      <c r="L85" s="18">
        <f t="shared" si="8"/>
        <v>0</v>
      </c>
      <c r="M85" s="8">
        <v>0</v>
      </c>
      <c r="N85" s="3">
        <v>0</v>
      </c>
      <c r="O85" s="18">
        <v>0</v>
      </c>
      <c r="P85" s="8">
        <v>0</v>
      </c>
      <c r="Q85" s="8">
        <v>0</v>
      </c>
      <c r="R85" s="8">
        <f t="shared" si="9"/>
        <v>0</v>
      </c>
    </row>
    <row r="86" spans="1:18" hidden="1" outlineLevel="1">
      <c r="A86" s="3">
        <f t="shared" si="10"/>
        <v>-39</v>
      </c>
      <c r="B86" s="18">
        <f t="shared" si="11"/>
        <v>0</v>
      </c>
      <c r="C86" s="18">
        <f t="shared" si="12"/>
        <v>0</v>
      </c>
      <c r="D86" s="18">
        <f t="shared" si="0"/>
        <v>0</v>
      </c>
      <c r="E86" s="18">
        <f t="shared" si="13"/>
        <v>0</v>
      </c>
      <c r="F86" s="18">
        <v>0</v>
      </c>
      <c r="G86" s="18">
        <f t="shared" si="2"/>
        <v>0</v>
      </c>
      <c r="H86" s="18">
        <f t="shared" si="7"/>
        <v>0</v>
      </c>
      <c r="I86" s="18">
        <v>0</v>
      </c>
      <c r="J86" s="18">
        <f t="shared" si="3"/>
        <v>0</v>
      </c>
      <c r="K86" s="18">
        <f t="shared" si="4"/>
        <v>0</v>
      </c>
      <c r="L86" s="18">
        <f t="shared" si="8"/>
        <v>0</v>
      </c>
      <c r="M86" s="8">
        <v>0</v>
      </c>
      <c r="N86" s="3">
        <v>0</v>
      </c>
      <c r="O86" s="18">
        <v>0</v>
      </c>
      <c r="P86" s="8">
        <v>0</v>
      </c>
      <c r="Q86" s="8">
        <v>0</v>
      </c>
      <c r="R86" s="8">
        <f t="shared" si="9"/>
        <v>0</v>
      </c>
    </row>
    <row r="87" spans="1:18" hidden="1" outlineLevel="1">
      <c r="A87" s="3">
        <f t="shared" si="10"/>
        <v>-38</v>
      </c>
      <c r="B87" s="18">
        <f t="shared" si="11"/>
        <v>0</v>
      </c>
      <c r="C87" s="18">
        <f t="shared" si="12"/>
        <v>0</v>
      </c>
      <c r="D87" s="18">
        <f t="shared" si="0"/>
        <v>0</v>
      </c>
      <c r="E87" s="18">
        <f t="shared" si="13"/>
        <v>0</v>
      </c>
      <c r="F87" s="18">
        <v>0</v>
      </c>
      <c r="G87" s="18">
        <f t="shared" si="2"/>
        <v>0</v>
      </c>
      <c r="H87" s="18">
        <f t="shared" si="7"/>
        <v>0</v>
      </c>
      <c r="I87" s="18">
        <v>0</v>
      </c>
      <c r="J87" s="18">
        <f t="shared" si="3"/>
        <v>0</v>
      </c>
      <c r="K87" s="18">
        <f t="shared" si="4"/>
        <v>0</v>
      </c>
      <c r="L87" s="18">
        <f t="shared" si="8"/>
        <v>0</v>
      </c>
      <c r="M87" s="8">
        <v>0</v>
      </c>
      <c r="N87" s="3">
        <v>0</v>
      </c>
      <c r="O87" s="18">
        <v>0</v>
      </c>
      <c r="P87" s="8">
        <v>0</v>
      </c>
      <c r="Q87" s="8">
        <v>0</v>
      </c>
      <c r="R87" s="8">
        <f t="shared" si="9"/>
        <v>0</v>
      </c>
    </row>
    <row r="88" spans="1:18" hidden="1" outlineLevel="1">
      <c r="A88" s="3">
        <f t="shared" si="10"/>
        <v>-37</v>
      </c>
      <c r="B88" s="18">
        <f t="shared" si="11"/>
        <v>0</v>
      </c>
      <c r="C88" s="18">
        <f t="shared" si="12"/>
        <v>0</v>
      </c>
      <c r="D88" s="18">
        <f t="shared" si="0"/>
        <v>0</v>
      </c>
      <c r="E88" s="18">
        <f t="shared" si="13"/>
        <v>0</v>
      </c>
      <c r="F88" s="18">
        <v>0</v>
      </c>
      <c r="G88" s="18">
        <f t="shared" si="2"/>
        <v>0</v>
      </c>
      <c r="H88" s="18">
        <f t="shared" si="7"/>
        <v>0</v>
      </c>
      <c r="I88" s="18">
        <v>0</v>
      </c>
      <c r="J88" s="18">
        <f t="shared" si="3"/>
        <v>0</v>
      </c>
      <c r="K88" s="18">
        <f t="shared" si="4"/>
        <v>0</v>
      </c>
      <c r="L88" s="18">
        <f t="shared" si="8"/>
        <v>0</v>
      </c>
      <c r="M88" s="8">
        <v>0</v>
      </c>
      <c r="N88" s="3">
        <v>0</v>
      </c>
      <c r="O88" s="18">
        <v>0</v>
      </c>
      <c r="P88" s="8">
        <v>0</v>
      </c>
      <c r="Q88" s="8">
        <v>0</v>
      </c>
      <c r="R88" s="8">
        <f t="shared" si="9"/>
        <v>0</v>
      </c>
    </row>
    <row r="89" spans="1:18" hidden="1" outlineLevel="1">
      <c r="A89" s="3">
        <f t="shared" si="10"/>
        <v>-36</v>
      </c>
      <c r="B89" s="18">
        <f t="shared" si="11"/>
        <v>0</v>
      </c>
      <c r="C89" s="18">
        <f t="shared" si="12"/>
        <v>0</v>
      </c>
      <c r="D89" s="18">
        <f t="shared" ref="D89:D152" si="14">B89+C89</f>
        <v>0</v>
      </c>
      <c r="E89" s="18">
        <f t="shared" ref="E89:E125" si="15">IF(A89=-mu_L,BSL,0)</f>
        <v>0</v>
      </c>
      <c r="F89" s="18">
        <v>0</v>
      </c>
      <c r="G89" s="18">
        <f t="shared" ref="G89:G152" si="16">B89+F89</f>
        <v>0</v>
      </c>
      <c r="H89" s="18">
        <f t="shared" si="7"/>
        <v>0</v>
      </c>
      <c r="I89" s="18">
        <v>0</v>
      </c>
      <c r="J89" s="18">
        <f t="shared" ref="J89:J152" si="17">G89-I89</f>
        <v>0</v>
      </c>
      <c r="K89" s="18">
        <f t="shared" ref="K89:K152" si="18">C89+E89-F89</f>
        <v>0</v>
      </c>
      <c r="L89" s="18">
        <f t="shared" si="8"/>
        <v>0</v>
      </c>
      <c r="M89" s="8">
        <v>0</v>
      </c>
      <c r="N89" s="3">
        <v>0</v>
      </c>
      <c r="O89" s="18">
        <v>0</v>
      </c>
      <c r="P89" s="8">
        <v>0</v>
      </c>
      <c r="Q89" s="8">
        <v>0</v>
      </c>
      <c r="R89" s="8">
        <f t="shared" si="9"/>
        <v>0</v>
      </c>
    </row>
    <row r="90" spans="1:18" hidden="1" outlineLevel="1">
      <c r="A90" s="3">
        <f t="shared" si="10"/>
        <v>-35</v>
      </c>
      <c r="B90" s="18">
        <f t="shared" si="11"/>
        <v>0</v>
      </c>
      <c r="C90" s="18">
        <f t="shared" si="12"/>
        <v>0</v>
      </c>
      <c r="D90" s="18">
        <f t="shared" si="14"/>
        <v>0</v>
      </c>
      <c r="E90" s="18">
        <f t="shared" si="15"/>
        <v>0</v>
      </c>
      <c r="F90" s="18">
        <v>0</v>
      </c>
      <c r="G90" s="18">
        <f t="shared" si="16"/>
        <v>0</v>
      </c>
      <c r="H90" s="18">
        <f t="shared" ref="H90:H124" si="19">D90+E90</f>
        <v>0</v>
      </c>
      <c r="I90" s="18">
        <v>0</v>
      </c>
      <c r="J90" s="18">
        <f t="shared" si="17"/>
        <v>0</v>
      </c>
      <c r="K90" s="18">
        <f t="shared" si="18"/>
        <v>0</v>
      </c>
      <c r="L90" s="18">
        <f t="shared" ref="L90:L153" si="20">J90+K90</f>
        <v>0</v>
      </c>
      <c r="M90" s="8">
        <v>0</v>
      </c>
      <c r="N90" s="3">
        <v>0</v>
      </c>
      <c r="O90" s="18">
        <v>0</v>
      </c>
      <c r="P90" s="8">
        <v>0</v>
      </c>
      <c r="Q90" s="8">
        <v>0</v>
      </c>
      <c r="R90" s="8">
        <f t="shared" ref="R90:R153" si="21">P90+M90+Q90</f>
        <v>0</v>
      </c>
    </row>
    <row r="91" spans="1:18" hidden="1" outlineLevel="1">
      <c r="A91" s="3">
        <f t="shared" ref="A91:A117" si="22">A90+1</f>
        <v>-34</v>
      </c>
      <c r="B91" s="18">
        <f t="shared" ref="B91:B117" si="23">J90</f>
        <v>0</v>
      </c>
      <c r="C91" s="18">
        <f t="shared" ref="C91:C117" si="24">K90</f>
        <v>0</v>
      </c>
      <c r="D91" s="18">
        <f t="shared" si="14"/>
        <v>0</v>
      </c>
      <c r="E91" s="18">
        <f t="shared" si="15"/>
        <v>0</v>
      </c>
      <c r="F91" s="18">
        <v>0</v>
      </c>
      <c r="G91" s="18">
        <f t="shared" si="16"/>
        <v>0</v>
      </c>
      <c r="H91" s="18">
        <f t="shared" si="19"/>
        <v>0</v>
      </c>
      <c r="I91" s="18">
        <v>0</v>
      </c>
      <c r="J91" s="18">
        <f t="shared" si="17"/>
        <v>0</v>
      </c>
      <c r="K91" s="18">
        <f t="shared" si="18"/>
        <v>0</v>
      </c>
      <c r="L91" s="18">
        <f t="shared" si="20"/>
        <v>0</v>
      </c>
      <c r="M91" s="8">
        <v>0</v>
      </c>
      <c r="N91" s="3">
        <v>0</v>
      </c>
      <c r="O91" s="18">
        <v>0</v>
      </c>
      <c r="P91" s="8">
        <v>0</v>
      </c>
      <c r="Q91" s="8">
        <v>0</v>
      </c>
      <c r="R91" s="8">
        <f t="shared" si="21"/>
        <v>0</v>
      </c>
    </row>
    <row r="92" spans="1:18" hidden="1" outlineLevel="1">
      <c r="A92" s="3">
        <f t="shared" si="22"/>
        <v>-33</v>
      </c>
      <c r="B92" s="18">
        <f t="shared" si="23"/>
        <v>0</v>
      </c>
      <c r="C92" s="18">
        <f t="shared" si="24"/>
        <v>0</v>
      </c>
      <c r="D92" s="18">
        <f t="shared" si="14"/>
        <v>0</v>
      </c>
      <c r="E92" s="18">
        <f t="shared" si="15"/>
        <v>0</v>
      </c>
      <c r="F92" s="18">
        <v>0</v>
      </c>
      <c r="G92" s="18">
        <f t="shared" si="16"/>
        <v>0</v>
      </c>
      <c r="H92" s="18">
        <f t="shared" si="19"/>
        <v>0</v>
      </c>
      <c r="I92" s="18">
        <v>0</v>
      </c>
      <c r="J92" s="18">
        <f t="shared" si="17"/>
        <v>0</v>
      </c>
      <c r="K92" s="18">
        <f t="shared" si="18"/>
        <v>0</v>
      </c>
      <c r="L92" s="18">
        <f t="shared" si="20"/>
        <v>0</v>
      </c>
      <c r="M92" s="8">
        <v>0</v>
      </c>
      <c r="N92" s="3">
        <v>0</v>
      </c>
      <c r="O92" s="18">
        <v>0</v>
      </c>
      <c r="P92" s="8">
        <v>0</v>
      </c>
      <c r="Q92" s="8">
        <v>0</v>
      </c>
      <c r="R92" s="8">
        <f t="shared" si="21"/>
        <v>0</v>
      </c>
    </row>
    <row r="93" spans="1:18" hidden="1" outlineLevel="1">
      <c r="A93" s="3">
        <f t="shared" si="22"/>
        <v>-32</v>
      </c>
      <c r="B93" s="18">
        <f t="shared" si="23"/>
        <v>0</v>
      </c>
      <c r="C93" s="18">
        <f t="shared" si="24"/>
        <v>0</v>
      </c>
      <c r="D93" s="18">
        <f t="shared" si="14"/>
        <v>0</v>
      </c>
      <c r="E93" s="18">
        <f t="shared" si="15"/>
        <v>0</v>
      </c>
      <c r="F93" s="18">
        <v>0</v>
      </c>
      <c r="G93" s="18">
        <f t="shared" si="16"/>
        <v>0</v>
      </c>
      <c r="H93" s="18">
        <f t="shared" si="19"/>
        <v>0</v>
      </c>
      <c r="I93" s="18">
        <v>0</v>
      </c>
      <c r="J93" s="18">
        <f t="shared" si="17"/>
        <v>0</v>
      </c>
      <c r="K93" s="18">
        <f t="shared" si="18"/>
        <v>0</v>
      </c>
      <c r="L93" s="18">
        <f t="shared" si="20"/>
        <v>0</v>
      </c>
      <c r="M93" s="8">
        <v>0</v>
      </c>
      <c r="N93" s="3">
        <v>0</v>
      </c>
      <c r="O93" s="18">
        <v>0</v>
      </c>
      <c r="P93" s="8">
        <v>0</v>
      </c>
      <c r="Q93" s="8">
        <v>0</v>
      </c>
      <c r="R93" s="8">
        <f t="shared" si="21"/>
        <v>0</v>
      </c>
    </row>
    <row r="94" spans="1:18" hidden="1" outlineLevel="1">
      <c r="A94" s="3">
        <f t="shared" si="22"/>
        <v>-31</v>
      </c>
      <c r="B94" s="18">
        <f t="shared" si="23"/>
        <v>0</v>
      </c>
      <c r="C94" s="18">
        <f t="shared" si="24"/>
        <v>0</v>
      </c>
      <c r="D94" s="18">
        <f t="shared" si="14"/>
        <v>0</v>
      </c>
      <c r="E94" s="18">
        <f t="shared" si="15"/>
        <v>0</v>
      </c>
      <c r="F94" s="18">
        <v>0</v>
      </c>
      <c r="G94" s="18">
        <f t="shared" si="16"/>
        <v>0</v>
      </c>
      <c r="H94" s="18">
        <f t="shared" si="19"/>
        <v>0</v>
      </c>
      <c r="I94" s="18">
        <v>0</v>
      </c>
      <c r="J94" s="18">
        <f t="shared" si="17"/>
        <v>0</v>
      </c>
      <c r="K94" s="18">
        <f t="shared" si="18"/>
        <v>0</v>
      </c>
      <c r="L94" s="18">
        <f t="shared" si="20"/>
        <v>0</v>
      </c>
      <c r="M94" s="8">
        <v>0</v>
      </c>
      <c r="N94" s="3">
        <v>0</v>
      </c>
      <c r="O94" s="18">
        <v>0</v>
      </c>
      <c r="P94" s="8">
        <v>0</v>
      </c>
      <c r="Q94" s="8">
        <v>0</v>
      </c>
      <c r="R94" s="8">
        <f t="shared" si="21"/>
        <v>0</v>
      </c>
    </row>
    <row r="95" spans="1:18" hidden="1" outlineLevel="1">
      <c r="A95" s="3">
        <f t="shared" si="22"/>
        <v>-30</v>
      </c>
      <c r="B95" s="18">
        <f t="shared" si="23"/>
        <v>0</v>
      </c>
      <c r="C95" s="18">
        <f t="shared" si="24"/>
        <v>0</v>
      </c>
      <c r="D95" s="18">
        <f t="shared" si="14"/>
        <v>0</v>
      </c>
      <c r="E95" s="18">
        <f t="shared" si="15"/>
        <v>0</v>
      </c>
      <c r="F95" s="18">
        <v>0</v>
      </c>
      <c r="G95" s="18">
        <f t="shared" si="16"/>
        <v>0</v>
      </c>
      <c r="H95" s="18">
        <f t="shared" si="19"/>
        <v>0</v>
      </c>
      <c r="I95" s="18">
        <v>0</v>
      </c>
      <c r="J95" s="18">
        <f t="shared" si="17"/>
        <v>0</v>
      </c>
      <c r="K95" s="18">
        <f t="shared" si="18"/>
        <v>0</v>
      </c>
      <c r="L95" s="18">
        <f t="shared" si="20"/>
        <v>0</v>
      </c>
      <c r="M95" s="8">
        <v>0</v>
      </c>
      <c r="N95" s="3">
        <v>0</v>
      </c>
      <c r="O95" s="18">
        <v>0</v>
      </c>
      <c r="P95" s="8">
        <v>0</v>
      </c>
      <c r="Q95" s="8">
        <v>0</v>
      </c>
      <c r="R95" s="8">
        <f t="shared" si="21"/>
        <v>0</v>
      </c>
    </row>
    <row r="96" spans="1:18" hidden="1" outlineLevel="1">
      <c r="A96" s="3">
        <f t="shared" si="22"/>
        <v>-29</v>
      </c>
      <c r="B96" s="18">
        <f t="shared" si="23"/>
        <v>0</v>
      </c>
      <c r="C96" s="18">
        <f t="shared" si="24"/>
        <v>0</v>
      </c>
      <c r="D96" s="18">
        <f t="shared" si="14"/>
        <v>0</v>
      </c>
      <c r="E96" s="18">
        <f t="shared" si="15"/>
        <v>0</v>
      </c>
      <c r="F96" s="18">
        <v>0</v>
      </c>
      <c r="G96" s="18">
        <f t="shared" si="16"/>
        <v>0</v>
      </c>
      <c r="H96" s="18">
        <f t="shared" si="19"/>
        <v>0</v>
      </c>
      <c r="I96" s="18">
        <v>0</v>
      </c>
      <c r="J96" s="18">
        <f t="shared" si="17"/>
        <v>0</v>
      </c>
      <c r="K96" s="18">
        <f t="shared" si="18"/>
        <v>0</v>
      </c>
      <c r="L96" s="18">
        <f t="shared" si="20"/>
        <v>0</v>
      </c>
      <c r="M96" s="8">
        <v>0</v>
      </c>
      <c r="N96" s="3">
        <v>0</v>
      </c>
      <c r="O96" s="18">
        <v>0</v>
      </c>
      <c r="P96" s="8">
        <v>0</v>
      </c>
      <c r="Q96" s="8">
        <v>0</v>
      </c>
      <c r="R96" s="8">
        <f t="shared" si="21"/>
        <v>0</v>
      </c>
    </row>
    <row r="97" spans="1:18" hidden="1" outlineLevel="1">
      <c r="A97" s="3">
        <f t="shared" si="22"/>
        <v>-28</v>
      </c>
      <c r="B97" s="18">
        <f t="shared" si="23"/>
        <v>0</v>
      </c>
      <c r="C97" s="18">
        <f t="shared" si="24"/>
        <v>0</v>
      </c>
      <c r="D97" s="18">
        <f t="shared" si="14"/>
        <v>0</v>
      </c>
      <c r="E97" s="18">
        <f t="shared" si="15"/>
        <v>0</v>
      </c>
      <c r="F97" s="18">
        <v>0</v>
      </c>
      <c r="G97" s="18">
        <f t="shared" si="16"/>
        <v>0</v>
      </c>
      <c r="H97" s="18">
        <f t="shared" si="19"/>
        <v>0</v>
      </c>
      <c r="I97" s="18">
        <v>0</v>
      </c>
      <c r="J97" s="18">
        <f t="shared" si="17"/>
        <v>0</v>
      </c>
      <c r="K97" s="18">
        <f t="shared" si="18"/>
        <v>0</v>
      </c>
      <c r="L97" s="18">
        <f t="shared" si="20"/>
        <v>0</v>
      </c>
      <c r="M97" s="8">
        <v>0</v>
      </c>
      <c r="N97" s="3">
        <v>0</v>
      </c>
      <c r="O97" s="18">
        <v>0</v>
      </c>
      <c r="P97" s="8">
        <v>0</v>
      </c>
      <c r="Q97" s="8">
        <v>0</v>
      </c>
      <c r="R97" s="8">
        <f t="shared" si="21"/>
        <v>0</v>
      </c>
    </row>
    <row r="98" spans="1:18" hidden="1" outlineLevel="1">
      <c r="A98" s="3">
        <f t="shared" si="22"/>
        <v>-27</v>
      </c>
      <c r="B98" s="18">
        <f t="shared" si="23"/>
        <v>0</v>
      </c>
      <c r="C98" s="18">
        <f t="shared" si="24"/>
        <v>0</v>
      </c>
      <c r="D98" s="18">
        <f t="shared" si="14"/>
        <v>0</v>
      </c>
      <c r="E98" s="18">
        <f t="shared" si="15"/>
        <v>0</v>
      </c>
      <c r="F98" s="18">
        <v>0</v>
      </c>
      <c r="G98" s="18">
        <f t="shared" si="16"/>
        <v>0</v>
      </c>
      <c r="H98" s="18">
        <f t="shared" si="19"/>
        <v>0</v>
      </c>
      <c r="I98" s="18">
        <v>0</v>
      </c>
      <c r="J98" s="18">
        <f t="shared" si="17"/>
        <v>0</v>
      </c>
      <c r="K98" s="18">
        <f t="shared" si="18"/>
        <v>0</v>
      </c>
      <c r="L98" s="18">
        <f t="shared" si="20"/>
        <v>0</v>
      </c>
      <c r="M98" s="8">
        <v>0</v>
      </c>
      <c r="N98" s="3">
        <v>0</v>
      </c>
      <c r="O98" s="18">
        <v>0</v>
      </c>
      <c r="P98" s="8">
        <v>0</v>
      </c>
      <c r="Q98" s="8">
        <v>0</v>
      </c>
      <c r="R98" s="8">
        <f t="shared" si="21"/>
        <v>0</v>
      </c>
    </row>
    <row r="99" spans="1:18" hidden="1" outlineLevel="1">
      <c r="A99" s="3">
        <f t="shared" si="22"/>
        <v>-26</v>
      </c>
      <c r="B99" s="18">
        <f t="shared" si="23"/>
        <v>0</v>
      </c>
      <c r="C99" s="18">
        <f t="shared" si="24"/>
        <v>0</v>
      </c>
      <c r="D99" s="18">
        <f t="shared" si="14"/>
        <v>0</v>
      </c>
      <c r="E99" s="18">
        <f t="shared" si="15"/>
        <v>0</v>
      </c>
      <c r="F99" s="18">
        <v>0</v>
      </c>
      <c r="G99" s="18">
        <f t="shared" si="16"/>
        <v>0</v>
      </c>
      <c r="H99" s="18">
        <f t="shared" si="19"/>
        <v>0</v>
      </c>
      <c r="I99" s="18">
        <v>0</v>
      </c>
      <c r="J99" s="18">
        <f t="shared" si="17"/>
        <v>0</v>
      </c>
      <c r="K99" s="18">
        <f t="shared" si="18"/>
        <v>0</v>
      </c>
      <c r="L99" s="18">
        <f t="shared" si="20"/>
        <v>0</v>
      </c>
      <c r="M99" s="8">
        <v>0</v>
      </c>
      <c r="N99" s="3">
        <v>0</v>
      </c>
      <c r="O99" s="18">
        <v>0</v>
      </c>
      <c r="P99" s="8">
        <v>0</v>
      </c>
      <c r="Q99" s="8">
        <v>0</v>
      </c>
      <c r="R99" s="8">
        <f t="shared" si="21"/>
        <v>0</v>
      </c>
    </row>
    <row r="100" spans="1:18" hidden="1" outlineLevel="1">
      <c r="A100" s="3">
        <f t="shared" si="22"/>
        <v>-25</v>
      </c>
      <c r="B100" s="18">
        <f t="shared" si="23"/>
        <v>0</v>
      </c>
      <c r="C100" s="18">
        <f t="shared" si="24"/>
        <v>0</v>
      </c>
      <c r="D100" s="18">
        <f t="shared" si="14"/>
        <v>0</v>
      </c>
      <c r="E100" s="18">
        <f t="shared" si="15"/>
        <v>0</v>
      </c>
      <c r="F100" s="18">
        <v>0</v>
      </c>
      <c r="G100" s="18">
        <f t="shared" si="16"/>
        <v>0</v>
      </c>
      <c r="H100" s="18">
        <f t="shared" si="19"/>
        <v>0</v>
      </c>
      <c r="I100" s="18">
        <v>0</v>
      </c>
      <c r="J100" s="18">
        <f t="shared" si="17"/>
        <v>0</v>
      </c>
      <c r="K100" s="18">
        <f t="shared" si="18"/>
        <v>0</v>
      </c>
      <c r="L100" s="18">
        <f t="shared" si="20"/>
        <v>0</v>
      </c>
      <c r="M100" s="8">
        <v>0</v>
      </c>
      <c r="N100" s="3">
        <v>0</v>
      </c>
      <c r="O100" s="18">
        <v>0</v>
      </c>
      <c r="P100" s="8">
        <v>0</v>
      </c>
      <c r="Q100" s="8">
        <v>0</v>
      </c>
      <c r="R100" s="8">
        <f t="shared" si="21"/>
        <v>0</v>
      </c>
    </row>
    <row r="101" spans="1:18" hidden="1" outlineLevel="1">
      <c r="A101" s="3">
        <f t="shared" si="22"/>
        <v>-24</v>
      </c>
      <c r="B101" s="18">
        <f t="shared" si="23"/>
        <v>0</v>
      </c>
      <c r="C101" s="18">
        <f t="shared" si="24"/>
        <v>0</v>
      </c>
      <c r="D101" s="18">
        <f t="shared" si="14"/>
        <v>0</v>
      </c>
      <c r="E101" s="18">
        <f t="shared" si="15"/>
        <v>0</v>
      </c>
      <c r="F101" s="18">
        <v>0</v>
      </c>
      <c r="G101" s="18">
        <f t="shared" si="16"/>
        <v>0</v>
      </c>
      <c r="H101" s="18">
        <f t="shared" si="19"/>
        <v>0</v>
      </c>
      <c r="I101" s="18">
        <v>0</v>
      </c>
      <c r="J101" s="18">
        <f t="shared" si="17"/>
        <v>0</v>
      </c>
      <c r="K101" s="18">
        <f t="shared" si="18"/>
        <v>0</v>
      </c>
      <c r="L101" s="18">
        <f t="shared" si="20"/>
        <v>0</v>
      </c>
      <c r="M101" s="8">
        <v>0</v>
      </c>
      <c r="N101" s="3">
        <v>0</v>
      </c>
      <c r="O101" s="18">
        <v>0</v>
      </c>
      <c r="P101" s="8">
        <v>0</v>
      </c>
      <c r="Q101" s="8">
        <v>0</v>
      </c>
      <c r="R101" s="8">
        <f t="shared" si="21"/>
        <v>0</v>
      </c>
    </row>
    <row r="102" spans="1:18" hidden="1" outlineLevel="1">
      <c r="A102" s="3">
        <f t="shared" si="22"/>
        <v>-23</v>
      </c>
      <c r="B102" s="18">
        <f t="shared" si="23"/>
        <v>0</v>
      </c>
      <c r="C102" s="18">
        <f t="shared" si="24"/>
        <v>0</v>
      </c>
      <c r="D102" s="18">
        <f t="shared" si="14"/>
        <v>0</v>
      </c>
      <c r="E102" s="18">
        <f t="shared" si="15"/>
        <v>0</v>
      </c>
      <c r="F102" s="18">
        <v>0</v>
      </c>
      <c r="G102" s="18">
        <f t="shared" si="16"/>
        <v>0</v>
      </c>
      <c r="H102" s="18">
        <f t="shared" si="19"/>
        <v>0</v>
      </c>
      <c r="I102" s="18">
        <v>0</v>
      </c>
      <c r="J102" s="18">
        <f t="shared" si="17"/>
        <v>0</v>
      </c>
      <c r="K102" s="18">
        <f t="shared" si="18"/>
        <v>0</v>
      </c>
      <c r="L102" s="18">
        <f t="shared" si="20"/>
        <v>0</v>
      </c>
      <c r="M102" s="8">
        <v>0</v>
      </c>
      <c r="N102" s="3">
        <v>0</v>
      </c>
      <c r="O102" s="18">
        <v>0</v>
      </c>
      <c r="P102" s="8">
        <v>0</v>
      </c>
      <c r="Q102" s="8">
        <v>0</v>
      </c>
      <c r="R102" s="8">
        <f t="shared" si="21"/>
        <v>0</v>
      </c>
    </row>
    <row r="103" spans="1:18" hidden="1" outlineLevel="1">
      <c r="A103" s="3">
        <f t="shared" si="22"/>
        <v>-22</v>
      </c>
      <c r="B103" s="18">
        <f t="shared" si="23"/>
        <v>0</v>
      </c>
      <c r="C103" s="18">
        <f t="shared" si="24"/>
        <v>0</v>
      </c>
      <c r="D103" s="18">
        <f t="shared" si="14"/>
        <v>0</v>
      </c>
      <c r="E103" s="18">
        <f t="shared" si="15"/>
        <v>0</v>
      </c>
      <c r="F103" s="18">
        <v>0</v>
      </c>
      <c r="G103" s="18">
        <f t="shared" si="16"/>
        <v>0</v>
      </c>
      <c r="H103" s="18">
        <f t="shared" si="19"/>
        <v>0</v>
      </c>
      <c r="I103" s="18">
        <v>0</v>
      </c>
      <c r="J103" s="18">
        <f t="shared" si="17"/>
        <v>0</v>
      </c>
      <c r="K103" s="18">
        <f t="shared" si="18"/>
        <v>0</v>
      </c>
      <c r="L103" s="18">
        <f t="shared" si="20"/>
        <v>0</v>
      </c>
      <c r="M103" s="8">
        <v>0</v>
      </c>
      <c r="N103" s="3">
        <v>0</v>
      </c>
      <c r="O103" s="18">
        <v>0</v>
      </c>
      <c r="P103" s="8">
        <v>0</v>
      </c>
      <c r="Q103" s="8">
        <v>0</v>
      </c>
      <c r="R103" s="8">
        <f t="shared" si="21"/>
        <v>0</v>
      </c>
    </row>
    <row r="104" spans="1:18" hidden="1" outlineLevel="1">
      <c r="A104" s="3">
        <f t="shared" si="22"/>
        <v>-21</v>
      </c>
      <c r="B104" s="18">
        <f t="shared" si="23"/>
        <v>0</v>
      </c>
      <c r="C104" s="18">
        <f t="shared" si="24"/>
        <v>0</v>
      </c>
      <c r="D104" s="18">
        <f t="shared" si="14"/>
        <v>0</v>
      </c>
      <c r="E104" s="18">
        <f t="shared" si="15"/>
        <v>0</v>
      </c>
      <c r="F104" s="18">
        <v>0</v>
      </c>
      <c r="G104" s="18">
        <f t="shared" si="16"/>
        <v>0</v>
      </c>
      <c r="H104" s="18">
        <f t="shared" si="19"/>
        <v>0</v>
      </c>
      <c r="I104" s="18">
        <v>0</v>
      </c>
      <c r="J104" s="18">
        <f t="shared" si="17"/>
        <v>0</v>
      </c>
      <c r="K104" s="18">
        <f t="shared" si="18"/>
        <v>0</v>
      </c>
      <c r="L104" s="18">
        <f t="shared" si="20"/>
        <v>0</v>
      </c>
      <c r="M104" s="8">
        <v>0</v>
      </c>
      <c r="N104" s="3">
        <v>0</v>
      </c>
      <c r="O104" s="18">
        <v>0</v>
      </c>
      <c r="P104" s="8">
        <v>0</v>
      </c>
      <c r="Q104" s="8">
        <v>0</v>
      </c>
      <c r="R104" s="8">
        <f t="shared" si="21"/>
        <v>0</v>
      </c>
    </row>
    <row r="105" spans="1:18" hidden="1" outlineLevel="1">
      <c r="A105" s="3">
        <f t="shared" si="22"/>
        <v>-20</v>
      </c>
      <c r="B105" s="18">
        <f t="shared" si="23"/>
        <v>0</v>
      </c>
      <c r="C105" s="18">
        <f t="shared" si="24"/>
        <v>0</v>
      </c>
      <c r="D105" s="18">
        <f t="shared" si="14"/>
        <v>0</v>
      </c>
      <c r="E105" s="18">
        <f t="shared" si="15"/>
        <v>0</v>
      </c>
      <c r="F105" s="18">
        <v>0</v>
      </c>
      <c r="G105" s="18">
        <f t="shared" si="16"/>
        <v>0</v>
      </c>
      <c r="H105" s="18">
        <f t="shared" si="19"/>
        <v>0</v>
      </c>
      <c r="I105" s="18">
        <v>0</v>
      </c>
      <c r="J105" s="18">
        <f t="shared" si="17"/>
        <v>0</v>
      </c>
      <c r="K105" s="18">
        <f t="shared" si="18"/>
        <v>0</v>
      </c>
      <c r="L105" s="18">
        <f t="shared" si="20"/>
        <v>0</v>
      </c>
      <c r="M105" s="8">
        <v>0</v>
      </c>
      <c r="N105" s="3">
        <v>0</v>
      </c>
      <c r="O105" s="18">
        <v>0</v>
      </c>
      <c r="P105" s="8">
        <v>0</v>
      </c>
      <c r="Q105" s="8">
        <v>0</v>
      </c>
      <c r="R105" s="8">
        <f t="shared" si="21"/>
        <v>0</v>
      </c>
    </row>
    <row r="106" spans="1:18" hidden="1" outlineLevel="1">
      <c r="A106" s="3">
        <f t="shared" si="22"/>
        <v>-19</v>
      </c>
      <c r="B106" s="18">
        <f t="shared" si="23"/>
        <v>0</v>
      </c>
      <c r="C106" s="18">
        <f t="shared" si="24"/>
        <v>0</v>
      </c>
      <c r="D106" s="18">
        <f t="shared" si="14"/>
        <v>0</v>
      </c>
      <c r="E106" s="18">
        <f t="shared" si="15"/>
        <v>0</v>
      </c>
      <c r="F106" s="18">
        <v>0</v>
      </c>
      <c r="G106" s="18">
        <f t="shared" si="16"/>
        <v>0</v>
      </c>
      <c r="H106" s="18">
        <f t="shared" si="19"/>
        <v>0</v>
      </c>
      <c r="I106" s="18">
        <v>0</v>
      </c>
      <c r="J106" s="18">
        <f t="shared" si="17"/>
        <v>0</v>
      </c>
      <c r="K106" s="18">
        <f t="shared" si="18"/>
        <v>0</v>
      </c>
      <c r="L106" s="18">
        <f t="shared" si="20"/>
        <v>0</v>
      </c>
      <c r="M106" s="8">
        <v>0</v>
      </c>
      <c r="N106" s="3">
        <v>0</v>
      </c>
      <c r="O106" s="18">
        <v>0</v>
      </c>
      <c r="P106" s="8">
        <v>0</v>
      </c>
      <c r="Q106" s="8">
        <v>0</v>
      </c>
      <c r="R106" s="8">
        <f t="shared" si="21"/>
        <v>0</v>
      </c>
    </row>
    <row r="107" spans="1:18" hidden="1" outlineLevel="1">
      <c r="A107" s="3">
        <f t="shared" si="22"/>
        <v>-18</v>
      </c>
      <c r="B107" s="18">
        <f t="shared" si="23"/>
        <v>0</v>
      </c>
      <c r="C107" s="18">
        <f t="shared" si="24"/>
        <v>0</v>
      </c>
      <c r="D107" s="18">
        <f t="shared" si="14"/>
        <v>0</v>
      </c>
      <c r="E107" s="18">
        <f t="shared" si="15"/>
        <v>0</v>
      </c>
      <c r="F107" s="18">
        <v>0</v>
      </c>
      <c r="G107" s="18">
        <f t="shared" si="16"/>
        <v>0</v>
      </c>
      <c r="H107" s="18">
        <f t="shared" si="19"/>
        <v>0</v>
      </c>
      <c r="I107" s="18">
        <v>0</v>
      </c>
      <c r="J107" s="18">
        <f t="shared" si="17"/>
        <v>0</v>
      </c>
      <c r="K107" s="18">
        <f t="shared" si="18"/>
        <v>0</v>
      </c>
      <c r="L107" s="18">
        <f t="shared" si="20"/>
        <v>0</v>
      </c>
      <c r="M107" s="8">
        <v>0</v>
      </c>
      <c r="N107" s="3">
        <v>0</v>
      </c>
      <c r="O107" s="18">
        <v>0</v>
      </c>
      <c r="P107" s="8">
        <v>0</v>
      </c>
      <c r="Q107" s="8">
        <v>0</v>
      </c>
      <c r="R107" s="8">
        <f t="shared" si="21"/>
        <v>0</v>
      </c>
    </row>
    <row r="108" spans="1:18" hidden="1" outlineLevel="1">
      <c r="A108" s="3">
        <f t="shared" si="22"/>
        <v>-17</v>
      </c>
      <c r="B108" s="18">
        <f t="shared" si="23"/>
        <v>0</v>
      </c>
      <c r="C108" s="18">
        <f t="shared" si="24"/>
        <v>0</v>
      </c>
      <c r="D108" s="18">
        <f t="shared" si="14"/>
        <v>0</v>
      </c>
      <c r="E108" s="18">
        <f t="shared" si="15"/>
        <v>0</v>
      </c>
      <c r="F108" s="18">
        <v>0</v>
      </c>
      <c r="G108" s="18">
        <f t="shared" si="16"/>
        <v>0</v>
      </c>
      <c r="H108" s="18">
        <f t="shared" si="19"/>
        <v>0</v>
      </c>
      <c r="I108" s="18">
        <v>0</v>
      </c>
      <c r="J108" s="18">
        <f t="shared" si="17"/>
        <v>0</v>
      </c>
      <c r="K108" s="18">
        <f t="shared" si="18"/>
        <v>0</v>
      </c>
      <c r="L108" s="18">
        <f t="shared" si="20"/>
        <v>0</v>
      </c>
      <c r="M108" s="8">
        <v>0</v>
      </c>
      <c r="N108" s="3">
        <v>0</v>
      </c>
      <c r="O108" s="18">
        <v>0</v>
      </c>
      <c r="P108" s="8">
        <v>0</v>
      </c>
      <c r="Q108" s="8">
        <v>0</v>
      </c>
      <c r="R108" s="8">
        <f t="shared" si="21"/>
        <v>0</v>
      </c>
    </row>
    <row r="109" spans="1:18" hidden="1" outlineLevel="1">
      <c r="A109" s="3">
        <f t="shared" si="22"/>
        <v>-16</v>
      </c>
      <c r="B109" s="18">
        <f t="shared" si="23"/>
        <v>0</v>
      </c>
      <c r="C109" s="18">
        <f t="shared" si="24"/>
        <v>0</v>
      </c>
      <c r="D109" s="18">
        <f t="shared" si="14"/>
        <v>0</v>
      </c>
      <c r="E109" s="18">
        <f t="shared" si="15"/>
        <v>0</v>
      </c>
      <c r="F109" s="18">
        <v>0</v>
      </c>
      <c r="G109" s="18">
        <f t="shared" si="16"/>
        <v>0</v>
      </c>
      <c r="H109" s="18">
        <f t="shared" si="19"/>
        <v>0</v>
      </c>
      <c r="I109" s="18">
        <v>0</v>
      </c>
      <c r="J109" s="18">
        <f t="shared" si="17"/>
        <v>0</v>
      </c>
      <c r="K109" s="18">
        <f t="shared" si="18"/>
        <v>0</v>
      </c>
      <c r="L109" s="18">
        <f t="shared" si="20"/>
        <v>0</v>
      </c>
      <c r="M109" s="8">
        <v>0</v>
      </c>
      <c r="N109" s="3">
        <v>0</v>
      </c>
      <c r="O109" s="18">
        <v>0</v>
      </c>
      <c r="P109" s="8">
        <v>0</v>
      </c>
      <c r="Q109" s="8">
        <v>0</v>
      </c>
      <c r="R109" s="8">
        <f t="shared" si="21"/>
        <v>0</v>
      </c>
    </row>
    <row r="110" spans="1:18" hidden="1" outlineLevel="1">
      <c r="A110" s="3">
        <f t="shared" si="22"/>
        <v>-15</v>
      </c>
      <c r="B110" s="18">
        <f t="shared" si="23"/>
        <v>0</v>
      </c>
      <c r="C110" s="18">
        <f t="shared" si="24"/>
        <v>0</v>
      </c>
      <c r="D110" s="18">
        <f t="shared" si="14"/>
        <v>0</v>
      </c>
      <c r="E110" s="18">
        <f t="shared" si="15"/>
        <v>0</v>
      </c>
      <c r="F110" s="18">
        <v>0</v>
      </c>
      <c r="G110" s="18">
        <f t="shared" si="16"/>
        <v>0</v>
      </c>
      <c r="H110" s="18">
        <f t="shared" si="19"/>
        <v>0</v>
      </c>
      <c r="I110" s="18">
        <v>0</v>
      </c>
      <c r="J110" s="18">
        <f t="shared" si="17"/>
        <v>0</v>
      </c>
      <c r="K110" s="18">
        <f t="shared" si="18"/>
        <v>0</v>
      </c>
      <c r="L110" s="18">
        <f t="shared" si="20"/>
        <v>0</v>
      </c>
      <c r="M110" s="8">
        <v>0</v>
      </c>
      <c r="N110" s="3">
        <v>0</v>
      </c>
      <c r="O110" s="18">
        <v>0</v>
      </c>
      <c r="P110" s="8">
        <v>0</v>
      </c>
      <c r="Q110" s="8">
        <v>0</v>
      </c>
      <c r="R110" s="8">
        <f t="shared" si="21"/>
        <v>0</v>
      </c>
    </row>
    <row r="111" spans="1:18" hidden="1" outlineLevel="1">
      <c r="A111" s="3">
        <f t="shared" si="22"/>
        <v>-14</v>
      </c>
      <c r="B111" s="18">
        <f t="shared" si="23"/>
        <v>0</v>
      </c>
      <c r="C111" s="18">
        <f t="shared" si="24"/>
        <v>0</v>
      </c>
      <c r="D111" s="18">
        <f t="shared" si="14"/>
        <v>0</v>
      </c>
      <c r="E111" s="18">
        <f t="shared" si="15"/>
        <v>0</v>
      </c>
      <c r="F111" s="18">
        <v>0</v>
      </c>
      <c r="G111" s="18">
        <f t="shared" si="16"/>
        <v>0</v>
      </c>
      <c r="H111" s="18">
        <f t="shared" si="19"/>
        <v>0</v>
      </c>
      <c r="I111" s="18">
        <v>0</v>
      </c>
      <c r="J111" s="18">
        <f t="shared" si="17"/>
        <v>0</v>
      </c>
      <c r="K111" s="18">
        <f t="shared" si="18"/>
        <v>0</v>
      </c>
      <c r="L111" s="18">
        <f t="shared" si="20"/>
        <v>0</v>
      </c>
      <c r="M111" s="8">
        <v>0</v>
      </c>
      <c r="N111" s="3">
        <v>0</v>
      </c>
      <c r="O111" s="18">
        <v>0</v>
      </c>
      <c r="P111" s="8">
        <v>0</v>
      </c>
      <c r="Q111" s="8">
        <v>0</v>
      </c>
      <c r="R111" s="8">
        <f t="shared" si="21"/>
        <v>0</v>
      </c>
    </row>
    <row r="112" spans="1:18" hidden="1" outlineLevel="1">
      <c r="A112" s="3">
        <f t="shared" si="22"/>
        <v>-13</v>
      </c>
      <c r="B112" s="18">
        <f t="shared" si="23"/>
        <v>0</v>
      </c>
      <c r="C112" s="18">
        <f t="shared" si="24"/>
        <v>0</v>
      </c>
      <c r="D112" s="18">
        <f t="shared" si="14"/>
        <v>0</v>
      </c>
      <c r="E112" s="18">
        <f t="shared" si="15"/>
        <v>0</v>
      </c>
      <c r="F112" s="18">
        <v>0</v>
      </c>
      <c r="G112" s="18">
        <f t="shared" si="16"/>
        <v>0</v>
      </c>
      <c r="H112" s="18">
        <f t="shared" si="19"/>
        <v>0</v>
      </c>
      <c r="I112" s="18">
        <v>0</v>
      </c>
      <c r="J112" s="18">
        <f t="shared" si="17"/>
        <v>0</v>
      </c>
      <c r="K112" s="18">
        <f t="shared" si="18"/>
        <v>0</v>
      </c>
      <c r="L112" s="18">
        <f t="shared" si="20"/>
        <v>0</v>
      </c>
      <c r="M112" s="8">
        <v>0</v>
      </c>
      <c r="N112" s="3">
        <v>0</v>
      </c>
      <c r="O112" s="18">
        <v>0</v>
      </c>
      <c r="P112" s="8">
        <v>0</v>
      </c>
      <c r="Q112" s="8">
        <v>0</v>
      </c>
      <c r="R112" s="8">
        <f t="shared" si="21"/>
        <v>0</v>
      </c>
    </row>
    <row r="113" spans="1:18" hidden="1" outlineLevel="1">
      <c r="A113" s="3">
        <f t="shared" si="22"/>
        <v>-12</v>
      </c>
      <c r="B113" s="18">
        <f t="shared" si="23"/>
        <v>0</v>
      </c>
      <c r="C113" s="18">
        <f t="shared" si="24"/>
        <v>0</v>
      </c>
      <c r="D113" s="18">
        <f t="shared" si="14"/>
        <v>0</v>
      </c>
      <c r="E113" s="18">
        <f t="shared" si="15"/>
        <v>0</v>
      </c>
      <c r="F113" s="18">
        <v>0</v>
      </c>
      <c r="G113" s="18">
        <f t="shared" si="16"/>
        <v>0</v>
      </c>
      <c r="H113" s="18">
        <f t="shared" si="19"/>
        <v>0</v>
      </c>
      <c r="I113" s="18">
        <v>0</v>
      </c>
      <c r="J113" s="18">
        <f t="shared" si="17"/>
        <v>0</v>
      </c>
      <c r="K113" s="18">
        <f t="shared" si="18"/>
        <v>0</v>
      </c>
      <c r="L113" s="18">
        <f t="shared" si="20"/>
        <v>0</v>
      </c>
      <c r="M113" s="8">
        <v>0</v>
      </c>
      <c r="N113" s="3">
        <v>0</v>
      </c>
      <c r="O113" s="18">
        <v>0</v>
      </c>
      <c r="P113" s="8">
        <v>0</v>
      </c>
      <c r="Q113" s="8">
        <v>0</v>
      </c>
      <c r="R113" s="8">
        <f t="shared" si="21"/>
        <v>0</v>
      </c>
    </row>
    <row r="114" spans="1:18" hidden="1" outlineLevel="1">
      <c r="A114" s="3">
        <f t="shared" si="22"/>
        <v>-11</v>
      </c>
      <c r="B114" s="18">
        <f t="shared" si="23"/>
        <v>0</v>
      </c>
      <c r="C114" s="18">
        <f t="shared" si="24"/>
        <v>0</v>
      </c>
      <c r="D114" s="18">
        <f t="shared" si="14"/>
        <v>0</v>
      </c>
      <c r="E114" s="18">
        <f t="shared" si="15"/>
        <v>0</v>
      </c>
      <c r="F114" s="18">
        <v>0</v>
      </c>
      <c r="G114" s="18">
        <f t="shared" si="16"/>
        <v>0</v>
      </c>
      <c r="H114" s="18">
        <f t="shared" si="19"/>
        <v>0</v>
      </c>
      <c r="I114" s="18">
        <v>0</v>
      </c>
      <c r="J114" s="18">
        <f t="shared" si="17"/>
        <v>0</v>
      </c>
      <c r="K114" s="18">
        <f t="shared" si="18"/>
        <v>0</v>
      </c>
      <c r="L114" s="18">
        <f t="shared" si="20"/>
        <v>0</v>
      </c>
      <c r="M114" s="8">
        <v>0</v>
      </c>
      <c r="N114" s="3">
        <v>0</v>
      </c>
      <c r="O114" s="18">
        <v>0</v>
      </c>
      <c r="P114" s="8">
        <v>0</v>
      </c>
      <c r="Q114" s="8">
        <v>0</v>
      </c>
      <c r="R114" s="8">
        <f t="shared" si="21"/>
        <v>0</v>
      </c>
    </row>
    <row r="115" spans="1:18" hidden="1" outlineLevel="1">
      <c r="A115" s="3">
        <f t="shared" si="22"/>
        <v>-10</v>
      </c>
      <c r="B115" s="18">
        <f t="shared" si="23"/>
        <v>0</v>
      </c>
      <c r="C115" s="18">
        <f t="shared" si="24"/>
        <v>0</v>
      </c>
      <c r="D115" s="18">
        <f t="shared" si="14"/>
        <v>0</v>
      </c>
      <c r="E115" s="18">
        <f t="shared" si="15"/>
        <v>0</v>
      </c>
      <c r="F115" s="18">
        <v>0</v>
      </c>
      <c r="G115" s="18">
        <f t="shared" si="16"/>
        <v>0</v>
      </c>
      <c r="H115" s="18">
        <f t="shared" si="19"/>
        <v>0</v>
      </c>
      <c r="I115" s="18">
        <v>0</v>
      </c>
      <c r="J115" s="18">
        <f t="shared" si="17"/>
        <v>0</v>
      </c>
      <c r="K115" s="18">
        <f t="shared" si="18"/>
        <v>0</v>
      </c>
      <c r="L115" s="18">
        <f t="shared" si="20"/>
        <v>0</v>
      </c>
      <c r="M115" s="8">
        <v>0</v>
      </c>
      <c r="N115" s="3">
        <v>0</v>
      </c>
      <c r="O115" s="18">
        <v>0</v>
      </c>
      <c r="P115" s="8">
        <v>0</v>
      </c>
      <c r="Q115" s="8">
        <v>0</v>
      </c>
      <c r="R115" s="8">
        <f t="shared" si="21"/>
        <v>0</v>
      </c>
    </row>
    <row r="116" spans="1:18" hidden="1" outlineLevel="1">
      <c r="A116" s="3">
        <f t="shared" si="22"/>
        <v>-9</v>
      </c>
      <c r="B116" s="18">
        <f t="shared" si="23"/>
        <v>0</v>
      </c>
      <c r="C116" s="18">
        <f t="shared" si="24"/>
        <v>0</v>
      </c>
      <c r="D116" s="18">
        <f t="shared" si="14"/>
        <v>0</v>
      </c>
      <c r="E116" s="18">
        <f t="shared" si="15"/>
        <v>0</v>
      </c>
      <c r="F116" s="18">
        <v>0</v>
      </c>
      <c r="G116" s="18">
        <f t="shared" si="16"/>
        <v>0</v>
      </c>
      <c r="H116" s="18">
        <f t="shared" si="19"/>
        <v>0</v>
      </c>
      <c r="I116" s="18">
        <v>0</v>
      </c>
      <c r="J116" s="18">
        <f t="shared" si="17"/>
        <v>0</v>
      </c>
      <c r="K116" s="18">
        <f t="shared" si="18"/>
        <v>0</v>
      </c>
      <c r="L116" s="18">
        <f t="shared" si="20"/>
        <v>0</v>
      </c>
      <c r="M116" s="8">
        <v>0</v>
      </c>
      <c r="N116" s="3">
        <v>0</v>
      </c>
      <c r="O116" s="18">
        <v>0</v>
      </c>
      <c r="P116" s="8">
        <v>0</v>
      </c>
      <c r="Q116" s="8">
        <v>0</v>
      </c>
      <c r="R116" s="8">
        <f t="shared" si="21"/>
        <v>0</v>
      </c>
    </row>
    <row r="117" spans="1:18" hidden="1" outlineLevel="1">
      <c r="A117" s="3">
        <f t="shared" si="22"/>
        <v>-8</v>
      </c>
      <c r="B117" s="18">
        <f t="shared" si="23"/>
        <v>0</v>
      </c>
      <c r="C117" s="18">
        <f t="shared" si="24"/>
        <v>0</v>
      </c>
      <c r="D117" s="18">
        <f t="shared" si="14"/>
        <v>0</v>
      </c>
      <c r="E117" s="18">
        <f t="shared" si="15"/>
        <v>0</v>
      </c>
      <c r="F117" s="18">
        <v>0</v>
      </c>
      <c r="G117" s="18">
        <f t="shared" si="16"/>
        <v>0</v>
      </c>
      <c r="H117" s="18">
        <f t="shared" si="19"/>
        <v>0</v>
      </c>
      <c r="I117" s="18">
        <v>0</v>
      </c>
      <c r="J117" s="18">
        <f t="shared" si="17"/>
        <v>0</v>
      </c>
      <c r="K117" s="18">
        <f t="shared" si="18"/>
        <v>0</v>
      </c>
      <c r="L117" s="18">
        <f t="shared" si="20"/>
        <v>0</v>
      </c>
      <c r="M117" s="8">
        <v>0</v>
      </c>
      <c r="N117" s="3">
        <v>0</v>
      </c>
      <c r="O117" s="18">
        <v>0</v>
      </c>
      <c r="P117" s="8">
        <v>0</v>
      </c>
      <c r="Q117" s="8">
        <v>0</v>
      </c>
      <c r="R117" s="8">
        <f t="shared" si="21"/>
        <v>0</v>
      </c>
    </row>
    <row r="118" spans="1:18" hidden="1" outlineLevel="1">
      <c r="A118" s="3">
        <f t="shared" ref="A118:A126" si="25">A117+1</f>
        <v>-7</v>
      </c>
      <c r="B118" s="18">
        <f t="shared" si="5"/>
        <v>0</v>
      </c>
      <c r="C118" s="18">
        <f t="shared" si="6"/>
        <v>0</v>
      </c>
      <c r="D118" s="18">
        <f t="shared" si="14"/>
        <v>0</v>
      </c>
      <c r="E118" s="18">
        <f t="shared" si="15"/>
        <v>0</v>
      </c>
      <c r="F118" s="18">
        <v>0</v>
      </c>
      <c r="G118" s="18">
        <f t="shared" si="16"/>
        <v>0</v>
      </c>
      <c r="H118" s="18">
        <f t="shared" si="19"/>
        <v>0</v>
      </c>
      <c r="I118" s="18">
        <v>0</v>
      </c>
      <c r="J118" s="18">
        <f t="shared" si="17"/>
        <v>0</v>
      </c>
      <c r="K118" s="18">
        <f t="shared" si="18"/>
        <v>0</v>
      </c>
      <c r="L118" s="18">
        <f t="shared" si="20"/>
        <v>0</v>
      </c>
      <c r="M118" s="8">
        <v>0</v>
      </c>
      <c r="N118" s="3">
        <v>0</v>
      </c>
      <c r="O118" s="18">
        <v>0</v>
      </c>
      <c r="P118" s="8">
        <v>0</v>
      </c>
      <c r="Q118" s="8">
        <v>0</v>
      </c>
      <c r="R118" s="8">
        <f t="shared" si="21"/>
        <v>0</v>
      </c>
    </row>
    <row r="119" spans="1:18" hidden="1" outlineLevel="1">
      <c r="A119" s="3">
        <f t="shared" si="25"/>
        <v>-6</v>
      </c>
      <c r="B119" s="18">
        <f t="shared" si="5"/>
        <v>0</v>
      </c>
      <c r="C119" s="18">
        <f t="shared" si="6"/>
        <v>0</v>
      </c>
      <c r="D119" s="18">
        <f t="shared" si="14"/>
        <v>0</v>
      </c>
      <c r="E119" s="18">
        <f t="shared" si="15"/>
        <v>0</v>
      </c>
      <c r="F119" s="18">
        <v>0</v>
      </c>
      <c r="G119" s="18">
        <f t="shared" si="16"/>
        <v>0</v>
      </c>
      <c r="H119" s="18">
        <f t="shared" si="19"/>
        <v>0</v>
      </c>
      <c r="I119" s="18">
        <v>0</v>
      </c>
      <c r="J119" s="18">
        <f t="shared" si="17"/>
        <v>0</v>
      </c>
      <c r="K119" s="18">
        <f t="shared" si="18"/>
        <v>0</v>
      </c>
      <c r="L119" s="18">
        <f t="shared" si="20"/>
        <v>0</v>
      </c>
      <c r="M119" s="8">
        <v>0</v>
      </c>
      <c r="N119" s="3">
        <v>0</v>
      </c>
      <c r="O119" s="18">
        <v>0</v>
      </c>
      <c r="P119" s="8">
        <v>0</v>
      </c>
      <c r="Q119" s="8">
        <v>0</v>
      </c>
      <c r="R119" s="8">
        <f t="shared" si="21"/>
        <v>0</v>
      </c>
    </row>
    <row r="120" spans="1:18" hidden="1" outlineLevel="1">
      <c r="A120" s="3">
        <f t="shared" si="25"/>
        <v>-5</v>
      </c>
      <c r="B120" s="18">
        <f t="shared" si="5"/>
        <v>0</v>
      </c>
      <c r="C120" s="18">
        <f t="shared" si="6"/>
        <v>0</v>
      </c>
      <c r="D120" s="18">
        <f t="shared" si="14"/>
        <v>0</v>
      </c>
      <c r="E120" s="18">
        <f t="shared" si="15"/>
        <v>0</v>
      </c>
      <c r="F120" s="18">
        <v>0</v>
      </c>
      <c r="G120" s="18">
        <f t="shared" si="16"/>
        <v>0</v>
      </c>
      <c r="H120" s="18">
        <f t="shared" si="19"/>
        <v>0</v>
      </c>
      <c r="I120" s="18">
        <v>0</v>
      </c>
      <c r="J120" s="18">
        <f t="shared" si="17"/>
        <v>0</v>
      </c>
      <c r="K120" s="18">
        <f t="shared" si="18"/>
        <v>0</v>
      </c>
      <c r="L120" s="18">
        <f t="shared" si="20"/>
        <v>0</v>
      </c>
      <c r="M120" s="8">
        <v>0</v>
      </c>
      <c r="N120" s="3">
        <v>0</v>
      </c>
      <c r="O120" s="18">
        <v>0</v>
      </c>
      <c r="P120" s="8">
        <v>0</v>
      </c>
      <c r="Q120" s="8">
        <v>0</v>
      </c>
      <c r="R120" s="8">
        <f t="shared" si="21"/>
        <v>0</v>
      </c>
    </row>
    <row r="121" spans="1:18" hidden="1" outlineLevel="1">
      <c r="A121" s="3">
        <f t="shared" si="25"/>
        <v>-4</v>
      </c>
      <c r="B121" s="18">
        <f t="shared" si="5"/>
        <v>0</v>
      </c>
      <c r="C121" s="18">
        <f t="shared" si="6"/>
        <v>0</v>
      </c>
      <c r="D121" s="18">
        <f t="shared" si="14"/>
        <v>0</v>
      </c>
      <c r="E121" s="18">
        <f t="shared" si="15"/>
        <v>0</v>
      </c>
      <c r="F121" s="18">
        <v>0</v>
      </c>
      <c r="G121" s="18">
        <f t="shared" si="16"/>
        <v>0</v>
      </c>
      <c r="H121" s="18">
        <f t="shared" si="19"/>
        <v>0</v>
      </c>
      <c r="I121" s="18">
        <v>0</v>
      </c>
      <c r="J121" s="18">
        <f t="shared" si="17"/>
        <v>0</v>
      </c>
      <c r="K121" s="18">
        <f t="shared" si="18"/>
        <v>0</v>
      </c>
      <c r="L121" s="18">
        <f t="shared" si="20"/>
        <v>0</v>
      </c>
      <c r="M121" s="8">
        <v>0</v>
      </c>
      <c r="N121" s="3">
        <v>0</v>
      </c>
      <c r="O121" s="18">
        <v>0</v>
      </c>
      <c r="P121" s="8">
        <v>0</v>
      </c>
      <c r="Q121" s="8">
        <v>0</v>
      </c>
      <c r="R121" s="8">
        <f t="shared" si="21"/>
        <v>0</v>
      </c>
    </row>
    <row r="122" spans="1:18" hidden="1" outlineLevel="1">
      <c r="A122" s="3">
        <f t="shared" si="25"/>
        <v>-3</v>
      </c>
      <c r="B122" s="18">
        <f t="shared" si="5"/>
        <v>0</v>
      </c>
      <c r="C122" s="18">
        <f t="shared" si="6"/>
        <v>0</v>
      </c>
      <c r="D122" s="18">
        <f t="shared" si="14"/>
        <v>0</v>
      </c>
      <c r="E122" s="18">
        <f t="shared" si="15"/>
        <v>0</v>
      </c>
      <c r="F122" s="18">
        <v>0</v>
      </c>
      <c r="G122" s="18">
        <f t="shared" si="16"/>
        <v>0</v>
      </c>
      <c r="H122" s="18">
        <f t="shared" si="19"/>
        <v>0</v>
      </c>
      <c r="I122" s="18">
        <v>0</v>
      </c>
      <c r="J122" s="18">
        <f t="shared" si="17"/>
        <v>0</v>
      </c>
      <c r="K122" s="18">
        <f t="shared" si="18"/>
        <v>0</v>
      </c>
      <c r="L122" s="18">
        <f t="shared" si="20"/>
        <v>0</v>
      </c>
      <c r="M122" s="8">
        <v>0</v>
      </c>
      <c r="N122" s="3">
        <v>0</v>
      </c>
      <c r="O122" s="18">
        <v>0</v>
      </c>
      <c r="P122" s="8">
        <v>0</v>
      </c>
      <c r="Q122" s="8">
        <v>0</v>
      </c>
      <c r="R122" s="8">
        <f t="shared" si="21"/>
        <v>0</v>
      </c>
    </row>
    <row r="123" spans="1:18" hidden="1" outlineLevel="1">
      <c r="A123" s="3">
        <f t="shared" si="25"/>
        <v>-2</v>
      </c>
      <c r="B123" s="18">
        <f t="shared" si="5"/>
        <v>0</v>
      </c>
      <c r="C123" s="18">
        <f t="shared" si="6"/>
        <v>0</v>
      </c>
      <c r="D123" s="18">
        <f t="shared" si="14"/>
        <v>0</v>
      </c>
      <c r="E123" s="18">
        <f t="shared" si="15"/>
        <v>0</v>
      </c>
      <c r="F123" s="18">
        <v>0</v>
      </c>
      <c r="G123" s="18">
        <f t="shared" si="16"/>
        <v>0</v>
      </c>
      <c r="H123" s="18">
        <f t="shared" si="19"/>
        <v>0</v>
      </c>
      <c r="I123" s="18">
        <v>0</v>
      </c>
      <c r="J123" s="18">
        <f t="shared" si="17"/>
        <v>0</v>
      </c>
      <c r="K123" s="18">
        <f t="shared" si="18"/>
        <v>0</v>
      </c>
      <c r="L123" s="18">
        <f t="shared" si="20"/>
        <v>0</v>
      </c>
      <c r="M123" s="8">
        <v>0</v>
      </c>
      <c r="N123" s="3">
        <v>0</v>
      </c>
      <c r="O123" s="18">
        <v>0</v>
      </c>
      <c r="P123" s="8">
        <v>0</v>
      </c>
      <c r="Q123" s="8">
        <v>0</v>
      </c>
      <c r="R123" s="8">
        <f t="shared" si="21"/>
        <v>0</v>
      </c>
    </row>
    <row r="124" spans="1:18" hidden="1" outlineLevel="1">
      <c r="A124" s="3">
        <f t="shared" si="25"/>
        <v>-1</v>
      </c>
      <c r="B124" s="18">
        <f t="shared" si="5"/>
        <v>0</v>
      </c>
      <c r="C124" s="18">
        <f t="shared" si="6"/>
        <v>0</v>
      </c>
      <c r="D124" s="18">
        <f t="shared" si="14"/>
        <v>0</v>
      </c>
      <c r="E124" s="18">
        <f t="shared" si="15"/>
        <v>0</v>
      </c>
      <c r="F124" s="18">
        <v>0</v>
      </c>
      <c r="G124" s="18">
        <f t="shared" si="16"/>
        <v>0</v>
      </c>
      <c r="H124" s="18">
        <f t="shared" si="19"/>
        <v>0</v>
      </c>
      <c r="I124" s="18">
        <v>0</v>
      </c>
      <c r="J124" s="18">
        <f t="shared" si="17"/>
        <v>0</v>
      </c>
      <c r="K124" s="18">
        <f t="shared" si="18"/>
        <v>0</v>
      </c>
      <c r="L124" s="18">
        <f t="shared" si="20"/>
        <v>0</v>
      </c>
      <c r="M124" s="8">
        <v>0</v>
      </c>
      <c r="N124" s="3">
        <v>0</v>
      </c>
      <c r="O124" s="18">
        <v>0</v>
      </c>
      <c r="P124" s="8">
        <v>0</v>
      </c>
      <c r="Q124" s="8">
        <v>0</v>
      </c>
      <c r="R124" s="8">
        <f t="shared" si="21"/>
        <v>0</v>
      </c>
    </row>
    <row r="125" spans="1:18" collapsed="1">
      <c r="A125" s="2">
        <f t="shared" si="25"/>
        <v>0</v>
      </c>
      <c r="B125" s="19">
        <f t="shared" si="5"/>
        <v>0</v>
      </c>
      <c r="C125" s="19">
        <f t="shared" si="6"/>
        <v>0</v>
      </c>
      <c r="D125" s="19">
        <f t="shared" si="14"/>
        <v>0</v>
      </c>
      <c r="E125" s="19">
        <f t="shared" si="15"/>
        <v>56.6</v>
      </c>
      <c r="F125" s="19">
        <f t="shared" ref="F125:F188" ca="1" si="26">OFFSET(E125,-mu_L,0)</f>
        <v>56.6</v>
      </c>
      <c r="G125" s="19">
        <f t="shared" ca="1" si="16"/>
        <v>56.6</v>
      </c>
      <c r="H125" s="19">
        <f>D125+E125</f>
        <v>56.6</v>
      </c>
      <c r="I125" s="19">
        <v>0</v>
      </c>
      <c r="J125" s="19">
        <f t="shared" ca="1" si="17"/>
        <v>56.6</v>
      </c>
      <c r="K125" s="19">
        <f t="shared" ca="1" si="18"/>
        <v>0</v>
      </c>
      <c r="L125" s="19">
        <f t="shared" ca="1" si="20"/>
        <v>56.6</v>
      </c>
      <c r="M125" s="9">
        <v>0</v>
      </c>
      <c r="N125" s="2">
        <v>0</v>
      </c>
      <c r="O125" s="19">
        <v>0</v>
      </c>
      <c r="P125" s="9">
        <v>0</v>
      </c>
      <c r="Q125" s="9">
        <v>0</v>
      </c>
      <c r="R125" s="9">
        <f t="shared" si="21"/>
        <v>0</v>
      </c>
    </row>
    <row r="126" spans="1:18">
      <c r="A126" s="1">
        <f t="shared" si="25"/>
        <v>1</v>
      </c>
      <c r="B126" s="13">
        <f ca="1">J125</f>
        <v>56.6</v>
      </c>
      <c r="C126" s="13">
        <f ca="1">K125</f>
        <v>0</v>
      </c>
      <c r="D126" s="13">
        <f t="shared" ca="1" si="14"/>
        <v>56.6</v>
      </c>
      <c r="E126" s="13">
        <f ca="1">IF(MOD(A126,RP)=0,IF(D126&lt;=ROP,MAX(MOQ,BSL-D126),0),0)</f>
        <v>0</v>
      </c>
      <c r="F126" s="13">
        <f ca="1">OFFSET(E126,-mu_L,0)</f>
        <v>0</v>
      </c>
      <c r="G126" s="13">
        <f t="shared" ca="1" si="16"/>
        <v>56.6</v>
      </c>
      <c r="H126" s="13">
        <f ca="1">D126+E126</f>
        <v>56.6</v>
      </c>
      <c r="I126" s="13">
        <v>42.659000214174498</v>
      </c>
      <c r="J126" s="13">
        <f t="shared" ca="1" si="17"/>
        <v>13.940999785825504</v>
      </c>
      <c r="K126" s="13">
        <f t="shared" ca="1" si="18"/>
        <v>0</v>
      </c>
      <c r="L126" s="13">
        <f t="shared" ca="1" si="20"/>
        <v>13.940999785825504</v>
      </c>
      <c r="M126" s="7">
        <f t="shared" ref="M126:M189" ca="1" si="27">h*MAX(J126,0)</f>
        <v>2.5093799614485905</v>
      </c>
      <c r="N126" s="1">
        <f t="shared" ref="N126:N189" ca="1" si="28">IF(J126&lt;0,1,0)</f>
        <v>0</v>
      </c>
      <c r="O126" s="13">
        <f t="shared" ref="O126:O189" ca="1" si="29">IF(J126&lt;0,-J126+MIN(0,G126),0)</f>
        <v>0</v>
      </c>
      <c r="P126" s="28">
        <f t="shared" ref="P126:P189" ca="1" si="30">p*MAX(-J126,0)</f>
        <v>0</v>
      </c>
      <c r="Q126" s="28">
        <f t="shared" ref="Q126:Q189" ca="1" si="31">IF(E126&gt;0,K,0)</f>
        <v>0</v>
      </c>
      <c r="R126" s="28">
        <f t="shared" ca="1" si="21"/>
        <v>2.5093799614485905</v>
      </c>
    </row>
    <row r="127" spans="1:18">
      <c r="A127" s="1">
        <f t="shared" ref="A127:A135" si="32">A126+1</f>
        <v>2</v>
      </c>
      <c r="B127" s="13">
        <f t="shared" ref="B127:B135" ca="1" si="33">J126</f>
        <v>13.940999785825504</v>
      </c>
      <c r="C127" s="13">
        <f t="shared" ref="C127:C135" ca="1" si="34">K126</f>
        <v>0</v>
      </c>
      <c r="D127" s="13">
        <f t="shared" ca="1" si="14"/>
        <v>13.940999785825504</v>
      </c>
      <c r="E127" s="13">
        <f t="shared" ref="E127:E189" ca="1" si="35">IF(MOD(A127,RP)=0,IF(D127&lt;=ROP,MAX(MOQ,BSL-D127),0),0)</f>
        <v>42.659000214174498</v>
      </c>
      <c r="F127" s="13">
        <f t="shared" ca="1" si="26"/>
        <v>42.659000214174498</v>
      </c>
      <c r="G127" s="13">
        <f t="shared" ca="1" si="16"/>
        <v>56.6</v>
      </c>
      <c r="H127" s="13">
        <f t="shared" ref="H127:H190" ca="1" si="36">D127+E127</f>
        <v>56.6</v>
      </c>
      <c r="I127" s="13">
        <v>51.71791172476</v>
      </c>
      <c r="J127" s="13">
        <f t="shared" ca="1" si="17"/>
        <v>4.882088275240001</v>
      </c>
      <c r="K127" s="13">
        <f t="shared" ca="1" si="18"/>
        <v>0</v>
      </c>
      <c r="L127" s="13">
        <f t="shared" ca="1" si="20"/>
        <v>4.882088275240001</v>
      </c>
      <c r="M127" s="7">
        <f t="shared" ca="1" si="27"/>
        <v>0.87877588954320018</v>
      </c>
      <c r="N127" s="1">
        <f t="shared" ca="1" si="28"/>
        <v>0</v>
      </c>
      <c r="O127" s="13">
        <f t="shared" ca="1" si="29"/>
        <v>0</v>
      </c>
      <c r="P127" s="28">
        <f t="shared" ca="1" si="30"/>
        <v>0</v>
      </c>
      <c r="Q127" s="28">
        <f t="shared" ca="1" si="31"/>
        <v>0</v>
      </c>
      <c r="R127" s="28">
        <f t="shared" ca="1" si="21"/>
        <v>0.87877588954320018</v>
      </c>
    </row>
    <row r="128" spans="1:18">
      <c r="A128" s="1">
        <f t="shared" si="32"/>
        <v>3</v>
      </c>
      <c r="B128" s="13">
        <f t="shared" ca="1" si="33"/>
        <v>4.882088275240001</v>
      </c>
      <c r="C128" s="13">
        <f t="shared" ca="1" si="34"/>
        <v>0</v>
      </c>
      <c r="D128" s="13">
        <f t="shared" ca="1" si="14"/>
        <v>4.882088275240001</v>
      </c>
      <c r="E128" s="13">
        <f t="shared" ca="1" si="35"/>
        <v>51.71791172476</v>
      </c>
      <c r="F128" s="13">
        <f t="shared" ca="1" si="26"/>
        <v>51.71791172476</v>
      </c>
      <c r="G128" s="13">
        <f t="shared" ca="1" si="16"/>
        <v>56.6</v>
      </c>
      <c r="H128" s="13">
        <f t="shared" ca="1" si="36"/>
        <v>56.6</v>
      </c>
      <c r="I128" s="13">
        <v>73.352327242050393</v>
      </c>
      <c r="J128" s="13">
        <f t="shared" ca="1" si="17"/>
        <v>-16.752327242050391</v>
      </c>
      <c r="K128" s="13">
        <f t="shared" ca="1" si="18"/>
        <v>0</v>
      </c>
      <c r="L128" s="13">
        <f t="shared" ca="1" si="20"/>
        <v>-16.752327242050391</v>
      </c>
      <c r="M128" s="7">
        <f t="shared" ca="1" si="27"/>
        <v>0</v>
      </c>
      <c r="N128" s="1">
        <f t="shared" ca="1" si="28"/>
        <v>1</v>
      </c>
      <c r="O128" s="13">
        <f t="shared" ca="1" si="29"/>
        <v>16.752327242050391</v>
      </c>
      <c r="P128" s="28">
        <f t="shared" ca="1" si="30"/>
        <v>11.726629069435273</v>
      </c>
      <c r="Q128" s="28">
        <f t="shared" ca="1" si="31"/>
        <v>0</v>
      </c>
      <c r="R128" s="28">
        <f t="shared" ca="1" si="21"/>
        <v>11.726629069435273</v>
      </c>
    </row>
    <row r="129" spans="1:18">
      <c r="A129" s="1">
        <f t="shared" si="32"/>
        <v>4</v>
      </c>
      <c r="B129" s="13">
        <f t="shared" ca="1" si="33"/>
        <v>-16.752327242050391</v>
      </c>
      <c r="C129" s="13">
        <f t="shared" ca="1" si="34"/>
        <v>0</v>
      </c>
      <c r="D129" s="13">
        <f t="shared" ca="1" si="14"/>
        <v>-16.752327242050391</v>
      </c>
      <c r="E129" s="13">
        <f t="shared" ca="1" si="35"/>
        <v>73.352327242050393</v>
      </c>
      <c r="F129" s="13">
        <f t="shared" ca="1" si="26"/>
        <v>73.352327242050393</v>
      </c>
      <c r="G129" s="13">
        <f t="shared" ca="1" si="16"/>
        <v>56.6</v>
      </c>
      <c r="H129" s="13">
        <f t="shared" ca="1" si="36"/>
        <v>56.6</v>
      </c>
      <c r="I129" s="13">
        <v>59.484813293847402</v>
      </c>
      <c r="J129" s="13">
        <f t="shared" ca="1" si="17"/>
        <v>-2.8848132938474009</v>
      </c>
      <c r="K129" s="13">
        <f t="shared" ca="1" si="18"/>
        <v>0</v>
      </c>
      <c r="L129" s="13">
        <f t="shared" ca="1" si="20"/>
        <v>-2.8848132938474009</v>
      </c>
      <c r="M129" s="7">
        <f t="shared" ca="1" si="27"/>
        <v>0</v>
      </c>
      <c r="N129" s="1">
        <f t="shared" ca="1" si="28"/>
        <v>1</v>
      </c>
      <c r="O129" s="13">
        <f t="shared" ca="1" si="29"/>
        <v>2.8848132938474009</v>
      </c>
      <c r="P129" s="28">
        <f t="shared" ca="1" si="30"/>
        <v>2.0193693056931807</v>
      </c>
      <c r="Q129" s="28">
        <f t="shared" ca="1" si="31"/>
        <v>0</v>
      </c>
      <c r="R129" s="28">
        <f t="shared" ca="1" si="21"/>
        <v>2.0193693056931807</v>
      </c>
    </row>
    <row r="130" spans="1:18">
      <c r="A130" s="1">
        <f t="shared" si="32"/>
        <v>5</v>
      </c>
      <c r="B130" s="13">
        <f ca="1">J129</f>
        <v>-2.8848132938474009</v>
      </c>
      <c r="C130" s="13">
        <f ca="1">K129</f>
        <v>0</v>
      </c>
      <c r="D130" s="13">
        <f t="shared" ca="1" si="14"/>
        <v>-2.8848132938474009</v>
      </c>
      <c r="E130" s="13">
        <f t="shared" ca="1" si="35"/>
        <v>59.484813293847402</v>
      </c>
      <c r="F130" s="13">
        <f ca="1">OFFSET(E130,-mu_L,0)</f>
        <v>59.484813293847402</v>
      </c>
      <c r="G130" s="13">
        <f t="shared" ca="1" si="16"/>
        <v>56.6</v>
      </c>
      <c r="H130" s="13">
        <f t="shared" ca="1" si="36"/>
        <v>56.6</v>
      </c>
      <c r="I130" s="13">
        <v>39.3608835344181</v>
      </c>
      <c r="J130" s="13">
        <f t="shared" ca="1" si="17"/>
        <v>17.239116465581901</v>
      </c>
      <c r="K130" s="13">
        <f t="shared" ca="1" si="18"/>
        <v>0</v>
      </c>
      <c r="L130" s="13">
        <f t="shared" ca="1" si="20"/>
        <v>17.239116465581901</v>
      </c>
      <c r="M130" s="7">
        <f t="shared" ca="1" si="27"/>
        <v>3.1030409638047423</v>
      </c>
      <c r="N130" s="1">
        <f t="shared" ca="1" si="28"/>
        <v>0</v>
      </c>
      <c r="O130" s="13">
        <f t="shared" ca="1" si="29"/>
        <v>0</v>
      </c>
      <c r="P130" s="28">
        <f t="shared" ca="1" si="30"/>
        <v>0</v>
      </c>
      <c r="Q130" s="28">
        <f t="shared" ca="1" si="31"/>
        <v>0</v>
      </c>
      <c r="R130" s="28">
        <f t="shared" ca="1" si="21"/>
        <v>3.1030409638047423</v>
      </c>
    </row>
    <row r="131" spans="1:18">
      <c r="A131" s="1">
        <f t="shared" si="32"/>
        <v>6</v>
      </c>
      <c r="B131" s="13">
        <f t="shared" ca="1" si="33"/>
        <v>17.239116465581901</v>
      </c>
      <c r="C131" s="13">
        <f t="shared" ca="1" si="34"/>
        <v>0</v>
      </c>
      <c r="D131" s="13">
        <f t="shared" ca="1" si="14"/>
        <v>17.239116465581901</v>
      </c>
      <c r="E131" s="13">
        <f t="shared" ca="1" si="35"/>
        <v>39.3608835344181</v>
      </c>
      <c r="F131" s="13">
        <f t="shared" ca="1" si="26"/>
        <v>39.3608835344181</v>
      </c>
      <c r="G131" s="13">
        <f t="shared" ca="1" si="16"/>
        <v>56.6</v>
      </c>
      <c r="H131" s="13">
        <f t="shared" ca="1" si="36"/>
        <v>56.6</v>
      </c>
      <c r="I131" s="13">
        <v>51.225096661830797</v>
      </c>
      <c r="J131" s="13">
        <f t="shared" ca="1" si="17"/>
        <v>5.3749033381692044</v>
      </c>
      <c r="K131" s="13">
        <f t="shared" ca="1" si="18"/>
        <v>0</v>
      </c>
      <c r="L131" s="13">
        <f t="shared" ca="1" si="20"/>
        <v>5.3749033381692044</v>
      </c>
      <c r="M131" s="7">
        <f t="shared" ca="1" si="27"/>
        <v>0.96748260087045679</v>
      </c>
      <c r="N131" s="1">
        <f t="shared" ca="1" si="28"/>
        <v>0</v>
      </c>
      <c r="O131" s="13">
        <f t="shared" ca="1" si="29"/>
        <v>0</v>
      </c>
      <c r="P131" s="28">
        <f t="shared" ca="1" si="30"/>
        <v>0</v>
      </c>
      <c r="Q131" s="28">
        <f t="shared" ca="1" si="31"/>
        <v>0</v>
      </c>
      <c r="R131" s="28">
        <f t="shared" ca="1" si="21"/>
        <v>0.96748260087045679</v>
      </c>
    </row>
    <row r="132" spans="1:18">
      <c r="A132" s="1">
        <f t="shared" si="32"/>
        <v>7</v>
      </c>
      <c r="B132" s="13">
        <f t="shared" ca="1" si="33"/>
        <v>5.3749033381692044</v>
      </c>
      <c r="C132" s="13">
        <f t="shared" ca="1" si="34"/>
        <v>0</v>
      </c>
      <c r="D132" s="13">
        <f t="shared" ca="1" si="14"/>
        <v>5.3749033381692044</v>
      </c>
      <c r="E132" s="13">
        <f t="shared" ca="1" si="35"/>
        <v>51.225096661830797</v>
      </c>
      <c r="F132" s="13">
        <f t="shared" ca="1" si="26"/>
        <v>51.225096661830797</v>
      </c>
      <c r="G132" s="13">
        <f t="shared" ca="1" si="16"/>
        <v>56.6</v>
      </c>
      <c r="H132" s="13">
        <f t="shared" ca="1" si="36"/>
        <v>56.6</v>
      </c>
      <c r="I132" s="13">
        <v>57.103320420793303</v>
      </c>
      <c r="J132" s="13">
        <f t="shared" ca="1" si="17"/>
        <v>-0.50332042079330108</v>
      </c>
      <c r="K132" s="13">
        <f t="shared" ca="1" si="18"/>
        <v>0</v>
      </c>
      <c r="L132" s="13">
        <f t="shared" ca="1" si="20"/>
        <v>-0.50332042079330108</v>
      </c>
      <c r="M132" s="7">
        <f t="shared" ca="1" si="27"/>
        <v>0</v>
      </c>
      <c r="N132" s="1">
        <f t="shared" ca="1" si="28"/>
        <v>1</v>
      </c>
      <c r="O132" s="13">
        <f t="shared" ca="1" si="29"/>
        <v>0.50332042079330108</v>
      </c>
      <c r="P132" s="28">
        <f t="shared" ca="1" si="30"/>
        <v>0.35232429455531072</v>
      </c>
      <c r="Q132" s="28">
        <f t="shared" ca="1" si="31"/>
        <v>0</v>
      </c>
      <c r="R132" s="28">
        <f t="shared" ca="1" si="21"/>
        <v>0.35232429455531072</v>
      </c>
    </row>
    <row r="133" spans="1:18">
      <c r="A133" s="1">
        <f t="shared" si="32"/>
        <v>8</v>
      </c>
      <c r="B133" s="13">
        <f t="shared" ca="1" si="33"/>
        <v>-0.50332042079330108</v>
      </c>
      <c r="C133" s="13">
        <f t="shared" ca="1" si="34"/>
        <v>0</v>
      </c>
      <c r="D133" s="13">
        <f t="shared" ca="1" si="14"/>
        <v>-0.50332042079330108</v>
      </c>
      <c r="E133" s="13">
        <f t="shared" ca="1" si="35"/>
        <v>57.103320420793303</v>
      </c>
      <c r="F133" s="13">
        <f t="shared" ca="1" si="26"/>
        <v>57.103320420793303</v>
      </c>
      <c r="G133" s="13">
        <f t="shared" ca="1" si="16"/>
        <v>56.6</v>
      </c>
      <c r="H133" s="13">
        <f t="shared" ca="1" si="36"/>
        <v>56.6</v>
      </c>
      <c r="I133" s="13">
        <v>44.160984229923201</v>
      </c>
      <c r="J133" s="13">
        <f t="shared" ca="1" si="17"/>
        <v>12.4390157700768</v>
      </c>
      <c r="K133" s="13">
        <f t="shared" ca="1" si="18"/>
        <v>0</v>
      </c>
      <c r="L133" s="13">
        <f t="shared" ca="1" si="20"/>
        <v>12.4390157700768</v>
      </c>
      <c r="M133" s="7">
        <f t="shared" ca="1" si="27"/>
        <v>2.239022838613824</v>
      </c>
      <c r="N133" s="1">
        <f t="shared" ca="1" si="28"/>
        <v>0</v>
      </c>
      <c r="O133" s="13">
        <f t="shared" ca="1" si="29"/>
        <v>0</v>
      </c>
      <c r="P133" s="28">
        <f t="shared" ca="1" si="30"/>
        <v>0</v>
      </c>
      <c r="Q133" s="28">
        <f t="shared" ca="1" si="31"/>
        <v>0</v>
      </c>
      <c r="R133" s="28">
        <f t="shared" ca="1" si="21"/>
        <v>2.239022838613824</v>
      </c>
    </row>
    <row r="134" spans="1:18">
      <c r="A134" s="1">
        <f t="shared" si="32"/>
        <v>9</v>
      </c>
      <c r="B134" s="13">
        <f t="shared" ca="1" si="33"/>
        <v>12.4390157700768</v>
      </c>
      <c r="C134" s="13">
        <f t="shared" ca="1" si="34"/>
        <v>0</v>
      </c>
      <c r="D134" s="13">
        <f t="shared" ca="1" si="14"/>
        <v>12.4390157700768</v>
      </c>
      <c r="E134" s="13">
        <f t="shared" ca="1" si="35"/>
        <v>44.160984229923201</v>
      </c>
      <c r="F134" s="13">
        <f t="shared" ca="1" si="26"/>
        <v>44.160984229923201</v>
      </c>
      <c r="G134" s="13">
        <f t="shared" ca="1" si="16"/>
        <v>56.6</v>
      </c>
      <c r="H134" s="13">
        <f t="shared" ca="1" si="36"/>
        <v>56.6</v>
      </c>
      <c r="I134" s="13">
        <v>46.559953854499803</v>
      </c>
      <c r="J134" s="13">
        <f t="shared" ca="1" si="17"/>
        <v>10.040046145500199</v>
      </c>
      <c r="K134" s="13">
        <f t="shared" ca="1" si="18"/>
        <v>0</v>
      </c>
      <c r="L134" s="13">
        <f t="shared" ca="1" si="20"/>
        <v>10.040046145500199</v>
      </c>
      <c r="M134" s="7">
        <f t="shared" ca="1" si="27"/>
        <v>1.8072083061900357</v>
      </c>
      <c r="N134" s="1">
        <f t="shared" ca="1" si="28"/>
        <v>0</v>
      </c>
      <c r="O134" s="13">
        <f t="shared" ca="1" si="29"/>
        <v>0</v>
      </c>
      <c r="P134" s="28">
        <f t="shared" ca="1" si="30"/>
        <v>0</v>
      </c>
      <c r="Q134" s="28">
        <f t="shared" ca="1" si="31"/>
        <v>0</v>
      </c>
      <c r="R134" s="28">
        <f t="shared" ca="1" si="21"/>
        <v>1.8072083061900357</v>
      </c>
    </row>
    <row r="135" spans="1:18">
      <c r="A135" s="1">
        <f t="shared" si="32"/>
        <v>10</v>
      </c>
      <c r="B135" s="13">
        <f t="shared" ca="1" si="33"/>
        <v>10.040046145500199</v>
      </c>
      <c r="C135" s="13">
        <f t="shared" ca="1" si="34"/>
        <v>0</v>
      </c>
      <c r="D135" s="13">
        <f t="shared" ca="1" si="14"/>
        <v>10.040046145500199</v>
      </c>
      <c r="E135" s="13">
        <f t="shared" ca="1" si="35"/>
        <v>46.559953854499803</v>
      </c>
      <c r="F135" s="13">
        <f t="shared" ca="1" si="26"/>
        <v>46.559953854499803</v>
      </c>
      <c r="G135" s="13">
        <f t="shared" ca="1" si="16"/>
        <v>56.6</v>
      </c>
      <c r="H135" s="13">
        <f t="shared" ca="1" si="36"/>
        <v>56.6</v>
      </c>
      <c r="I135" s="13">
        <v>50.9351662468993</v>
      </c>
      <c r="J135" s="13">
        <f t="shared" ca="1" si="17"/>
        <v>5.6648337531007016</v>
      </c>
      <c r="K135" s="13">
        <f t="shared" ca="1" si="18"/>
        <v>0</v>
      </c>
      <c r="L135" s="13">
        <f t="shared" ca="1" si="20"/>
        <v>5.6648337531007016</v>
      </c>
      <c r="M135" s="7">
        <f t="shared" ca="1" si="27"/>
        <v>1.0196700755581263</v>
      </c>
      <c r="N135" s="1">
        <f t="shared" ca="1" si="28"/>
        <v>0</v>
      </c>
      <c r="O135" s="13">
        <f t="shared" ca="1" si="29"/>
        <v>0</v>
      </c>
      <c r="P135" s="28">
        <f t="shared" ca="1" si="30"/>
        <v>0</v>
      </c>
      <c r="Q135" s="28">
        <f t="shared" ca="1" si="31"/>
        <v>0</v>
      </c>
      <c r="R135" s="28">
        <f t="shared" ca="1" si="21"/>
        <v>1.0196700755581263</v>
      </c>
    </row>
    <row r="136" spans="1:18">
      <c r="A136" s="1">
        <f t="shared" ref="A136:A199" si="37">A135+1</f>
        <v>11</v>
      </c>
      <c r="B136" s="13">
        <f t="shared" ref="B136:B199" ca="1" si="38">J135</f>
        <v>5.6648337531007016</v>
      </c>
      <c r="C136" s="13">
        <f t="shared" ref="C136:C199" ca="1" si="39">K135</f>
        <v>0</v>
      </c>
      <c r="D136" s="13">
        <f t="shared" ca="1" si="14"/>
        <v>5.6648337531007016</v>
      </c>
      <c r="E136" s="13">
        <f t="shared" ca="1" si="35"/>
        <v>50.9351662468993</v>
      </c>
      <c r="F136" s="13">
        <f t="shared" ca="1" si="26"/>
        <v>50.9351662468993</v>
      </c>
      <c r="G136" s="13">
        <f t="shared" ca="1" si="16"/>
        <v>56.6</v>
      </c>
      <c r="H136" s="13">
        <f t="shared" ca="1" si="36"/>
        <v>56.6</v>
      </c>
      <c r="I136" s="13">
        <v>44.789652499540097</v>
      </c>
      <c r="J136" s="13">
        <f t="shared" ca="1" si="17"/>
        <v>11.810347500459905</v>
      </c>
      <c r="K136" s="13">
        <f t="shared" ca="1" si="18"/>
        <v>0</v>
      </c>
      <c r="L136" s="13">
        <f t="shared" ca="1" si="20"/>
        <v>11.810347500459905</v>
      </c>
      <c r="M136" s="7">
        <f t="shared" ca="1" si="27"/>
        <v>2.1258625500827826</v>
      </c>
      <c r="N136" s="1">
        <f t="shared" ca="1" si="28"/>
        <v>0</v>
      </c>
      <c r="O136" s="13">
        <f t="shared" ca="1" si="29"/>
        <v>0</v>
      </c>
      <c r="P136" s="28">
        <f t="shared" ca="1" si="30"/>
        <v>0</v>
      </c>
      <c r="Q136" s="28">
        <f t="shared" ca="1" si="31"/>
        <v>0</v>
      </c>
      <c r="R136" s="28">
        <f t="shared" ca="1" si="21"/>
        <v>2.1258625500827826</v>
      </c>
    </row>
    <row r="137" spans="1:18">
      <c r="A137" s="1">
        <f t="shared" si="37"/>
        <v>12</v>
      </c>
      <c r="B137" s="13">
        <f t="shared" ca="1" si="38"/>
        <v>11.810347500459905</v>
      </c>
      <c r="C137" s="13">
        <f t="shared" ca="1" si="39"/>
        <v>0</v>
      </c>
      <c r="D137" s="13">
        <f t="shared" ca="1" si="14"/>
        <v>11.810347500459905</v>
      </c>
      <c r="E137" s="13">
        <f t="shared" ca="1" si="35"/>
        <v>44.789652499540097</v>
      </c>
      <c r="F137" s="13">
        <f t="shared" ca="1" si="26"/>
        <v>44.789652499540097</v>
      </c>
      <c r="G137" s="13">
        <f t="shared" ca="1" si="16"/>
        <v>56.6</v>
      </c>
      <c r="H137" s="13">
        <f t="shared" ca="1" si="36"/>
        <v>56.6</v>
      </c>
      <c r="I137" s="13">
        <v>59.107339178391598</v>
      </c>
      <c r="J137" s="13">
        <f t="shared" ca="1" si="17"/>
        <v>-2.5073391783915966</v>
      </c>
      <c r="K137" s="13">
        <f t="shared" ca="1" si="18"/>
        <v>0</v>
      </c>
      <c r="L137" s="13">
        <f t="shared" ca="1" si="20"/>
        <v>-2.5073391783915966</v>
      </c>
      <c r="M137" s="7">
        <f t="shared" ca="1" si="27"/>
        <v>0</v>
      </c>
      <c r="N137" s="1">
        <f t="shared" ca="1" si="28"/>
        <v>1</v>
      </c>
      <c r="O137" s="13">
        <f t="shared" ca="1" si="29"/>
        <v>2.5073391783915966</v>
      </c>
      <c r="P137" s="28">
        <f t="shared" ca="1" si="30"/>
        <v>1.7551374248741174</v>
      </c>
      <c r="Q137" s="28">
        <f t="shared" ca="1" si="31"/>
        <v>0</v>
      </c>
      <c r="R137" s="28">
        <f t="shared" ca="1" si="21"/>
        <v>1.7551374248741174</v>
      </c>
    </row>
    <row r="138" spans="1:18">
      <c r="A138" s="1">
        <f t="shared" si="37"/>
        <v>13</v>
      </c>
      <c r="B138" s="13">
        <f t="shared" ca="1" si="38"/>
        <v>-2.5073391783915966</v>
      </c>
      <c r="C138" s="13">
        <f t="shared" ca="1" si="39"/>
        <v>0</v>
      </c>
      <c r="D138" s="13">
        <f t="shared" ca="1" si="14"/>
        <v>-2.5073391783915966</v>
      </c>
      <c r="E138" s="13">
        <f t="shared" ca="1" si="35"/>
        <v>59.107339178391598</v>
      </c>
      <c r="F138" s="13">
        <f t="shared" ca="1" si="26"/>
        <v>59.107339178391598</v>
      </c>
      <c r="G138" s="13">
        <f t="shared" ca="1" si="16"/>
        <v>56.6</v>
      </c>
      <c r="H138" s="13">
        <f t="shared" ca="1" si="36"/>
        <v>56.6</v>
      </c>
      <c r="I138" s="13">
        <v>56.7680466812077</v>
      </c>
      <c r="J138" s="13">
        <f t="shared" ca="1" si="17"/>
        <v>-0.16804668120769861</v>
      </c>
      <c r="K138" s="13">
        <f t="shared" ca="1" si="18"/>
        <v>0</v>
      </c>
      <c r="L138" s="13">
        <f t="shared" ca="1" si="20"/>
        <v>-0.16804668120769861</v>
      </c>
      <c r="M138" s="7">
        <f t="shared" ca="1" si="27"/>
        <v>0</v>
      </c>
      <c r="N138" s="1">
        <f t="shared" ca="1" si="28"/>
        <v>1</v>
      </c>
      <c r="O138" s="13">
        <f t="shared" ca="1" si="29"/>
        <v>0.16804668120769861</v>
      </c>
      <c r="P138" s="28">
        <f t="shared" ca="1" si="30"/>
        <v>0.11763267684538901</v>
      </c>
      <c r="Q138" s="28">
        <f t="shared" ca="1" si="31"/>
        <v>0</v>
      </c>
      <c r="R138" s="28">
        <f t="shared" ca="1" si="21"/>
        <v>0.11763267684538901</v>
      </c>
    </row>
    <row r="139" spans="1:18">
      <c r="A139" s="1">
        <f t="shared" si="37"/>
        <v>14</v>
      </c>
      <c r="B139" s="13">
        <f t="shared" ca="1" si="38"/>
        <v>-0.16804668120769861</v>
      </c>
      <c r="C139" s="13">
        <f t="shared" ca="1" si="39"/>
        <v>0</v>
      </c>
      <c r="D139" s="13">
        <f t="shared" ca="1" si="14"/>
        <v>-0.16804668120769861</v>
      </c>
      <c r="E139" s="13">
        <f t="shared" ca="1" si="35"/>
        <v>56.7680466812077</v>
      </c>
      <c r="F139" s="13">
        <f t="shared" ca="1" si="26"/>
        <v>56.7680466812077</v>
      </c>
      <c r="G139" s="13">
        <f t="shared" ca="1" si="16"/>
        <v>56.6</v>
      </c>
      <c r="H139" s="13">
        <f t="shared" ca="1" si="36"/>
        <v>56.6</v>
      </c>
      <c r="I139" s="13">
        <v>56.5089781921426</v>
      </c>
      <c r="J139" s="13">
        <f t="shared" ca="1" si="17"/>
        <v>9.1021807857401882E-2</v>
      </c>
      <c r="K139" s="13">
        <f t="shared" ca="1" si="18"/>
        <v>0</v>
      </c>
      <c r="L139" s="13">
        <f t="shared" ca="1" si="20"/>
        <v>9.1021807857401882E-2</v>
      </c>
      <c r="M139" s="7">
        <f t="shared" ca="1" si="27"/>
        <v>1.638392541433234E-2</v>
      </c>
      <c r="N139" s="1">
        <f t="shared" ca="1" si="28"/>
        <v>0</v>
      </c>
      <c r="O139" s="13">
        <f t="shared" ca="1" si="29"/>
        <v>0</v>
      </c>
      <c r="P139" s="28">
        <f t="shared" ca="1" si="30"/>
        <v>0</v>
      </c>
      <c r="Q139" s="28">
        <f t="shared" ca="1" si="31"/>
        <v>0</v>
      </c>
      <c r="R139" s="28">
        <f t="shared" ca="1" si="21"/>
        <v>1.638392541433234E-2</v>
      </c>
    </row>
    <row r="140" spans="1:18">
      <c r="A140" s="1">
        <f t="shared" si="37"/>
        <v>15</v>
      </c>
      <c r="B140" s="13">
        <f t="shared" ca="1" si="38"/>
        <v>9.1021807857401882E-2</v>
      </c>
      <c r="C140" s="13">
        <f t="shared" ca="1" si="39"/>
        <v>0</v>
      </c>
      <c r="D140" s="13">
        <f t="shared" ca="1" si="14"/>
        <v>9.1021807857401882E-2</v>
      </c>
      <c r="E140" s="13">
        <f t="shared" ca="1" si="35"/>
        <v>56.5089781921426</v>
      </c>
      <c r="F140" s="13">
        <f t="shared" ca="1" si="26"/>
        <v>56.5089781921426</v>
      </c>
      <c r="G140" s="13">
        <f t="shared" ca="1" si="16"/>
        <v>56.6</v>
      </c>
      <c r="H140" s="13">
        <f t="shared" ca="1" si="36"/>
        <v>56.6</v>
      </c>
      <c r="I140" s="13">
        <v>39.167360520997001</v>
      </c>
      <c r="J140" s="13">
        <f t="shared" ca="1" si="17"/>
        <v>17.432639479003001</v>
      </c>
      <c r="K140" s="13">
        <f t="shared" ca="1" si="18"/>
        <v>0</v>
      </c>
      <c r="L140" s="13">
        <f t="shared" ca="1" si="20"/>
        <v>17.432639479003001</v>
      </c>
      <c r="M140" s="7">
        <f t="shared" ca="1" si="27"/>
        <v>3.1378751062205401</v>
      </c>
      <c r="N140" s="1">
        <f t="shared" ca="1" si="28"/>
        <v>0</v>
      </c>
      <c r="O140" s="13">
        <f t="shared" ca="1" si="29"/>
        <v>0</v>
      </c>
      <c r="P140" s="28">
        <f t="shared" ca="1" si="30"/>
        <v>0</v>
      </c>
      <c r="Q140" s="28">
        <f t="shared" ca="1" si="31"/>
        <v>0</v>
      </c>
      <c r="R140" s="28">
        <f t="shared" ca="1" si="21"/>
        <v>3.1378751062205401</v>
      </c>
    </row>
    <row r="141" spans="1:18">
      <c r="A141" s="1">
        <f t="shared" si="37"/>
        <v>16</v>
      </c>
      <c r="B141" s="13">
        <f t="shared" ca="1" si="38"/>
        <v>17.432639479003001</v>
      </c>
      <c r="C141" s="13">
        <f t="shared" ca="1" si="39"/>
        <v>0</v>
      </c>
      <c r="D141" s="13">
        <f t="shared" ca="1" si="14"/>
        <v>17.432639479003001</v>
      </c>
      <c r="E141" s="13">
        <f t="shared" ca="1" si="35"/>
        <v>39.167360520997001</v>
      </c>
      <c r="F141" s="13">
        <f t="shared" ca="1" si="26"/>
        <v>39.167360520997001</v>
      </c>
      <c r="G141" s="13">
        <f t="shared" ca="1" si="16"/>
        <v>56.6</v>
      </c>
      <c r="H141" s="13">
        <f t="shared" ca="1" si="36"/>
        <v>56.6</v>
      </c>
      <c r="I141" s="13">
        <v>59.399376271197099</v>
      </c>
      <c r="J141" s="13">
        <f t="shared" ca="1" si="17"/>
        <v>-2.7993762711970973</v>
      </c>
      <c r="K141" s="13">
        <f t="shared" ca="1" si="18"/>
        <v>0</v>
      </c>
      <c r="L141" s="13">
        <f t="shared" ca="1" si="20"/>
        <v>-2.7993762711970973</v>
      </c>
      <c r="M141" s="7">
        <f t="shared" ca="1" si="27"/>
        <v>0</v>
      </c>
      <c r="N141" s="1">
        <f t="shared" ca="1" si="28"/>
        <v>1</v>
      </c>
      <c r="O141" s="13">
        <f t="shared" ca="1" si="29"/>
        <v>2.7993762711970973</v>
      </c>
      <c r="P141" s="28">
        <f t="shared" ca="1" si="30"/>
        <v>1.9595633898379681</v>
      </c>
      <c r="Q141" s="28">
        <f t="shared" ca="1" si="31"/>
        <v>0</v>
      </c>
      <c r="R141" s="28">
        <f t="shared" ca="1" si="21"/>
        <v>1.9595633898379681</v>
      </c>
    </row>
    <row r="142" spans="1:18">
      <c r="A142" s="1">
        <f t="shared" si="37"/>
        <v>17</v>
      </c>
      <c r="B142" s="13">
        <f t="shared" ca="1" si="38"/>
        <v>-2.7993762711970973</v>
      </c>
      <c r="C142" s="13">
        <f t="shared" ca="1" si="39"/>
        <v>0</v>
      </c>
      <c r="D142" s="13">
        <f t="shared" ca="1" si="14"/>
        <v>-2.7993762711970973</v>
      </c>
      <c r="E142" s="13">
        <f t="shared" ca="1" si="35"/>
        <v>59.399376271197099</v>
      </c>
      <c r="F142" s="13">
        <f t="shared" ca="1" si="26"/>
        <v>59.399376271197099</v>
      </c>
      <c r="G142" s="13">
        <f t="shared" ca="1" si="16"/>
        <v>56.6</v>
      </c>
      <c r="H142" s="13">
        <f t="shared" ca="1" si="36"/>
        <v>56.6</v>
      </c>
      <c r="I142" s="13">
        <v>32.053254740255703</v>
      </c>
      <c r="J142" s="13">
        <f t="shared" ca="1" si="17"/>
        <v>24.546745259744299</v>
      </c>
      <c r="K142" s="13">
        <f t="shared" ca="1" si="18"/>
        <v>0</v>
      </c>
      <c r="L142" s="13">
        <f t="shared" ca="1" si="20"/>
        <v>24.546745259744299</v>
      </c>
      <c r="M142" s="7">
        <f t="shared" ca="1" si="27"/>
        <v>4.4184141467539737</v>
      </c>
      <c r="N142" s="1">
        <f t="shared" ca="1" si="28"/>
        <v>0</v>
      </c>
      <c r="O142" s="13">
        <f t="shared" ca="1" si="29"/>
        <v>0</v>
      </c>
      <c r="P142" s="28">
        <f t="shared" ca="1" si="30"/>
        <v>0</v>
      </c>
      <c r="Q142" s="28">
        <f t="shared" ca="1" si="31"/>
        <v>0</v>
      </c>
      <c r="R142" s="28">
        <f t="shared" ca="1" si="21"/>
        <v>4.4184141467539737</v>
      </c>
    </row>
    <row r="143" spans="1:18">
      <c r="A143" s="1">
        <f t="shared" si="37"/>
        <v>18</v>
      </c>
      <c r="B143" s="13">
        <f t="shared" ca="1" si="38"/>
        <v>24.546745259744299</v>
      </c>
      <c r="C143" s="13">
        <f t="shared" ca="1" si="39"/>
        <v>0</v>
      </c>
      <c r="D143" s="13">
        <f t="shared" ca="1" si="14"/>
        <v>24.546745259744299</v>
      </c>
      <c r="E143" s="13">
        <f t="shared" ca="1" si="35"/>
        <v>32.053254740255703</v>
      </c>
      <c r="F143" s="13">
        <f t="shared" ca="1" si="26"/>
        <v>32.053254740255703</v>
      </c>
      <c r="G143" s="13">
        <f t="shared" ca="1" si="16"/>
        <v>56.6</v>
      </c>
      <c r="H143" s="13">
        <f t="shared" ca="1" si="36"/>
        <v>56.6</v>
      </c>
      <c r="I143" s="13">
        <v>39.203049381637797</v>
      </c>
      <c r="J143" s="13">
        <f t="shared" ca="1" si="17"/>
        <v>17.396950618362204</v>
      </c>
      <c r="K143" s="13">
        <f t="shared" ca="1" si="18"/>
        <v>0</v>
      </c>
      <c r="L143" s="13">
        <f t="shared" ca="1" si="20"/>
        <v>17.396950618362204</v>
      </c>
      <c r="M143" s="7">
        <f t="shared" ca="1" si="27"/>
        <v>3.1314511113051968</v>
      </c>
      <c r="N143" s="1">
        <f t="shared" ca="1" si="28"/>
        <v>0</v>
      </c>
      <c r="O143" s="13">
        <f t="shared" ca="1" si="29"/>
        <v>0</v>
      </c>
      <c r="P143" s="28">
        <f t="shared" ca="1" si="30"/>
        <v>0</v>
      </c>
      <c r="Q143" s="28">
        <f t="shared" ca="1" si="31"/>
        <v>0</v>
      </c>
      <c r="R143" s="28">
        <f t="shared" ca="1" si="21"/>
        <v>3.1314511113051968</v>
      </c>
    </row>
    <row r="144" spans="1:18">
      <c r="A144" s="1">
        <f t="shared" si="37"/>
        <v>19</v>
      </c>
      <c r="B144" s="13">
        <f t="shared" ca="1" si="38"/>
        <v>17.396950618362204</v>
      </c>
      <c r="C144" s="13">
        <f t="shared" ca="1" si="39"/>
        <v>0</v>
      </c>
      <c r="D144" s="13">
        <f t="shared" ca="1" si="14"/>
        <v>17.396950618362204</v>
      </c>
      <c r="E144" s="13">
        <f t="shared" ca="1" si="35"/>
        <v>39.203049381637797</v>
      </c>
      <c r="F144" s="13">
        <f t="shared" ca="1" si="26"/>
        <v>39.203049381637797</v>
      </c>
      <c r="G144" s="13">
        <f t="shared" ca="1" si="16"/>
        <v>56.6</v>
      </c>
      <c r="H144" s="13">
        <f t="shared" ca="1" si="36"/>
        <v>56.6</v>
      </c>
      <c r="I144" s="13">
        <v>58.2897035037821</v>
      </c>
      <c r="J144" s="13">
        <f t="shared" ca="1" si="17"/>
        <v>-1.6897035037820984</v>
      </c>
      <c r="K144" s="13">
        <f t="shared" ca="1" si="18"/>
        <v>0</v>
      </c>
      <c r="L144" s="13">
        <f t="shared" ca="1" si="20"/>
        <v>-1.6897035037820984</v>
      </c>
      <c r="M144" s="7">
        <f t="shared" ca="1" si="27"/>
        <v>0</v>
      </c>
      <c r="N144" s="1">
        <f t="shared" ca="1" si="28"/>
        <v>1</v>
      </c>
      <c r="O144" s="13">
        <f t="shared" ca="1" si="29"/>
        <v>1.6897035037820984</v>
      </c>
      <c r="P144" s="28">
        <f t="shared" ca="1" si="30"/>
        <v>1.1827924526474689</v>
      </c>
      <c r="Q144" s="28">
        <f t="shared" ca="1" si="31"/>
        <v>0</v>
      </c>
      <c r="R144" s="28">
        <f t="shared" ca="1" si="21"/>
        <v>1.1827924526474689</v>
      </c>
    </row>
    <row r="145" spans="1:18">
      <c r="A145" s="1">
        <f t="shared" si="37"/>
        <v>20</v>
      </c>
      <c r="B145" s="13">
        <f t="shared" ca="1" si="38"/>
        <v>-1.6897035037820984</v>
      </c>
      <c r="C145" s="13">
        <f t="shared" ca="1" si="39"/>
        <v>0</v>
      </c>
      <c r="D145" s="13">
        <f t="shared" ca="1" si="14"/>
        <v>-1.6897035037820984</v>
      </c>
      <c r="E145" s="13">
        <f t="shared" ca="1" si="35"/>
        <v>58.2897035037821</v>
      </c>
      <c r="F145" s="13">
        <f t="shared" ca="1" si="26"/>
        <v>58.2897035037821</v>
      </c>
      <c r="G145" s="13">
        <f t="shared" ca="1" si="16"/>
        <v>56.6</v>
      </c>
      <c r="H145" s="13">
        <f t="shared" ca="1" si="36"/>
        <v>56.6</v>
      </c>
      <c r="I145" s="13">
        <v>63.312515313002002</v>
      </c>
      <c r="J145" s="13">
        <f t="shared" ca="1" si="17"/>
        <v>-6.712515313002001</v>
      </c>
      <c r="K145" s="13">
        <f t="shared" ca="1" si="18"/>
        <v>0</v>
      </c>
      <c r="L145" s="13">
        <f t="shared" ca="1" si="20"/>
        <v>-6.712515313002001</v>
      </c>
      <c r="M145" s="7">
        <f t="shared" ca="1" si="27"/>
        <v>0</v>
      </c>
      <c r="N145" s="1">
        <f t="shared" ca="1" si="28"/>
        <v>1</v>
      </c>
      <c r="O145" s="13">
        <f t="shared" ca="1" si="29"/>
        <v>6.712515313002001</v>
      </c>
      <c r="P145" s="28">
        <f t="shared" ca="1" si="30"/>
        <v>4.6987607191014007</v>
      </c>
      <c r="Q145" s="28">
        <f t="shared" ca="1" si="31"/>
        <v>0</v>
      </c>
      <c r="R145" s="28">
        <f t="shared" ca="1" si="21"/>
        <v>4.6987607191014007</v>
      </c>
    </row>
    <row r="146" spans="1:18">
      <c r="A146" s="1">
        <f t="shared" si="37"/>
        <v>21</v>
      </c>
      <c r="B146" s="13">
        <f t="shared" ca="1" si="38"/>
        <v>-6.712515313002001</v>
      </c>
      <c r="C146" s="13">
        <f t="shared" ca="1" si="39"/>
        <v>0</v>
      </c>
      <c r="D146" s="13">
        <f t="shared" ca="1" si="14"/>
        <v>-6.712515313002001</v>
      </c>
      <c r="E146" s="13">
        <f t="shared" ca="1" si="35"/>
        <v>63.312515313002002</v>
      </c>
      <c r="F146" s="13">
        <f t="shared" ca="1" si="26"/>
        <v>63.312515313002002</v>
      </c>
      <c r="G146" s="13">
        <f t="shared" ca="1" si="16"/>
        <v>56.6</v>
      </c>
      <c r="H146" s="13">
        <f t="shared" ca="1" si="36"/>
        <v>56.6</v>
      </c>
      <c r="I146" s="13">
        <v>51.489201079066802</v>
      </c>
      <c r="J146" s="13">
        <f t="shared" ca="1" si="17"/>
        <v>5.110798920933199</v>
      </c>
      <c r="K146" s="13">
        <f t="shared" ca="1" si="18"/>
        <v>0</v>
      </c>
      <c r="L146" s="13">
        <f t="shared" ca="1" si="20"/>
        <v>5.110798920933199</v>
      </c>
      <c r="M146" s="7">
        <f t="shared" ca="1" si="27"/>
        <v>0.91994380576797574</v>
      </c>
      <c r="N146" s="1">
        <f t="shared" ca="1" si="28"/>
        <v>0</v>
      </c>
      <c r="O146" s="13">
        <f t="shared" ca="1" si="29"/>
        <v>0</v>
      </c>
      <c r="P146" s="28">
        <f t="shared" ca="1" si="30"/>
        <v>0</v>
      </c>
      <c r="Q146" s="28">
        <f t="shared" ca="1" si="31"/>
        <v>0</v>
      </c>
      <c r="R146" s="28">
        <f t="shared" ca="1" si="21"/>
        <v>0.91994380576797574</v>
      </c>
    </row>
    <row r="147" spans="1:18">
      <c r="A147" s="1">
        <f t="shared" si="37"/>
        <v>22</v>
      </c>
      <c r="B147" s="13">
        <f t="shared" ca="1" si="38"/>
        <v>5.110798920933199</v>
      </c>
      <c r="C147" s="13">
        <f t="shared" ca="1" si="39"/>
        <v>0</v>
      </c>
      <c r="D147" s="13">
        <f t="shared" ca="1" si="14"/>
        <v>5.110798920933199</v>
      </c>
      <c r="E147" s="13">
        <f t="shared" ca="1" si="35"/>
        <v>51.489201079066802</v>
      </c>
      <c r="F147" s="13">
        <f t="shared" ca="1" si="26"/>
        <v>51.489201079066802</v>
      </c>
      <c r="G147" s="13">
        <f t="shared" ca="1" si="16"/>
        <v>56.6</v>
      </c>
      <c r="H147" s="13">
        <f t="shared" ca="1" si="36"/>
        <v>56.6</v>
      </c>
      <c r="I147" s="13">
        <v>41.721619806417102</v>
      </c>
      <c r="J147" s="13">
        <f t="shared" ca="1" si="17"/>
        <v>14.878380193582899</v>
      </c>
      <c r="K147" s="13">
        <f t="shared" ca="1" si="18"/>
        <v>0</v>
      </c>
      <c r="L147" s="13">
        <f t="shared" ca="1" si="20"/>
        <v>14.878380193582899</v>
      </c>
      <c r="M147" s="7">
        <f t="shared" ca="1" si="27"/>
        <v>2.6781084348449218</v>
      </c>
      <c r="N147" s="1">
        <f t="shared" ca="1" si="28"/>
        <v>0</v>
      </c>
      <c r="O147" s="13">
        <f t="shared" ca="1" si="29"/>
        <v>0</v>
      </c>
      <c r="P147" s="28">
        <f t="shared" ca="1" si="30"/>
        <v>0</v>
      </c>
      <c r="Q147" s="28">
        <f t="shared" ca="1" si="31"/>
        <v>0</v>
      </c>
      <c r="R147" s="28">
        <f t="shared" ca="1" si="21"/>
        <v>2.6781084348449218</v>
      </c>
    </row>
    <row r="148" spans="1:18">
      <c r="A148" s="1">
        <f t="shared" si="37"/>
        <v>23</v>
      </c>
      <c r="B148" s="13">
        <f t="shared" ca="1" si="38"/>
        <v>14.878380193582899</v>
      </c>
      <c r="C148" s="13">
        <f t="shared" ca="1" si="39"/>
        <v>0</v>
      </c>
      <c r="D148" s="13">
        <f t="shared" ca="1" si="14"/>
        <v>14.878380193582899</v>
      </c>
      <c r="E148" s="13">
        <f t="shared" ca="1" si="35"/>
        <v>41.721619806417102</v>
      </c>
      <c r="F148" s="13">
        <f t="shared" ca="1" si="26"/>
        <v>41.721619806417102</v>
      </c>
      <c r="G148" s="13">
        <f t="shared" ca="1" si="16"/>
        <v>56.6</v>
      </c>
      <c r="H148" s="13">
        <f t="shared" ca="1" si="36"/>
        <v>56.6</v>
      </c>
      <c r="I148" s="13">
        <v>59.5365152462537</v>
      </c>
      <c r="J148" s="13">
        <f t="shared" ca="1" si="17"/>
        <v>-2.9365152462536983</v>
      </c>
      <c r="K148" s="13">
        <f t="shared" ca="1" si="18"/>
        <v>0</v>
      </c>
      <c r="L148" s="13">
        <f t="shared" ca="1" si="20"/>
        <v>-2.9365152462536983</v>
      </c>
      <c r="M148" s="7">
        <f t="shared" ca="1" si="27"/>
        <v>0</v>
      </c>
      <c r="N148" s="1">
        <f t="shared" ca="1" si="28"/>
        <v>1</v>
      </c>
      <c r="O148" s="13">
        <f t="shared" ca="1" si="29"/>
        <v>2.9365152462536983</v>
      </c>
      <c r="P148" s="28">
        <f t="shared" ca="1" si="30"/>
        <v>2.0555606723775885</v>
      </c>
      <c r="Q148" s="28">
        <f t="shared" ca="1" si="31"/>
        <v>0</v>
      </c>
      <c r="R148" s="28">
        <f t="shared" ca="1" si="21"/>
        <v>2.0555606723775885</v>
      </c>
    </row>
    <row r="149" spans="1:18">
      <c r="A149" s="1">
        <f t="shared" si="37"/>
        <v>24</v>
      </c>
      <c r="B149" s="13">
        <f t="shared" ca="1" si="38"/>
        <v>-2.9365152462536983</v>
      </c>
      <c r="C149" s="13">
        <f t="shared" ca="1" si="39"/>
        <v>0</v>
      </c>
      <c r="D149" s="13">
        <f t="shared" ca="1" si="14"/>
        <v>-2.9365152462536983</v>
      </c>
      <c r="E149" s="13">
        <f t="shared" ca="1" si="35"/>
        <v>59.5365152462537</v>
      </c>
      <c r="F149" s="13">
        <f t="shared" ca="1" si="26"/>
        <v>59.5365152462537</v>
      </c>
      <c r="G149" s="13">
        <f t="shared" ca="1" si="16"/>
        <v>56.6</v>
      </c>
      <c r="H149" s="13">
        <f t="shared" ca="1" si="36"/>
        <v>56.6</v>
      </c>
      <c r="I149" s="13">
        <v>61.598737305468198</v>
      </c>
      <c r="J149" s="13">
        <f t="shared" ca="1" si="17"/>
        <v>-4.9987373054681967</v>
      </c>
      <c r="K149" s="13">
        <f t="shared" ca="1" si="18"/>
        <v>0</v>
      </c>
      <c r="L149" s="13">
        <f t="shared" ca="1" si="20"/>
        <v>-4.9987373054681967</v>
      </c>
      <c r="M149" s="7">
        <f t="shared" ca="1" si="27"/>
        <v>0</v>
      </c>
      <c r="N149" s="1">
        <f t="shared" ca="1" si="28"/>
        <v>1</v>
      </c>
      <c r="O149" s="13">
        <f t="shared" ca="1" si="29"/>
        <v>4.9987373054681967</v>
      </c>
      <c r="P149" s="28">
        <f t="shared" ca="1" si="30"/>
        <v>3.4991161138277374</v>
      </c>
      <c r="Q149" s="28">
        <f t="shared" ca="1" si="31"/>
        <v>0</v>
      </c>
      <c r="R149" s="28">
        <f t="shared" ca="1" si="21"/>
        <v>3.4991161138277374</v>
      </c>
    </row>
    <row r="150" spans="1:18">
      <c r="A150" s="1">
        <f t="shared" si="37"/>
        <v>25</v>
      </c>
      <c r="B150" s="13">
        <f t="shared" ca="1" si="38"/>
        <v>-4.9987373054681967</v>
      </c>
      <c r="C150" s="13">
        <f t="shared" ca="1" si="39"/>
        <v>0</v>
      </c>
      <c r="D150" s="13">
        <f t="shared" ca="1" si="14"/>
        <v>-4.9987373054681967</v>
      </c>
      <c r="E150" s="13">
        <f t="shared" ca="1" si="35"/>
        <v>61.598737305468198</v>
      </c>
      <c r="F150" s="13">
        <f t="shared" ca="1" si="26"/>
        <v>61.598737305468198</v>
      </c>
      <c r="G150" s="13">
        <f t="shared" ca="1" si="16"/>
        <v>56.6</v>
      </c>
      <c r="H150" s="13">
        <f t="shared" ca="1" si="36"/>
        <v>56.6</v>
      </c>
      <c r="I150" s="13">
        <v>67.731945937921296</v>
      </c>
      <c r="J150" s="13">
        <f t="shared" ca="1" si="17"/>
        <v>-11.131945937921294</v>
      </c>
      <c r="K150" s="13">
        <f t="shared" ca="1" si="18"/>
        <v>0</v>
      </c>
      <c r="L150" s="13">
        <f t="shared" ca="1" si="20"/>
        <v>-11.131945937921294</v>
      </c>
      <c r="M150" s="7">
        <f t="shared" ca="1" si="27"/>
        <v>0</v>
      </c>
      <c r="N150" s="1">
        <f t="shared" ca="1" si="28"/>
        <v>1</v>
      </c>
      <c r="O150" s="13">
        <f t="shared" ca="1" si="29"/>
        <v>11.131945937921294</v>
      </c>
      <c r="P150" s="28">
        <f t="shared" ca="1" si="30"/>
        <v>7.7923621565449057</v>
      </c>
      <c r="Q150" s="28">
        <f t="shared" ca="1" si="31"/>
        <v>0</v>
      </c>
      <c r="R150" s="28">
        <f t="shared" ca="1" si="21"/>
        <v>7.7923621565449057</v>
      </c>
    </row>
    <row r="151" spans="1:18">
      <c r="A151" s="1">
        <f t="shared" si="37"/>
        <v>26</v>
      </c>
      <c r="B151" s="13">
        <f t="shared" ca="1" si="38"/>
        <v>-11.131945937921294</v>
      </c>
      <c r="C151" s="13">
        <f t="shared" ca="1" si="39"/>
        <v>0</v>
      </c>
      <c r="D151" s="13">
        <f t="shared" ca="1" si="14"/>
        <v>-11.131945937921294</v>
      </c>
      <c r="E151" s="13">
        <f t="shared" ca="1" si="35"/>
        <v>67.731945937921296</v>
      </c>
      <c r="F151" s="13">
        <f t="shared" ca="1" si="26"/>
        <v>67.731945937921296</v>
      </c>
      <c r="G151" s="13">
        <f t="shared" ca="1" si="16"/>
        <v>56.6</v>
      </c>
      <c r="H151" s="13">
        <f t="shared" ca="1" si="36"/>
        <v>56.6</v>
      </c>
      <c r="I151" s="13">
        <v>50.438765681109302</v>
      </c>
      <c r="J151" s="13">
        <f t="shared" ca="1" si="17"/>
        <v>6.1612343188906991</v>
      </c>
      <c r="K151" s="13">
        <f t="shared" ca="1" si="18"/>
        <v>0</v>
      </c>
      <c r="L151" s="13">
        <f t="shared" ca="1" si="20"/>
        <v>6.1612343188906991</v>
      </c>
      <c r="M151" s="7">
        <f t="shared" ca="1" si="27"/>
        <v>1.1090221774003257</v>
      </c>
      <c r="N151" s="1">
        <f t="shared" ca="1" si="28"/>
        <v>0</v>
      </c>
      <c r="O151" s="13">
        <f t="shared" ca="1" si="29"/>
        <v>0</v>
      </c>
      <c r="P151" s="28">
        <f t="shared" ca="1" si="30"/>
        <v>0</v>
      </c>
      <c r="Q151" s="28">
        <f t="shared" ca="1" si="31"/>
        <v>0</v>
      </c>
      <c r="R151" s="28">
        <f t="shared" ca="1" si="21"/>
        <v>1.1090221774003257</v>
      </c>
    </row>
    <row r="152" spans="1:18">
      <c r="A152" s="1">
        <f t="shared" si="37"/>
        <v>27</v>
      </c>
      <c r="B152" s="13">
        <f t="shared" ca="1" si="38"/>
        <v>6.1612343188906991</v>
      </c>
      <c r="C152" s="13">
        <f t="shared" ca="1" si="39"/>
        <v>0</v>
      </c>
      <c r="D152" s="13">
        <f t="shared" ca="1" si="14"/>
        <v>6.1612343188906991</v>
      </c>
      <c r="E152" s="13">
        <f t="shared" ca="1" si="35"/>
        <v>50.438765681109302</v>
      </c>
      <c r="F152" s="13">
        <f t="shared" ca="1" si="26"/>
        <v>50.438765681109302</v>
      </c>
      <c r="G152" s="13">
        <f t="shared" ca="1" si="16"/>
        <v>56.6</v>
      </c>
      <c r="H152" s="13">
        <f t="shared" ca="1" si="36"/>
        <v>56.6</v>
      </c>
      <c r="I152" s="13">
        <v>58.981921089905001</v>
      </c>
      <c r="J152" s="13">
        <f t="shared" ca="1" si="17"/>
        <v>-2.3819210899049992</v>
      </c>
      <c r="K152" s="13">
        <f t="shared" ca="1" si="18"/>
        <v>0</v>
      </c>
      <c r="L152" s="13">
        <f t="shared" ca="1" si="20"/>
        <v>-2.3819210899049992</v>
      </c>
      <c r="M152" s="7">
        <f t="shared" ca="1" si="27"/>
        <v>0</v>
      </c>
      <c r="N152" s="1">
        <f t="shared" ca="1" si="28"/>
        <v>1</v>
      </c>
      <c r="O152" s="13">
        <f t="shared" ca="1" si="29"/>
        <v>2.3819210899049992</v>
      </c>
      <c r="P152" s="28">
        <f t="shared" ca="1" si="30"/>
        <v>1.6673447629334994</v>
      </c>
      <c r="Q152" s="28">
        <f t="shared" ca="1" si="31"/>
        <v>0</v>
      </c>
      <c r="R152" s="28">
        <f t="shared" ca="1" si="21"/>
        <v>1.6673447629334994</v>
      </c>
    </row>
    <row r="153" spans="1:18">
      <c r="A153" s="1">
        <f t="shared" si="37"/>
        <v>28</v>
      </c>
      <c r="B153" s="13">
        <f t="shared" ca="1" si="38"/>
        <v>-2.3819210899049992</v>
      </c>
      <c r="C153" s="13">
        <f t="shared" ca="1" si="39"/>
        <v>0</v>
      </c>
      <c r="D153" s="13">
        <f t="shared" ref="D153:D216" ca="1" si="40">B153+C153</f>
        <v>-2.3819210899049992</v>
      </c>
      <c r="E153" s="13">
        <f t="shared" ca="1" si="35"/>
        <v>58.981921089905001</v>
      </c>
      <c r="F153" s="13">
        <f t="shared" ca="1" si="26"/>
        <v>58.981921089905001</v>
      </c>
      <c r="G153" s="13">
        <f t="shared" ref="G153:G216" ca="1" si="41">B153+F153</f>
        <v>56.6</v>
      </c>
      <c r="H153" s="13">
        <f t="shared" ca="1" si="36"/>
        <v>56.6</v>
      </c>
      <c r="I153" s="13">
        <v>66.190815539356393</v>
      </c>
      <c r="J153" s="13">
        <f t="shared" ref="J153:J216" ca="1" si="42">G153-I153</f>
        <v>-9.5908155393563916</v>
      </c>
      <c r="K153" s="13">
        <f t="shared" ref="K153:K216" ca="1" si="43">C153+E153-F153</f>
        <v>0</v>
      </c>
      <c r="L153" s="13">
        <f t="shared" ca="1" si="20"/>
        <v>-9.5908155393563916</v>
      </c>
      <c r="M153" s="7">
        <f t="shared" ca="1" si="27"/>
        <v>0</v>
      </c>
      <c r="N153" s="1">
        <f t="shared" ca="1" si="28"/>
        <v>1</v>
      </c>
      <c r="O153" s="13">
        <f t="shared" ca="1" si="29"/>
        <v>9.5908155393563916</v>
      </c>
      <c r="P153" s="28">
        <f t="shared" ca="1" si="30"/>
        <v>6.7135708775494738</v>
      </c>
      <c r="Q153" s="28">
        <f t="shared" ca="1" si="31"/>
        <v>0</v>
      </c>
      <c r="R153" s="28">
        <f t="shared" ca="1" si="21"/>
        <v>6.7135708775494738</v>
      </c>
    </row>
    <row r="154" spans="1:18">
      <c r="A154" s="1">
        <f t="shared" si="37"/>
        <v>29</v>
      </c>
      <c r="B154" s="13">
        <f t="shared" ca="1" si="38"/>
        <v>-9.5908155393563916</v>
      </c>
      <c r="C154" s="13">
        <f t="shared" ca="1" si="39"/>
        <v>0</v>
      </c>
      <c r="D154" s="13">
        <f t="shared" ca="1" si="40"/>
        <v>-9.5908155393563916</v>
      </c>
      <c r="E154" s="13">
        <f t="shared" ca="1" si="35"/>
        <v>66.190815539356393</v>
      </c>
      <c r="F154" s="13">
        <f t="shared" ca="1" si="26"/>
        <v>66.190815539356393</v>
      </c>
      <c r="G154" s="13">
        <f t="shared" ca="1" si="41"/>
        <v>56.6</v>
      </c>
      <c r="H154" s="13">
        <f t="shared" ca="1" si="36"/>
        <v>56.6</v>
      </c>
      <c r="I154" s="13">
        <v>63.844404125896403</v>
      </c>
      <c r="J154" s="13">
        <f t="shared" ca="1" si="42"/>
        <v>-7.244404125896402</v>
      </c>
      <c r="K154" s="13">
        <f t="shared" ca="1" si="43"/>
        <v>0</v>
      </c>
      <c r="L154" s="13">
        <f t="shared" ref="L154:L217" ca="1" si="44">J154+K154</f>
        <v>-7.244404125896402</v>
      </c>
      <c r="M154" s="7">
        <f t="shared" ca="1" si="27"/>
        <v>0</v>
      </c>
      <c r="N154" s="1">
        <f t="shared" ca="1" si="28"/>
        <v>1</v>
      </c>
      <c r="O154" s="13">
        <f t="shared" ca="1" si="29"/>
        <v>7.244404125896402</v>
      </c>
      <c r="P154" s="28">
        <f t="shared" ca="1" si="30"/>
        <v>5.0710828881274814</v>
      </c>
      <c r="Q154" s="28">
        <f t="shared" ca="1" si="31"/>
        <v>0</v>
      </c>
      <c r="R154" s="28">
        <f t="shared" ref="R154:R217" ca="1" si="45">P154+M154+Q154</f>
        <v>5.0710828881274814</v>
      </c>
    </row>
    <row r="155" spans="1:18">
      <c r="A155" s="1">
        <f t="shared" si="37"/>
        <v>30</v>
      </c>
      <c r="B155" s="13">
        <f t="shared" ca="1" si="38"/>
        <v>-7.244404125896402</v>
      </c>
      <c r="C155" s="13">
        <f t="shared" ca="1" si="39"/>
        <v>0</v>
      </c>
      <c r="D155" s="13">
        <f t="shared" ca="1" si="40"/>
        <v>-7.244404125896402</v>
      </c>
      <c r="E155" s="13">
        <f t="shared" ca="1" si="35"/>
        <v>63.844404125896403</v>
      </c>
      <c r="F155" s="13">
        <f t="shared" ca="1" si="26"/>
        <v>63.844404125896403</v>
      </c>
      <c r="G155" s="13">
        <f t="shared" ca="1" si="41"/>
        <v>56.6</v>
      </c>
      <c r="H155" s="13">
        <f t="shared" ca="1" si="36"/>
        <v>56.6</v>
      </c>
      <c r="I155" s="13">
        <v>50.567153213892396</v>
      </c>
      <c r="J155" s="13">
        <f t="shared" ca="1" si="42"/>
        <v>6.0328467861076049</v>
      </c>
      <c r="K155" s="13">
        <f t="shared" ca="1" si="43"/>
        <v>0</v>
      </c>
      <c r="L155" s="13">
        <f t="shared" ca="1" si="44"/>
        <v>6.0328467861076049</v>
      </c>
      <c r="M155" s="7">
        <f t="shared" ca="1" si="27"/>
        <v>1.085912421499369</v>
      </c>
      <c r="N155" s="1">
        <f t="shared" ca="1" si="28"/>
        <v>0</v>
      </c>
      <c r="O155" s="13">
        <f t="shared" ca="1" si="29"/>
        <v>0</v>
      </c>
      <c r="P155" s="28">
        <f t="shared" ca="1" si="30"/>
        <v>0</v>
      </c>
      <c r="Q155" s="28">
        <f t="shared" ca="1" si="31"/>
        <v>0</v>
      </c>
      <c r="R155" s="28">
        <f t="shared" ca="1" si="45"/>
        <v>1.085912421499369</v>
      </c>
    </row>
    <row r="156" spans="1:18">
      <c r="A156" s="1">
        <f t="shared" si="37"/>
        <v>31</v>
      </c>
      <c r="B156" s="13">
        <f t="shared" ca="1" si="38"/>
        <v>6.0328467861076049</v>
      </c>
      <c r="C156" s="13">
        <f t="shared" ca="1" si="39"/>
        <v>0</v>
      </c>
      <c r="D156" s="13">
        <f t="shared" ca="1" si="40"/>
        <v>6.0328467861076049</v>
      </c>
      <c r="E156" s="13">
        <f t="shared" ca="1" si="35"/>
        <v>50.567153213892396</v>
      </c>
      <c r="F156" s="13">
        <f t="shared" ca="1" si="26"/>
        <v>50.567153213892396</v>
      </c>
      <c r="G156" s="13">
        <f t="shared" ca="1" si="41"/>
        <v>56.6</v>
      </c>
      <c r="H156" s="13">
        <f t="shared" ca="1" si="36"/>
        <v>56.6</v>
      </c>
      <c r="I156" s="13">
        <v>49.733008171690699</v>
      </c>
      <c r="J156" s="13">
        <f t="shared" ca="1" si="42"/>
        <v>6.8669918283093025</v>
      </c>
      <c r="K156" s="13">
        <f t="shared" ca="1" si="43"/>
        <v>0</v>
      </c>
      <c r="L156" s="13">
        <f t="shared" ca="1" si="44"/>
        <v>6.8669918283093025</v>
      </c>
      <c r="M156" s="7">
        <f t="shared" ca="1" si="27"/>
        <v>1.2360585290956745</v>
      </c>
      <c r="N156" s="1">
        <f t="shared" ca="1" si="28"/>
        <v>0</v>
      </c>
      <c r="O156" s="13">
        <f t="shared" ca="1" si="29"/>
        <v>0</v>
      </c>
      <c r="P156" s="28">
        <f t="shared" ca="1" si="30"/>
        <v>0</v>
      </c>
      <c r="Q156" s="28">
        <f t="shared" ca="1" si="31"/>
        <v>0</v>
      </c>
      <c r="R156" s="28">
        <f t="shared" ca="1" si="45"/>
        <v>1.2360585290956745</v>
      </c>
    </row>
    <row r="157" spans="1:18">
      <c r="A157" s="1">
        <f t="shared" si="37"/>
        <v>32</v>
      </c>
      <c r="B157" s="13">
        <f t="shared" ca="1" si="38"/>
        <v>6.8669918283093025</v>
      </c>
      <c r="C157" s="13">
        <f t="shared" ca="1" si="39"/>
        <v>0</v>
      </c>
      <c r="D157" s="13">
        <f t="shared" ca="1" si="40"/>
        <v>6.8669918283093025</v>
      </c>
      <c r="E157" s="13">
        <f t="shared" ca="1" si="35"/>
        <v>49.733008171690699</v>
      </c>
      <c r="F157" s="13">
        <f t="shared" ca="1" si="26"/>
        <v>49.733008171690699</v>
      </c>
      <c r="G157" s="13">
        <f t="shared" ca="1" si="41"/>
        <v>56.6</v>
      </c>
      <c r="H157" s="13">
        <f t="shared" ca="1" si="36"/>
        <v>56.6</v>
      </c>
      <c r="I157" s="13">
        <v>51.321245758480103</v>
      </c>
      <c r="J157" s="13">
        <f t="shared" ca="1" si="42"/>
        <v>5.2787542415198985</v>
      </c>
      <c r="K157" s="13">
        <f t="shared" ca="1" si="43"/>
        <v>0</v>
      </c>
      <c r="L157" s="13">
        <f t="shared" ca="1" si="44"/>
        <v>5.2787542415198985</v>
      </c>
      <c r="M157" s="7">
        <f t="shared" ca="1" si="27"/>
        <v>0.95017576347358168</v>
      </c>
      <c r="N157" s="1">
        <f t="shared" ca="1" si="28"/>
        <v>0</v>
      </c>
      <c r="O157" s="13">
        <f t="shared" ca="1" si="29"/>
        <v>0</v>
      </c>
      <c r="P157" s="28">
        <f t="shared" ca="1" si="30"/>
        <v>0</v>
      </c>
      <c r="Q157" s="28">
        <f t="shared" ca="1" si="31"/>
        <v>0</v>
      </c>
      <c r="R157" s="28">
        <f t="shared" ca="1" si="45"/>
        <v>0.95017576347358168</v>
      </c>
    </row>
    <row r="158" spans="1:18">
      <c r="A158" s="1">
        <f t="shared" si="37"/>
        <v>33</v>
      </c>
      <c r="B158" s="13">
        <f t="shared" ca="1" si="38"/>
        <v>5.2787542415198985</v>
      </c>
      <c r="C158" s="13">
        <f t="shared" ca="1" si="39"/>
        <v>0</v>
      </c>
      <c r="D158" s="13">
        <f t="shared" ca="1" si="40"/>
        <v>5.2787542415198985</v>
      </c>
      <c r="E158" s="13">
        <f t="shared" ca="1" si="35"/>
        <v>51.321245758480103</v>
      </c>
      <c r="F158" s="13">
        <f t="shared" ca="1" si="26"/>
        <v>51.321245758480103</v>
      </c>
      <c r="G158" s="13">
        <f t="shared" ca="1" si="41"/>
        <v>56.6</v>
      </c>
      <c r="H158" s="13">
        <f t="shared" ca="1" si="36"/>
        <v>56.6</v>
      </c>
      <c r="I158" s="13">
        <v>41.237325390474801</v>
      </c>
      <c r="J158" s="13">
        <f t="shared" ca="1" si="42"/>
        <v>15.3626746095252</v>
      </c>
      <c r="K158" s="13">
        <f t="shared" ca="1" si="43"/>
        <v>0</v>
      </c>
      <c r="L158" s="13">
        <f t="shared" ca="1" si="44"/>
        <v>15.3626746095252</v>
      </c>
      <c r="M158" s="7">
        <f t="shared" ca="1" si="27"/>
        <v>2.7652814297145358</v>
      </c>
      <c r="N158" s="1">
        <f t="shared" ca="1" si="28"/>
        <v>0</v>
      </c>
      <c r="O158" s="13">
        <f t="shared" ca="1" si="29"/>
        <v>0</v>
      </c>
      <c r="P158" s="28">
        <f t="shared" ca="1" si="30"/>
        <v>0</v>
      </c>
      <c r="Q158" s="28">
        <f t="shared" ca="1" si="31"/>
        <v>0</v>
      </c>
      <c r="R158" s="28">
        <f t="shared" ca="1" si="45"/>
        <v>2.7652814297145358</v>
      </c>
    </row>
    <row r="159" spans="1:18">
      <c r="A159" s="1">
        <f t="shared" si="37"/>
        <v>34</v>
      </c>
      <c r="B159" s="13">
        <f t="shared" ca="1" si="38"/>
        <v>15.3626746095252</v>
      </c>
      <c r="C159" s="13">
        <f t="shared" ca="1" si="39"/>
        <v>0</v>
      </c>
      <c r="D159" s="13">
        <f t="shared" ca="1" si="40"/>
        <v>15.3626746095252</v>
      </c>
      <c r="E159" s="13">
        <f t="shared" ca="1" si="35"/>
        <v>41.237325390474801</v>
      </c>
      <c r="F159" s="13">
        <f t="shared" ca="1" si="26"/>
        <v>41.237325390474801</v>
      </c>
      <c r="G159" s="13">
        <f t="shared" ca="1" si="41"/>
        <v>56.6</v>
      </c>
      <c r="H159" s="13">
        <f t="shared" ca="1" si="36"/>
        <v>56.6</v>
      </c>
      <c r="I159" s="13">
        <v>58.293883950359103</v>
      </c>
      <c r="J159" s="13">
        <f t="shared" ca="1" si="42"/>
        <v>-1.6938839503591012</v>
      </c>
      <c r="K159" s="13">
        <f t="shared" ca="1" si="43"/>
        <v>0</v>
      </c>
      <c r="L159" s="13">
        <f t="shared" ca="1" si="44"/>
        <v>-1.6938839503591012</v>
      </c>
      <c r="M159" s="7">
        <f t="shared" ca="1" si="27"/>
        <v>0</v>
      </c>
      <c r="N159" s="1">
        <f t="shared" ca="1" si="28"/>
        <v>1</v>
      </c>
      <c r="O159" s="13">
        <f t="shared" ca="1" si="29"/>
        <v>1.6938839503591012</v>
      </c>
      <c r="P159" s="28">
        <f t="shared" ca="1" si="30"/>
        <v>1.1857187652513708</v>
      </c>
      <c r="Q159" s="28">
        <f t="shared" ca="1" si="31"/>
        <v>0</v>
      </c>
      <c r="R159" s="28">
        <f t="shared" ca="1" si="45"/>
        <v>1.1857187652513708</v>
      </c>
    </row>
    <row r="160" spans="1:18">
      <c r="A160" s="1">
        <f t="shared" si="37"/>
        <v>35</v>
      </c>
      <c r="B160" s="13">
        <f t="shared" ca="1" si="38"/>
        <v>-1.6938839503591012</v>
      </c>
      <c r="C160" s="13">
        <f t="shared" ca="1" si="39"/>
        <v>0</v>
      </c>
      <c r="D160" s="13">
        <f t="shared" ca="1" si="40"/>
        <v>-1.6938839503591012</v>
      </c>
      <c r="E160" s="13">
        <f t="shared" ca="1" si="35"/>
        <v>58.293883950359103</v>
      </c>
      <c r="F160" s="13">
        <f t="shared" ca="1" si="26"/>
        <v>58.293883950359103</v>
      </c>
      <c r="G160" s="13">
        <f t="shared" ca="1" si="41"/>
        <v>56.6</v>
      </c>
      <c r="H160" s="13">
        <f t="shared" ca="1" si="36"/>
        <v>56.6</v>
      </c>
      <c r="I160" s="13">
        <v>59.2596186712967</v>
      </c>
      <c r="J160" s="13">
        <f t="shared" ca="1" si="42"/>
        <v>-2.6596186712966983</v>
      </c>
      <c r="K160" s="13">
        <f t="shared" ca="1" si="43"/>
        <v>0</v>
      </c>
      <c r="L160" s="13">
        <f t="shared" ca="1" si="44"/>
        <v>-2.6596186712966983</v>
      </c>
      <c r="M160" s="7">
        <f t="shared" ca="1" si="27"/>
        <v>0</v>
      </c>
      <c r="N160" s="1">
        <f t="shared" ca="1" si="28"/>
        <v>1</v>
      </c>
      <c r="O160" s="13">
        <f t="shared" ca="1" si="29"/>
        <v>2.6596186712966983</v>
      </c>
      <c r="P160" s="28">
        <f t="shared" ca="1" si="30"/>
        <v>1.8617330699076886</v>
      </c>
      <c r="Q160" s="28">
        <f t="shared" ca="1" si="31"/>
        <v>0</v>
      </c>
      <c r="R160" s="28">
        <f t="shared" ca="1" si="45"/>
        <v>1.8617330699076886</v>
      </c>
    </row>
    <row r="161" spans="1:18">
      <c r="A161" s="1">
        <f t="shared" si="37"/>
        <v>36</v>
      </c>
      <c r="B161" s="13">
        <f t="shared" ca="1" si="38"/>
        <v>-2.6596186712966983</v>
      </c>
      <c r="C161" s="13">
        <f t="shared" ca="1" si="39"/>
        <v>0</v>
      </c>
      <c r="D161" s="13">
        <f t="shared" ca="1" si="40"/>
        <v>-2.6596186712966983</v>
      </c>
      <c r="E161" s="13">
        <f t="shared" ca="1" si="35"/>
        <v>59.2596186712967</v>
      </c>
      <c r="F161" s="13">
        <f t="shared" ca="1" si="26"/>
        <v>59.2596186712967</v>
      </c>
      <c r="G161" s="13">
        <f t="shared" ca="1" si="41"/>
        <v>56.6</v>
      </c>
      <c r="H161" s="13">
        <f t="shared" ca="1" si="36"/>
        <v>56.6</v>
      </c>
      <c r="I161" s="13">
        <v>35.249708198043002</v>
      </c>
      <c r="J161" s="13">
        <f t="shared" ca="1" si="42"/>
        <v>21.350291801956999</v>
      </c>
      <c r="K161" s="13">
        <f t="shared" ca="1" si="43"/>
        <v>0</v>
      </c>
      <c r="L161" s="13">
        <f t="shared" ca="1" si="44"/>
        <v>21.350291801956999</v>
      </c>
      <c r="M161" s="7">
        <f t="shared" ca="1" si="27"/>
        <v>3.8430525243522595</v>
      </c>
      <c r="N161" s="1">
        <f t="shared" ca="1" si="28"/>
        <v>0</v>
      </c>
      <c r="O161" s="13">
        <f t="shared" ca="1" si="29"/>
        <v>0</v>
      </c>
      <c r="P161" s="28">
        <f t="shared" ca="1" si="30"/>
        <v>0</v>
      </c>
      <c r="Q161" s="28">
        <f t="shared" ca="1" si="31"/>
        <v>0</v>
      </c>
      <c r="R161" s="28">
        <f t="shared" ca="1" si="45"/>
        <v>3.8430525243522595</v>
      </c>
    </row>
    <row r="162" spans="1:18">
      <c r="A162" s="1">
        <f t="shared" si="37"/>
        <v>37</v>
      </c>
      <c r="B162" s="13">
        <f t="shared" ca="1" si="38"/>
        <v>21.350291801956999</v>
      </c>
      <c r="C162" s="13">
        <f t="shared" ca="1" si="39"/>
        <v>0</v>
      </c>
      <c r="D162" s="13">
        <f t="shared" ca="1" si="40"/>
        <v>21.350291801956999</v>
      </c>
      <c r="E162" s="13">
        <f t="shared" ca="1" si="35"/>
        <v>35.249708198043002</v>
      </c>
      <c r="F162" s="13">
        <f t="shared" ca="1" si="26"/>
        <v>35.249708198043002</v>
      </c>
      <c r="G162" s="13">
        <f t="shared" ca="1" si="41"/>
        <v>56.6</v>
      </c>
      <c r="H162" s="13">
        <f t="shared" ca="1" si="36"/>
        <v>56.6</v>
      </c>
      <c r="I162" s="13">
        <v>52.398022796805797</v>
      </c>
      <c r="J162" s="13">
        <f t="shared" ca="1" si="42"/>
        <v>4.201977203194204</v>
      </c>
      <c r="K162" s="13">
        <f t="shared" ca="1" si="43"/>
        <v>0</v>
      </c>
      <c r="L162" s="13">
        <f t="shared" ca="1" si="44"/>
        <v>4.201977203194204</v>
      </c>
      <c r="M162" s="7">
        <f t="shared" ca="1" si="27"/>
        <v>0.75635589657495672</v>
      </c>
      <c r="N162" s="1">
        <f t="shared" ca="1" si="28"/>
        <v>0</v>
      </c>
      <c r="O162" s="13">
        <f t="shared" ca="1" si="29"/>
        <v>0</v>
      </c>
      <c r="P162" s="28">
        <f t="shared" ca="1" si="30"/>
        <v>0</v>
      </c>
      <c r="Q162" s="28">
        <f t="shared" ca="1" si="31"/>
        <v>0</v>
      </c>
      <c r="R162" s="28">
        <f t="shared" ca="1" si="45"/>
        <v>0.75635589657495672</v>
      </c>
    </row>
    <row r="163" spans="1:18">
      <c r="A163" s="1">
        <f t="shared" si="37"/>
        <v>38</v>
      </c>
      <c r="B163" s="13">
        <f t="shared" ca="1" si="38"/>
        <v>4.201977203194204</v>
      </c>
      <c r="C163" s="13">
        <f t="shared" ca="1" si="39"/>
        <v>0</v>
      </c>
      <c r="D163" s="13">
        <f t="shared" ca="1" si="40"/>
        <v>4.201977203194204</v>
      </c>
      <c r="E163" s="13">
        <f t="shared" ca="1" si="35"/>
        <v>52.398022796805797</v>
      </c>
      <c r="F163" s="13">
        <f t="shared" ca="1" si="26"/>
        <v>52.398022796805797</v>
      </c>
      <c r="G163" s="13">
        <f t="shared" ca="1" si="41"/>
        <v>56.6</v>
      </c>
      <c r="H163" s="13">
        <f t="shared" ca="1" si="36"/>
        <v>56.6</v>
      </c>
      <c r="I163" s="13">
        <v>46.773575949319302</v>
      </c>
      <c r="J163" s="13">
        <f t="shared" ca="1" si="42"/>
        <v>9.8264240506806999</v>
      </c>
      <c r="K163" s="13">
        <f t="shared" ca="1" si="43"/>
        <v>0</v>
      </c>
      <c r="L163" s="13">
        <f t="shared" ca="1" si="44"/>
        <v>9.8264240506806999</v>
      </c>
      <c r="M163" s="7">
        <f t="shared" ca="1" si="27"/>
        <v>1.7687563291225259</v>
      </c>
      <c r="N163" s="1">
        <f t="shared" ca="1" si="28"/>
        <v>0</v>
      </c>
      <c r="O163" s="13">
        <f t="shared" ca="1" si="29"/>
        <v>0</v>
      </c>
      <c r="P163" s="28">
        <f t="shared" ca="1" si="30"/>
        <v>0</v>
      </c>
      <c r="Q163" s="28">
        <f t="shared" ca="1" si="31"/>
        <v>0</v>
      </c>
      <c r="R163" s="28">
        <f t="shared" ca="1" si="45"/>
        <v>1.7687563291225259</v>
      </c>
    </row>
    <row r="164" spans="1:18">
      <c r="A164" s="1">
        <f t="shared" si="37"/>
        <v>39</v>
      </c>
      <c r="B164" s="13">
        <f t="shared" ca="1" si="38"/>
        <v>9.8264240506806999</v>
      </c>
      <c r="C164" s="13">
        <f t="shared" ca="1" si="39"/>
        <v>0</v>
      </c>
      <c r="D164" s="13">
        <f t="shared" ca="1" si="40"/>
        <v>9.8264240506806999</v>
      </c>
      <c r="E164" s="13">
        <f t="shared" ca="1" si="35"/>
        <v>46.773575949319302</v>
      </c>
      <c r="F164" s="13">
        <f t="shared" ca="1" si="26"/>
        <v>46.773575949319302</v>
      </c>
      <c r="G164" s="13">
        <f t="shared" ca="1" si="41"/>
        <v>56.6</v>
      </c>
      <c r="H164" s="13">
        <f t="shared" ca="1" si="36"/>
        <v>56.6</v>
      </c>
      <c r="I164" s="13">
        <v>50.542935708175698</v>
      </c>
      <c r="J164" s="13">
        <f t="shared" ca="1" si="42"/>
        <v>6.0570642918243038</v>
      </c>
      <c r="K164" s="13">
        <f t="shared" ca="1" si="43"/>
        <v>0</v>
      </c>
      <c r="L164" s="13">
        <f t="shared" ca="1" si="44"/>
        <v>6.0570642918243038</v>
      </c>
      <c r="M164" s="7">
        <f t="shared" ca="1" si="27"/>
        <v>1.0902715725283747</v>
      </c>
      <c r="N164" s="1">
        <f t="shared" ca="1" si="28"/>
        <v>0</v>
      </c>
      <c r="O164" s="13">
        <f t="shared" ca="1" si="29"/>
        <v>0</v>
      </c>
      <c r="P164" s="28">
        <f t="shared" ca="1" si="30"/>
        <v>0</v>
      </c>
      <c r="Q164" s="28">
        <f t="shared" ca="1" si="31"/>
        <v>0</v>
      </c>
      <c r="R164" s="28">
        <f t="shared" ca="1" si="45"/>
        <v>1.0902715725283747</v>
      </c>
    </row>
    <row r="165" spans="1:18">
      <c r="A165" s="1">
        <f t="shared" si="37"/>
        <v>40</v>
      </c>
      <c r="B165" s="13">
        <f t="shared" ca="1" si="38"/>
        <v>6.0570642918243038</v>
      </c>
      <c r="C165" s="13">
        <f t="shared" ca="1" si="39"/>
        <v>0</v>
      </c>
      <c r="D165" s="13">
        <f t="shared" ca="1" si="40"/>
        <v>6.0570642918243038</v>
      </c>
      <c r="E165" s="13">
        <f t="shared" ca="1" si="35"/>
        <v>50.542935708175698</v>
      </c>
      <c r="F165" s="13">
        <f t="shared" ca="1" si="26"/>
        <v>50.542935708175698</v>
      </c>
      <c r="G165" s="13">
        <f t="shared" ca="1" si="41"/>
        <v>56.6</v>
      </c>
      <c r="H165" s="13">
        <f t="shared" ca="1" si="36"/>
        <v>56.6</v>
      </c>
      <c r="I165" s="13">
        <v>39.647385981226897</v>
      </c>
      <c r="J165" s="13">
        <f t="shared" ca="1" si="42"/>
        <v>16.952614018773104</v>
      </c>
      <c r="K165" s="13">
        <f t="shared" ca="1" si="43"/>
        <v>0</v>
      </c>
      <c r="L165" s="13">
        <f t="shared" ca="1" si="44"/>
        <v>16.952614018773104</v>
      </c>
      <c r="M165" s="7">
        <f t="shared" ca="1" si="27"/>
        <v>3.0514705233791588</v>
      </c>
      <c r="N165" s="1">
        <f t="shared" ca="1" si="28"/>
        <v>0</v>
      </c>
      <c r="O165" s="13">
        <f t="shared" ca="1" si="29"/>
        <v>0</v>
      </c>
      <c r="P165" s="28">
        <f t="shared" ca="1" si="30"/>
        <v>0</v>
      </c>
      <c r="Q165" s="28">
        <f t="shared" ca="1" si="31"/>
        <v>0</v>
      </c>
      <c r="R165" s="28">
        <f t="shared" ca="1" si="45"/>
        <v>3.0514705233791588</v>
      </c>
    </row>
    <row r="166" spans="1:18">
      <c r="A166" s="1">
        <f t="shared" si="37"/>
        <v>41</v>
      </c>
      <c r="B166" s="13">
        <f t="shared" ca="1" si="38"/>
        <v>16.952614018773104</v>
      </c>
      <c r="C166" s="13">
        <f t="shared" ca="1" si="39"/>
        <v>0</v>
      </c>
      <c r="D166" s="13">
        <f t="shared" ca="1" si="40"/>
        <v>16.952614018773104</v>
      </c>
      <c r="E166" s="13">
        <f t="shared" ca="1" si="35"/>
        <v>39.647385981226897</v>
      </c>
      <c r="F166" s="13">
        <f t="shared" ca="1" si="26"/>
        <v>39.647385981226897</v>
      </c>
      <c r="G166" s="13">
        <f t="shared" ca="1" si="41"/>
        <v>56.6</v>
      </c>
      <c r="H166" s="13">
        <f t="shared" ca="1" si="36"/>
        <v>56.6</v>
      </c>
      <c r="I166" s="13">
        <v>55.819652373333398</v>
      </c>
      <c r="J166" s="13">
        <f t="shared" ca="1" si="42"/>
        <v>0.78034762666660384</v>
      </c>
      <c r="K166" s="13">
        <f t="shared" ca="1" si="43"/>
        <v>0</v>
      </c>
      <c r="L166" s="13">
        <f t="shared" ca="1" si="44"/>
        <v>0.78034762666660384</v>
      </c>
      <c r="M166" s="7">
        <f t="shared" ca="1" si="27"/>
        <v>0.14046257279998869</v>
      </c>
      <c r="N166" s="1">
        <f t="shared" ca="1" si="28"/>
        <v>0</v>
      </c>
      <c r="O166" s="13">
        <f t="shared" ca="1" si="29"/>
        <v>0</v>
      </c>
      <c r="P166" s="28">
        <f t="shared" ca="1" si="30"/>
        <v>0</v>
      </c>
      <c r="Q166" s="28">
        <f t="shared" ca="1" si="31"/>
        <v>0</v>
      </c>
      <c r="R166" s="28">
        <f t="shared" ca="1" si="45"/>
        <v>0.14046257279998869</v>
      </c>
    </row>
    <row r="167" spans="1:18">
      <c r="A167" s="1">
        <f t="shared" si="37"/>
        <v>42</v>
      </c>
      <c r="B167" s="13">
        <f t="shared" ca="1" si="38"/>
        <v>0.78034762666660384</v>
      </c>
      <c r="C167" s="13">
        <f t="shared" ca="1" si="39"/>
        <v>0</v>
      </c>
      <c r="D167" s="13">
        <f t="shared" ca="1" si="40"/>
        <v>0.78034762666660384</v>
      </c>
      <c r="E167" s="13">
        <f t="shared" ca="1" si="35"/>
        <v>55.819652373333398</v>
      </c>
      <c r="F167" s="13">
        <f t="shared" ca="1" si="26"/>
        <v>55.819652373333398</v>
      </c>
      <c r="G167" s="13">
        <f t="shared" ca="1" si="41"/>
        <v>56.6</v>
      </c>
      <c r="H167" s="13">
        <f t="shared" ca="1" si="36"/>
        <v>56.6</v>
      </c>
      <c r="I167" s="13">
        <v>32.247734043580401</v>
      </c>
      <c r="J167" s="13">
        <f t="shared" ca="1" si="42"/>
        <v>24.3522659564196</v>
      </c>
      <c r="K167" s="13">
        <f t="shared" ca="1" si="43"/>
        <v>0</v>
      </c>
      <c r="L167" s="13">
        <f t="shared" ca="1" si="44"/>
        <v>24.3522659564196</v>
      </c>
      <c r="M167" s="7">
        <f t="shared" ca="1" si="27"/>
        <v>4.3834078721555283</v>
      </c>
      <c r="N167" s="1">
        <f t="shared" ca="1" si="28"/>
        <v>0</v>
      </c>
      <c r="O167" s="13">
        <f t="shared" ca="1" si="29"/>
        <v>0</v>
      </c>
      <c r="P167" s="28">
        <f t="shared" ca="1" si="30"/>
        <v>0</v>
      </c>
      <c r="Q167" s="28">
        <f t="shared" ca="1" si="31"/>
        <v>0</v>
      </c>
      <c r="R167" s="28">
        <f t="shared" ca="1" si="45"/>
        <v>4.3834078721555283</v>
      </c>
    </row>
    <row r="168" spans="1:18">
      <c r="A168" s="1">
        <f t="shared" si="37"/>
        <v>43</v>
      </c>
      <c r="B168" s="13">
        <f t="shared" ca="1" si="38"/>
        <v>24.3522659564196</v>
      </c>
      <c r="C168" s="13">
        <f t="shared" ca="1" si="39"/>
        <v>0</v>
      </c>
      <c r="D168" s="13">
        <f t="shared" ca="1" si="40"/>
        <v>24.3522659564196</v>
      </c>
      <c r="E168" s="13">
        <f t="shared" ca="1" si="35"/>
        <v>32.247734043580401</v>
      </c>
      <c r="F168" s="13">
        <f t="shared" ca="1" si="26"/>
        <v>32.247734043580401</v>
      </c>
      <c r="G168" s="13">
        <f t="shared" ca="1" si="41"/>
        <v>56.6</v>
      </c>
      <c r="H168" s="13">
        <f t="shared" ca="1" si="36"/>
        <v>56.6</v>
      </c>
      <c r="I168" s="13">
        <v>56.938499065708399</v>
      </c>
      <c r="J168" s="13">
        <f t="shared" ca="1" si="42"/>
        <v>-0.3384990657083975</v>
      </c>
      <c r="K168" s="13">
        <f t="shared" ca="1" si="43"/>
        <v>0</v>
      </c>
      <c r="L168" s="13">
        <f t="shared" ca="1" si="44"/>
        <v>-0.3384990657083975</v>
      </c>
      <c r="M168" s="7">
        <f t="shared" ca="1" si="27"/>
        <v>0</v>
      </c>
      <c r="N168" s="1">
        <f t="shared" ca="1" si="28"/>
        <v>1</v>
      </c>
      <c r="O168" s="13">
        <f t="shared" ca="1" si="29"/>
        <v>0.3384990657083975</v>
      </c>
      <c r="P168" s="28">
        <f t="shared" ca="1" si="30"/>
        <v>0.23694934599587822</v>
      </c>
      <c r="Q168" s="28">
        <f t="shared" ca="1" si="31"/>
        <v>0</v>
      </c>
      <c r="R168" s="28">
        <f t="shared" ca="1" si="45"/>
        <v>0.23694934599587822</v>
      </c>
    </row>
    <row r="169" spans="1:18">
      <c r="A169" s="1">
        <f t="shared" si="37"/>
        <v>44</v>
      </c>
      <c r="B169" s="13">
        <f t="shared" ca="1" si="38"/>
        <v>-0.3384990657083975</v>
      </c>
      <c r="C169" s="13">
        <f t="shared" ca="1" si="39"/>
        <v>0</v>
      </c>
      <c r="D169" s="13">
        <f t="shared" ca="1" si="40"/>
        <v>-0.3384990657083975</v>
      </c>
      <c r="E169" s="13">
        <f t="shared" ca="1" si="35"/>
        <v>56.938499065708399</v>
      </c>
      <c r="F169" s="13">
        <f t="shared" ca="1" si="26"/>
        <v>56.938499065708399</v>
      </c>
      <c r="G169" s="13">
        <f t="shared" ca="1" si="41"/>
        <v>56.6</v>
      </c>
      <c r="H169" s="13">
        <f t="shared" ca="1" si="36"/>
        <v>56.6</v>
      </c>
      <c r="I169" s="13">
        <v>32.005849648258902</v>
      </c>
      <c r="J169" s="13">
        <f t="shared" ca="1" si="42"/>
        <v>24.594150351741099</v>
      </c>
      <c r="K169" s="13">
        <f t="shared" ca="1" si="43"/>
        <v>0</v>
      </c>
      <c r="L169" s="13">
        <f t="shared" ca="1" si="44"/>
        <v>24.594150351741099</v>
      </c>
      <c r="M169" s="7">
        <f t="shared" ca="1" si="27"/>
        <v>4.4269470633133974</v>
      </c>
      <c r="N169" s="1">
        <f t="shared" ca="1" si="28"/>
        <v>0</v>
      </c>
      <c r="O169" s="13">
        <f t="shared" ca="1" si="29"/>
        <v>0</v>
      </c>
      <c r="P169" s="28">
        <f t="shared" ca="1" si="30"/>
        <v>0</v>
      </c>
      <c r="Q169" s="28">
        <f t="shared" ca="1" si="31"/>
        <v>0</v>
      </c>
      <c r="R169" s="28">
        <f t="shared" ca="1" si="45"/>
        <v>4.4269470633133974</v>
      </c>
    </row>
    <row r="170" spans="1:18">
      <c r="A170" s="1">
        <f t="shared" si="37"/>
        <v>45</v>
      </c>
      <c r="B170" s="13">
        <f t="shared" ca="1" si="38"/>
        <v>24.594150351741099</v>
      </c>
      <c r="C170" s="13">
        <f t="shared" ca="1" si="39"/>
        <v>0</v>
      </c>
      <c r="D170" s="13">
        <f t="shared" ca="1" si="40"/>
        <v>24.594150351741099</v>
      </c>
      <c r="E170" s="13">
        <f t="shared" ca="1" si="35"/>
        <v>32.005849648258902</v>
      </c>
      <c r="F170" s="13">
        <f t="shared" ca="1" si="26"/>
        <v>32.005849648258902</v>
      </c>
      <c r="G170" s="13">
        <f t="shared" ca="1" si="41"/>
        <v>56.6</v>
      </c>
      <c r="H170" s="13">
        <f t="shared" ca="1" si="36"/>
        <v>56.6</v>
      </c>
      <c r="I170" s="13">
        <v>44.393711048841404</v>
      </c>
      <c r="J170" s="13">
        <f t="shared" ca="1" si="42"/>
        <v>12.206288951158598</v>
      </c>
      <c r="K170" s="13">
        <f t="shared" ca="1" si="43"/>
        <v>0</v>
      </c>
      <c r="L170" s="13">
        <f t="shared" ca="1" si="44"/>
        <v>12.206288951158598</v>
      </c>
      <c r="M170" s="7">
        <f t="shared" ca="1" si="27"/>
        <v>2.1971320112085477</v>
      </c>
      <c r="N170" s="1">
        <f t="shared" ca="1" si="28"/>
        <v>0</v>
      </c>
      <c r="O170" s="13">
        <f t="shared" ca="1" si="29"/>
        <v>0</v>
      </c>
      <c r="P170" s="28">
        <f t="shared" ca="1" si="30"/>
        <v>0</v>
      </c>
      <c r="Q170" s="28">
        <f t="shared" ca="1" si="31"/>
        <v>0</v>
      </c>
      <c r="R170" s="28">
        <f t="shared" ca="1" si="45"/>
        <v>2.1971320112085477</v>
      </c>
    </row>
    <row r="171" spans="1:18">
      <c r="A171" s="1">
        <f t="shared" si="37"/>
        <v>46</v>
      </c>
      <c r="B171" s="13">
        <f t="shared" ca="1" si="38"/>
        <v>12.206288951158598</v>
      </c>
      <c r="C171" s="13">
        <f t="shared" ca="1" si="39"/>
        <v>0</v>
      </c>
      <c r="D171" s="13">
        <f t="shared" ca="1" si="40"/>
        <v>12.206288951158598</v>
      </c>
      <c r="E171" s="13">
        <f t="shared" ca="1" si="35"/>
        <v>44.393711048841404</v>
      </c>
      <c r="F171" s="13">
        <f t="shared" ca="1" si="26"/>
        <v>44.393711048841404</v>
      </c>
      <c r="G171" s="13">
        <f t="shared" ca="1" si="41"/>
        <v>56.6</v>
      </c>
      <c r="H171" s="13">
        <f t="shared" ca="1" si="36"/>
        <v>56.6</v>
      </c>
      <c r="I171" s="13">
        <v>50.386604659641897</v>
      </c>
      <c r="J171" s="13">
        <f t="shared" ca="1" si="42"/>
        <v>6.2133953403581046</v>
      </c>
      <c r="K171" s="13">
        <f t="shared" ca="1" si="43"/>
        <v>0</v>
      </c>
      <c r="L171" s="13">
        <f t="shared" ca="1" si="44"/>
        <v>6.2133953403581046</v>
      </c>
      <c r="M171" s="7">
        <f t="shared" ca="1" si="27"/>
        <v>1.1184111612644587</v>
      </c>
      <c r="N171" s="1">
        <f t="shared" ca="1" si="28"/>
        <v>0</v>
      </c>
      <c r="O171" s="13">
        <f t="shared" ca="1" si="29"/>
        <v>0</v>
      </c>
      <c r="P171" s="28">
        <f t="shared" ca="1" si="30"/>
        <v>0</v>
      </c>
      <c r="Q171" s="28">
        <f t="shared" ca="1" si="31"/>
        <v>0</v>
      </c>
      <c r="R171" s="28">
        <f t="shared" ca="1" si="45"/>
        <v>1.1184111612644587</v>
      </c>
    </row>
    <row r="172" spans="1:18">
      <c r="A172" s="1">
        <f t="shared" si="37"/>
        <v>47</v>
      </c>
      <c r="B172" s="13">
        <f t="shared" ca="1" si="38"/>
        <v>6.2133953403581046</v>
      </c>
      <c r="C172" s="13">
        <f t="shared" ca="1" si="39"/>
        <v>0</v>
      </c>
      <c r="D172" s="13">
        <f t="shared" ca="1" si="40"/>
        <v>6.2133953403581046</v>
      </c>
      <c r="E172" s="13">
        <f t="shared" ca="1" si="35"/>
        <v>50.386604659641897</v>
      </c>
      <c r="F172" s="13">
        <f t="shared" ca="1" si="26"/>
        <v>50.386604659641897</v>
      </c>
      <c r="G172" s="13">
        <f t="shared" ca="1" si="41"/>
        <v>56.6</v>
      </c>
      <c r="H172" s="13">
        <f t="shared" ca="1" si="36"/>
        <v>56.6</v>
      </c>
      <c r="I172" s="13">
        <v>55.619920208902002</v>
      </c>
      <c r="J172" s="13">
        <f t="shared" ca="1" si="42"/>
        <v>0.98007979109799948</v>
      </c>
      <c r="K172" s="13">
        <f t="shared" ca="1" si="43"/>
        <v>0</v>
      </c>
      <c r="L172" s="13">
        <f t="shared" ca="1" si="44"/>
        <v>0.98007979109799948</v>
      </c>
      <c r="M172" s="7">
        <f t="shared" ca="1" si="27"/>
        <v>0.17641436239763991</v>
      </c>
      <c r="N172" s="1">
        <f t="shared" ca="1" si="28"/>
        <v>0</v>
      </c>
      <c r="O172" s="13">
        <f t="shared" ca="1" si="29"/>
        <v>0</v>
      </c>
      <c r="P172" s="28">
        <f t="shared" ca="1" si="30"/>
        <v>0</v>
      </c>
      <c r="Q172" s="28">
        <f t="shared" ca="1" si="31"/>
        <v>0</v>
      </c>
      <c r="R172" s="28">
        <f t="shared" ca="1" si="45"/>
        <v>0.17641436239763991</v>
      </c>
    </row>
    <row r="173" spans="1:18">
      <c r="A173" s="1">
        <f t="shared" si="37"/>
        <v>48</v>
      </c>
      <c r="B173" s="13">
        <f t="shared" ca="1" si="38"/>
        <v>0.98007979109799948</v>
      </c>
      <c r="C173" s="13">
        <f t="shared" ca="1" si="39"/>
        <v>0</v>
      </c>
      <c r="D173" s="13">
        <f t="shared" ca="1" si="40"/>
        <v>0.98007979109799948</v>
      </c>
      <c r="E173" s="13">
        <f t="shared" ca="1" si="35"/>
        <v>55.619920208902002</v>
      </c>
      <c r="F173" s="13">
        <f t="shared" ca="1" si="26"/>
        <v>55.619920208902002</v>
      </c>
      <c r="G173" s="13">
        <f t="shared" ca="1" si="41"/>
        <v>56.6</v>
      </c>
      <c r="H173" s="13">
        <f t="shared" ca="1" si="36"/>
        <v>56.6</v>
      </c>
      <c r="I173" s="13">
        <v>57.821740449926097</v>
      </c>
      <c r="J173" s="13">
        <f t="shared" ca="1" si="42"/>
        <v>-1.2217404499260951</v>
      </c>
      <c r="K173" s="13">
        <f t="shared" ca="1" si="43"/>
        <v>0</v>
      </c>
      <c r="L173" s="13">
        <f t="shared" ca="1" si="44"/>
        <v>-1.2217404499260951</v>
      </c>
      <c r="M173" s="7">
        <f t="shared" ca="1" si="27"/>
        <v>0</v>
      </c>
      <c r="N173" s="1">
        <f t="shared" ca="1" si="28"/>
        <v>1</v>
      </c>
      <c r="O173" s="13">
        <f t="shared" ca="1" si="29"/>
        <v>1.2217404499260951</v>
      </c>
      <c r="P173" s="28">
        <f t="shared" ca="1" si="30"/>
        <v>0.8552183149482665</v>
      </c>
      <c r="Q173" s="28">
        <f t="shared" ca="1" si="31"/>
        <v>0</v>
      </c>
      <c r="R173" s="28">
        <f t="shared" ca="1" si="45"/>
        <v>0.8552183149482665</v>
      </c>
    </row>
    <row r="174" spans="1:18">
      <c r="A174" s="1">
        <f t="shared" si="37"/>
        <v>49</v>
      </c>
      <c r="B174" s="13">
        <f t="shared" ca="1" si="38"/>
        <v>-1.2217404499260951</v>
      </c>
      <c r="C174" s="13">
        <f t="shared" ca="1" si="39"/>
        <v>0</v>
      </c>
      <c r="D174" s="13">
        <f t="shared" ca="1" si="40"/>
        <v>-1.2217404499260951</v>
      </c>
      <c r="E174" s="13">
        <f t="shared" ca="1" si="35"/>
        <v>57.821740449926097</v>
      </c>
      <c r="F174" s="13">
        <f t="shared" ca="1" si="26"/>
        <v>57.821740449926097</v>
      </c>
      <c r="G174" s="13">
        <f t="shared" ca="1" si="41"/>
        <v>56.6</v>
      </c>
      <c r="H174" s="13">
        <f t="shared" ca="1" si="36"/>
        <v>56.6</v>
      </c>
      <c r="I174" s="13">
        <v>59.258480294484897</v>
      </c>
      <c r="J174" s="13">
        <f t="shared" ca="1" si="42"/>
        <v>-2.658480294484896</v>
      </c>
      <c r="K174" s="13">
        <f t="shared" ca="1" si="43"/>
        <v>0</v>
      </c>
      <c r="L174" s="13">
        <f t="shared" ca="1" si="44"/>
        <v>-2.658480294484896</v>
      </c>
      <c r="M174" s="7">
        <f t="shared" ca="1" si="27"/>
        <v>0</v>
      </c>
      <c r="N174" s="1">
        <f t="shared" ca="1" si="28"/>
        <v>1</v>
      </c>
      <c r="O174" s="13">
        <f t="shared" ca="1" si="29"/>
        <v>2.658480294484896</v>
      </c>
      <c r="P174" s="28">
        <f t="shared" ca="1" si="30"/>
        <v>1.860936206139427</v>
      </c>
      <c r="Q174" s="28">
        <f t="shared" ca="1" si="31"/>
        <v>0</v>
      </c>
      <c r="R174" s="28">
        <f t="shared" ca="1" si="45"/>
        <v>1.860936206139427</v>
      </c>
    </row>
    <row r="175" spans="1:18">
      <c r="A175" s="1">
        <f t="shared" si="37"/>
        <v>50</v>
      </c>
      <c r="B175" s="13">
        <f t="shared" ca="1" si="38"/>
        <v>-2.658480294484896</v>
      </c>
      <c r="C175" s="13">
        <f t="shared" ca="1" si="39"/>
        <v>0</v>
      </c>
      <c r="D175" s="13">
        <f t="shared" ca="1" si="40"/>
        <v>-2.658480294484896</v>
      </c>
      <c r="E175" s="13">
        <f t="shared" ca="1" si="35"/>
        <v>59.258480294484897</v>
      </c>
      <c r="F175" s="13">
        <f t="shared" ca="1" si="26"/>
        <v>59.258480294484897</v>
      </c>
      <c r="G175" s="13">
        <f t="shared" ca="1" si="41"/>
        <v>56.6</v>
      </c>
      <c r="H175" s="13">
        <f t="shared" ca="1" si="36"/>
        <v>56.6</v>
      </c>
      <c r="I175" s="13">
        <v>43.808966998110797</v>
      </c>
      <c r="J175" s="13">
        <f t="shared" ca="1" si="42"/>
        <v>12.791033001889204</v>
      </c>
      <c r="K175" s="13">
        <f t="shared" ca="1" si="43"/>
        <v>0</v>
      </c>
      <c r="L175" s="13">
        <f t="shared" ca="1" si="44"/>
        <v>12.791033001889204</v>
      </c>
      <c r="M175" s="7">
        <f t="shared" ca="1" si="27"/>
        <v>2.3023859403400566</v>
      </c>
      <c r="N175" s="1">
        <f t="shared" ca="1" si="28"/>
        <v>0</v>
      </c>
      <c r="O175" s="13">
        <f t="shared" ca="1" si="29"/>
        <v>0</v>
      </c>
      <c r="P175" s="28">
        <f t="shared" ca="1" si="30"/>
        <v>0</v>
      </c>
      <c r="Q175" s="28">
        <f t="shared" ca="1" si="31"/>
        <v>0</v>
      </c>
      <c r="R175" s="28">
        <f t="shared" ca="1" si="45"/>
        <v>2.3023859403400566</v>
      </c>
    </row>
    <row r="176" spans="1:18">
      <c r="A176" s="1">
        <f t="shared" si="37"/>
        <v>51</v>
      </c>
      <c r="B176" s="13">
        <f t="shared" ca="1" si="38"/>
        <v>12.791033001889204</v>
      </c>
      <c r="C176" s="13">
        <f t="shared" ca="1" si="39"/>
        <v>0</v>
      </c>
      <c r="D176" s="13">
        <f t="shared" ca="1" si="40"/>
        <v>12.791033001889204</v>
      </c>
      <c r="E176" s="13">
        <f t="shared" ca="1" si="35"/>
        <v>43.808966998110797</v>
      </c>
      <c r="F176" s="13">
        <f t="shared" ca="1" si="26"/>
        <v>43.808966998110797</v>
      </c>
      <c r="G176" s="13">
        <f t="shared" ca="1" si="41"/>
        <v>56.6</v>
      </c>
      <c r="H176" s="13">
        <f t="shared" ca="1" si="36"/>
        <v>56.6</v>
      </c>
      <c r="I176" s="13">
        <v>42.092555847910802</v>
      </c>
      <c r="J176" s="13">
        <f t="shared" ca="1" si="42"/>
        <v>14.507444152089199</v>
      </c>
      <c r="K176" s="13">
        <f t="shared" ca="1" si="43"/>
        <v>0</v>
      </c>
      <c r="L176" s="13">
        <f t="shared" ca="1" si="44"/>
        <v>14.507444152089199</v>
      </c>
      <c r="M176" s="7">
        <f t="shared" ca="1" si="27"/>
        <v>2.6113399473760559</v>
      </c>
      <c r="N176" s="1">
        <f t="shared" ca="1" si="28"/>
        <v>0</v>
      </c>
      <c r="O176" s="13">
        <f t="shared" ca="1" si="29"/>
        <v>0</v>
      </c>
      <c r="P176" s="28">
        <f t="shared" ca="1" si="30"/>
        <v>0</v>
      </c>
      <c r="Q176" s="28">
        <f t="shared" ca="1" si="31"/>
        <v>0</v>
      </c>
      <c r="R176" s="28">
        <f t="shared" ca="1" si="45"/>
        <v>2.6113399473760559</v>
      </c>
    </row>
    <row r="177" spans="1:18">
      <c r="A177" s="1">
        <f t="shared" si="37"/>
        <v>52</v>
      </c>
      <c r="B177" s="13">
        <f t="shared" ca="1" si="38"/>
        <v>14.507444152089199</v>
      </c>
      <c r="C177" s="13">
        <f t="shared" ca="1" si="39"/>
        <v>0</v>
      </c>
      <c r="D177" s="13">
        <f t="shared" ca="1" si="40"/>
        <v>14.507444152089199</v>
      </c>
      <c r="E177" s="13">
        <f t="shared" ca="1" si="35"/>
        <v>42.092555847910802</v>
      </c>
      <c r="F177" s="13">
        <f t="shared" ca="1" si="26"/>
        <v>42.092555847910802</v>
      </c>
      <c r="G177" s="13">
        <f t="shared" ca="1" si="41"/>
        <v>56.6</v>
      </c>
      <c r="H177" s="13">
        <f t="shared" ca="1" si="36"/>
        <v>56.6</v>
      </c>
      <c r="I177" s="13">
        <v>42.912977229734501</v>
      </c>
      <c r="J177" s="13">
        <f t="shared" ca="1" si="42"/>
        <v>13.6870227702655</v>
      </c>
      <c r="K177" s="13">
        <f t="shared" ca="1" si="43"/>
        <v>0</v>
      </c>
      <c r="L177" s="13">
        <f t="shared" ca="1" si="44"/>
        <v>13.6870227702655</v>
      </c>
      <c r="M177" s="7">
        <f t="shared" ca="1" si="27"/>
        <v>2.46366409864779</v>
      </c>
      <c r="N177" s="1">
        <f t="shared" ca="1" si="28"/>
        <v>0</v>
      </c>
      <c r="O177" s="13">
        <f t="shared" ca="1" si="29"/>
        <v>0</v>
      </c>
      <c r="P177" s="28">
        <f t="shared" ca="1" si="30"/>
        <v>0</v>
      </c>
      <c r="Q177" s="28">
        <f t="shared" ca="1" si="31"/>
        <v>0</v>
      </c>
      <c r="R177" s="28">
        <f t="shared" ca="1" si="45"/>
        <v>2.46366409864779</v>
      </c>
    </row>
    <row r="178" spans="1:18">
      <c r="A178" s="1">
        <f t="shared" si="37"/>
        <v>53</v>
      </c>
      <c r="B178" s="13">
        <f t="shared" ca="1" si="38"/>
        <v>13.6870227702655</v>
      </c>
      <c r="C178" s="13">
        <f t="shared" ca="1" si="39"/>
        <v>0</v>
      </c>
      <c r="D178" s="13">
        <f t="shared" ca="1" si="40"/>
        <v>13.6870227702655</v>
      </c>
      <c r="E178" s="13">
        <f t="shared" ca="1" si="35"/>
        <v>42.912977229734501</v>
      </c>
      <c r="F178" s="13">
        <f t="shared" ca="1" si="26"/>
        <v>42.912977229734501</v>
      </c>
      <c r="G178" s="13">
        <f t="shared" ca="1" si="41"/>
        <v>56.6</v>
      </c>
      <c r="H178" s="13">
        <f t="shared" ca="1" si="36"/>
        <v>56.6</v>
      </c>
      <c r="I178" s="13">
        <v>60.963163885003297</v>
      </c>
      <c r="J178" s="13">
        <f t="shared" ca="1" si="42"/>
        <v>-4.3631638850032957</v>
      </c>
      <c r="K178" s="13">
        <f t="shared" ca="1" si="43"/>
        <v>0</v>
      </c>
      <c r="L178" s="13">
        <f t="shared" ca="1" si="44"/>
        <v>-4.3631638850032957</v>
      </c>
      <c r="M178" s="7">
        <f t="shared" ca="1" si="27"/>
        <v>0</v>
      </c>
      <c r="N178" s="1">
        <f t="shared" ca="1" si="28"/>
        <v>1</v>
      </c>
      <c r="O178" s="13">
        <f t="shared" ca="1" si="29"/>
        <v>4.3631638850032957</v>
      </c>
      <c r="P178" s="28">
        <f t="shared" ca="1" si="30"/>
        <v>3.0542147195023066</v>
      </c>
      <c r="Q178" s="28">
        <f t="shared" ca="1" si="31"/>
        <v>0</v>
      </c>
      <c r="R178" s="28">
        <f t="shared" ca="1" si="45"/>
        <v>3.0542147195023066</v>
      </c>
    </row>
    <row r="179" spans="1:18">
      <c r="A179" s="1">
        <f t="shared" si="37"/>
        <v>54</v>
      </c>
      <c r="B179" s="13">
        <f t="shared" ca="1" si="38"/>
        <v>-4.3631638850032957</v>
      </c>
      <c r="C179" s="13">
        <f t="shared" ca="1" si="39"/>
        <v>0</v>
      </c>
      <c r="D179" s="13">
        <f t="shared" ca="1" si="40"/>
        <v>-4.3631638850032957</v>
      </c>
      <c r="E179" s="13">
        <f t="shared" ca="1" si="35"/>
        <v>60.963163885003297</v>
      </c>
      <c r="F179" s="13">
        <f t="shared" ca="1" si="26"/>
        <v>60.963163885003297</v>
      </c>
      <c r="G179" s="13">
        <f t="shared" ca="1" si="41"/>
        <v>56.6</v>
      </c>
      <c r="H179" s="13">
        <f t="shared" ca="1" si="36"/>
        <v>56.6</v>
      </c>
      <c r="I179" s="13">
        <v>51.443663005501001</v>
      </c>
      <c r="J179" s="13">
        <f t="shared" ca="1" si="42"/>
        <v>5.1563369944990001</v>
      </c>
      <c r="K179" s="13">
        <f t="shared" ca="1" si="43"/>
        <v>0</v>
      </c>
      <c r="L179" s="13">
        <f t="shared" ca="1" si="44"/>
        <v>5.1563369944990001</v>
      </c>
      <c r="M179" s="7">
        <f t="shared" ca="1" si="27"/>
        <v>0.92814065900982001</v>
      </c>
      <c r="N179" s="1">
        <f t="shared" ca="1" si="28"/>
        <v>0</v>
      </c>
      <c r="O179" s="13">
        <f t="shared" ca="1" si="29"/>
        <v>0</v>
      </c>
      <c r="P179" s="28">
        <f t="shared" ca="1" si="30"/>
        <v>0</v>
      </c>
      <c r="Q179" s="28">
        <f t="shared" ca="1" si="31"/>
        <v>0</v>
      </c>
      <c r="R179" s="28">
        <f t="shared" ca="1" si="45"/>
        <v>0.92814065900982001</v>
      </c>
    </row>
    <row r="180" spans="1:18">
      <c r="A180" s="1">
        <f t="shared" si="37"/>
        <v>55</v>
      </c>
      <c r="B180" s="13">
        <f t="shared" ca="1" si="38"/>
        <v>5.1563369944990001</v>
      </c>
      <c r="C180" s="13">
        <f t="shared" ca="1" si="39"/>
        <v>0</v>
      </c>
      <c r="D180" s="13">
        <f t="shared" ca="1" si="40"/>
        <v>5.1563369944990001</v>
      </c>
      <c r="E180" s="13">
        <f t="shared" ca="1" si="35"/>
        <v>51.443663005501001</v>
      </c>
      <c r="F180" s="13">
        <f t="shared" ca="1" si="26"/>
        <v>51.443663005501001</v>
      </c>
      <c r="G180" s="13">
        <f t="shared" ca="1" si="41"/>
        <v>56.6</v>
      </c>
      <c r="H180" s="13">
        <f t="shared" ca="1" si="36"/>
        <v>56.6</v>
      </c>
      <c r="I180" s="13">
        <v>61.356760988025101</v>
      </c>
      <c r="J180" s="13">
        <f t="shared" ca="1" si="42"/>
        <v>-4.7567609880250998</v>
      </c>
      <c r="K180" s="13">
        <f t="shared" ca="1" si="43"/>
        <v>0</v>
      </c>
      <c r="L180" s="13">
        <f t="shared" ca="1" si="44"/>
        <v>-4.7567609880250998</v>
      </c>
      <c r="M180" s="7">
        <f t="shared" ca="1" si="27"/>
        <v>0</v>
      </c>
      <c r="N180" s="1">
        <f t="shared" ca="1" si="28"/>
        <v>1</v>
      </c>
      <c r="O180" s="13">
        <f t="shared" ca="1" si="29"/>
        <v>4.7567609880250998</v>
      </c>
      <c r="P180" s="28">
        <f t="shared" ca="1" si="30"/>
        <v>3.3297326916175698</v>
      </c>
      <c r="Q180" s="28">
        <f t="shared" ca="1" si="31"/>
        <v>0</v>
      </c>
      <c r="R180" s="28">
        <f t="shared" ca="1" si="45"/>
        <v>3.3297326916175698</v>
      </c>
    </row>
    <row r="181" spans="1:18">
      <c r="A181" s="1">
        <f t="shared" si="37"/>
        <v>56</v>
      </c>
      <c r="B181" s="13">
        <f t="shared" ca="1" si="38"/>
        <v>-4.7567609880250998</v>
      </c>
      <c r="C181" s="13">
        <f t="shared" ca="1" si="39"/>
        <v>0</v>
      </c>
      <c r="D181" s="13">
        <f t="shared" ca="1" si="40"/>
        <v>-4.7567609880250998</v>
      </c>
      <c r="E181" s="13">
        <f t="shared" ca="1" si="35"/>
        <v>61.356760988025101</v>
      </c>
      <c r="F181" s="13">
        <f t="shared" ca="1" si="26"/>
        <v>61.356760988025101</v>
      </c>
      <c r="G181" s="13">
        <f t="shared" ca="1" si="41"/>
        <v>56.6</v>
      </c>
      <c r="H181" s="13">
        <f t="shared" ca="1" si="36"/>
        <v>56.6</v>
      </c>
      <c r="I181" s="13">
        <v>46.072629873758103</v>
      </c>
      <c r="J181" s="13">
        <f t="shared" ca="1" si="42"/>
        <v>10.527370126241898</v>
      </c>
      <c r="K181" s="13">
        <f t="shared" ca="1" si="43"/>
        <v>0</v>
      </c>
      <c r="L181" s="13">
        <f t="shared" ca="1" si="44"/>
        <v>10.527370126241898</v>
      </c>
      <c r="M181" s="7">
        <f t="shared" ca="1" si="27"/>
        <v>1.8949266227235415</v>
      </c>
      <c r="N181" s="1">
        <f t="shared" ca="1" si="28"/>
        <v>0</v>
      </c>
      <c r="O181" s="13">
        <f t="shared" ca="1" si="29"/>
        <v>0</v>
      </c>
      <c r="P181" s="28">
        <f t="shared" ca="1" si="30"/>
        <v>0</v>
      </c>
      <c r="Q181" s="28">
        <f t="shared" ca="1" si="31"/>
        <v>0</v>
      </c>
      <c r="R181" s="28">
        <f t="shared" ca="1" si="45"/>
        <v>1.8949266227235415</v>
      </c>
    </row>
    <row r="182" spans="1:18">
      <c r="A182" s="1">
        <f t="shared" si="37"/>
        <v>57</v>
      </c>
      <c r="B182" s="13">
        <f t="shared" ca="1" si="38"/>
        <v>10.527370126241898</v>
      </c>
      <c r="C182" s="13">
        <f t="shared" ca="1" si="39"/>
        <v>0</v>
      </c>
      <c r="D182" s="13">
        <f t="shared" ca="1" si="40"/>
        <v>10.527370126241898</v>
      </c>
      <c r="E182" s="13">
        <f t="shared" ca="1" si="35"/>
        <v>46.072629873758103</v>
      </c>
      <c r="F182" s="13">
        <f t="shared" ca="1" si="26"/>
        <v>46.072629873758103</v>
      </c>
      <c r="G182" s="13">
        <f t="shared" ca="1" si="41"/>
        <v>56.6</v>
      </c>
      <c r="H182" s="13">
        <f t="shared" ca="1" si="36"/>
        <v>56.6</v>
      </c>
      <c r="I182" s="13">
        <v>60.2175705974511</v>
      </c>
      <c r="J182" s="13">
        <f t="shared" ca="1" si="42"/>
        <v>-3.617570597451099</v>
      </c>
      <c r="K182" s="13">
        <f t="shared" ca="1" si="43"/>
        <v>0</v>
      </c>
      <c r="L182" s="13">
        <f t="shared" ca="1" si="44"/>
        <v>-3.617570597451099</v>
      </c>
      <c r="M182" s="7">
        <f t="shared" ca="1" si="27"/>
        <v>0</v>
      </c>
      <c r="N182" s="1">
        <f t="shared" ca="1" si="28"/>
        <v>1</v>
      </c>
      <c r="O182" s="13">
        <f t="shared" ca="1" si="29"/>
        <v>3.617570597451099</v>
      </c>
      <c r="P182" s="28">
        <f t="shared" ca="1" si="30"/>
        <v>2.5322994182157692</v>
      </c>
      <c r="Q182" s="28">
        <f t="shared" ca="1" si="31"/>
        <v>0</v>
      </c>
      <c r="R182" s="28">
        <f t="shared" ca="1" si="45"/>
        <v>2.5322994182157692</v>
      </c>
    </row>
    <row r="183" spans="1:18">
      <c r="A183" s="1">
        <f t="shared" si="37"/>
        <v>58</v>
      </c>
      <c r="B183" s="13">
        <f t="shared" ca="1" si="38"/>
        <v>-3.617570597451099</v>
      </c>
      <c r="C183" s="13">
        <f t="shared" ca="1" si="39"/>
        <v>0</v>
      </c>
      <c r="D183" s="13">
        <f t="shared" ca="1" si="40"/>
        <v>-3.617570597451099</v>
      </c>
      <c r="E183" s="13">
        <f t="shared" ca="1" si="35"/>
        <v>60.2175705974511</v>
      </c>
      <c r="F183" s="13">
        <f t="shared" ca="1" si="26"/>
        <v>60.2175705974511</v>
      </c>
      <c r="G183" s="13">
        <f t="shared" ca="1" si="41"/>
        <v>56.6</v>
      </c>
      <c r="H183" s="13">
        <f t="shared" ca="1" si="36"/>
        <v>56.6</v>
      </c>
      <c r="I183" s="13">
        <v>49.2437504534632</v>
      </c>
      <c r="J183" s="13">
        <f t="shared" ca="1" si="42"/>
        <v>7.3562495465368016</v>
      </c>
      <c r="K183" s="13">
        <f t="shared" ca="1" si="43"/>
        <v>0</v>
      </c>
      <c r="L183" s="13">
        <f t="shared" ca="1" si="44"/>
        <v>7.3562495465368016</v>
      </c>
      <c r="M183" s="7">
        <f t="shared" ca="1" si="27"/>
        <v>1.3241249183766242</v>
      </c>
      <c r="N183" s="1">
        <f t="shared" ca="1" si="28"/>
        <v>0</v>
      </c>
      <c r="O183" s="13">
        <f t="shared" ca="1" si="29"/>
        <v>0</v>
      </c>
      <c r="P183" s="28">
        <f t="shared" ca="1" si="30"/>
        <v>0</v>
      </c>
      <c r="Q183" s="28">
        <f t="shared" ca="1" si="31"/>
        <v>0</v>
      </c>
      <c r="R183" s="28">
        <f t="shared" ca="1" si="45"/>
        <v>1.3241249183766242</v>
      </c>
    </row>
    <row r="184" spans="1:18">
      <c r="A184" s="1">
        <f t="shared" si="37"/>
        <v>59</v>
      </c>
      <c r="B184" s="13">
        <f t="shared" ca="1" si="38"/>
        <v>7.3562495465368016</v>
      </c>
      <c r="C184" s="13">
        <f t="shared" ca="1" si="39"/>
        <v>0</v>
      </c>
      <c r="D184" s="13">
        <f t="shared" ca="1" si="40"/>
        <v>7.3562495465368016</v>
      </c>
      <c r="E184" s="13">
        <f t="shared" ca="1" si="35"/>
        <v>49.2437504534632</v>
      </c>
      <c r="F184" s="13">
        <f t="shared" ca="1" si="26"/>
        <v>49.2437504534632</v>
      </c>
      <c r="G184" s="13">
        <f t="shared" ca="1" si="41"/>
        <v>56.6</v>
      </c>
      <c r="H184" s="13">
        <f t="shared" ca="1" si="36"/>
        <v>56.6</v>
      </c>
      <c r="I184" s="13">
        <v>47.963654694699599</v>
      </c>
      <c r="J184" s="13">
        <f t="shared" ca="1" si="42"/>
        <v>8.6363453053004022</v>
      </c>
      <c r="K184" s="13">
        <f t="shared" ca="1" si="43"/>
        <v>0</v>
      </c>
      <c r="L184" s="13">
        <f t="shared" ca="1" si="44"/>
        <v>8.6363453053004022</v>
      </c>
      <c r="M184" s="7">
        <f t="shared" ca="1" si="27"/>
        <v>1.5545421549540723</v>
      </c>
      <c r="N184" s="1">
        <f t="shared" ca="1" si="28"/>
        <v>0</v>
      </c>
      <c r="O184" s="13">
        <f t="shared" ca="1" si="29"/>
        <v>0</v>
      </c>
      <c r="P184" s="28">
        <f t="shared" ca="1" si="30"/>
        <v>0</v>
      </c>
      <c r="Q184" s="28">
        <f t="shared" ca="1" si="31"/>
        <v>0</v>
      </c>
      <c r="R184" s="28">
        <f t="shared" ca="1" si="45"/>
        <v>1.5545421549540723</v>
      </c>
    </row>
    <row r="185" spans="1:18">
      <c r="A185" s="1">
        <f t="shared" si="37"/>
        <v>60</v>
      </c>
      <c r="B185" s="13">
        <f t="shared" ca="1" si="38"/>
        <v>8.6363453053004022</v>
      </c>
      <c r="C185" s="13">
        <f t="shared" ca="1" si="39"/>
        <v>0</v>
      </c>
      <c r="D185" s="13">
        <f t="shared" ca="1" si="40"/>
        <v>8.6363453053004022</v>
      </c>
      <c r="E185" s="13">
        <f t="shared" ca="1" si="35"/>
        <v>47.963654694699599</v>
      </c>
      <c r="F185" s="13">
        <f t="shared" ca="1" si="26"/>
        <v>47.963654694699599</v>
      </c>
      <c r="G185" s="13">
        <f t="shared" ca="1" si="41"/>
        <v>56.6</v>
      </c>
      <c r="H185" s="13">
        <f t="shared" ca="1" si="36"/>
        <v>56.6</v>
      </c>
      <c r="I185" s="13">
        <v>64.866081610311099</v>
      </c>
      <c r="J185" s="13">
        <f t="shared" ca="1" si="42"/>
        <v>-8.2660816103110974</v>
      </c>
      <c r="K185" s="13">
        <f t="shared" ca="1" si="43"/>
        <v>0</v>
      </c>
      <c r="L185" s="13">
        <f t="shared" ca="1" si="44"/>
        <v>-8.2660816103110974</v>
      </c>
      <c r="M185" s="7">
        <f t="shared" ca="1" si="27"/>
        <v>0</v>
      </c>
      <c r="N185" s="1">
        <f t="shared" ca="1" si="28"/>
        <v>1</v>
      </c>
      <c r="O185" s="13">
        <f t="shared" ca="1" si="29"/>
        <v>8.2660816103110974</v>
      </c>
      <c r="P185" s="28">
        <f t="shared" ca="1" si="30"/>
        <v>5.7862571272177679</v>
      </c>
      <c r="Q185" s="28">
        <f t="shared" ca="1" si="31"/>
        <v>0</v>
      </c>
      <c r="R185" s="28">
        <f t="shared" ca="1" si="45"/>
        <v>5.7862571272177679</v>
      </c>
    </row>
    <row r="186" spans="1:18">
      <c r="A186" s="1">
        <f t="shared" si="37"/>
        <v>61</v>
      </c>
      <c r="B186" s="13">
        <f t="shared" ca="1" si="38"/>
        <v>-8.2660816103110974</v>
      </c>
      <c r="C186" s="13">
        <f t="shared" ca="1" si="39"/>
        <v>0</v>
      </c>
      <c r="D186" s="13">
        <f t="shared" ca="1" si="40"/>
        <v>-8.2660816103110974</v>
      </c>
      <c r="E186" s="13">
        <f t="shared" ca="1" si="35"/>
        <v>64.866081610311099</v>
      </c>
      <c r="F186" s="13">
        <f t="shared" ca="1" si="26"/>
        <v>64.866081610311099</v>
      </c>
      <c r="G186" s="13">
        <f t="shared" ca="1" si="41"/>
        <v>56.6</v>
      </c>
      <c r="H186" s="13">
        <f t="shared" ca="1" si="36"/>
        <v>56.6</v>
      </c>
      <c r="I186" s="13">
        <v>50.838442705683498</v>
      </c>
      <c r="J186" s="13">
        <f t="shared" ca="1" si="42"/>
        <v>5.7615572943165034</v>
      </c>
      <c r="K186" s="13">
        <f t="shared" ca="1" si="43"/>
        <v>0</v>
      </c>
      <c r="L186" s="13">
        <f t="shared" ca="1" si="44"/>
        <v>5.7615572943165034</v>
      </c>
      <c r="M186" s="7">
        <f t="shared" ca="1" si="27"/>
        <v>1.0370803129769706</v>
      </c>
      <c r="N186" s="1">
        <f t="shared" ca="1" si="28"/>
        <v>0</v>
      </c>
      <c r="O186" s="13">
        <f t="shared" ca="1" si="29"/>
        <v>0</v>
      </c>
      <c r="P186" s="28">
        <f t="shared" ca="1" si="30"/>
        <v>0</v>
      </c>
      <c r="Q186" s="28">
        <f t="shared" ca="1" si="31"/>
        <v>0</v>
      </c>
      <c r="R186" s="28">
        <f t="shared" ca="1" si="45"/>
        <v>1.0370803129769706</v>
      </c>
    </row>
    <row r="187" spans="1:18">
      <c r="A187" s="1">
        <f t="shared" si="37"/>
        <v>62</v>
      </c>
      <c r="B187" s="13">
        <f t="shared" ca="1" si="38"/>
        <v>5.7615572943165034</v>
      </c>
      <c r="C187" s="13">
        <f t="shared" ca="1" si="39"/>
        <v>0</v>
      </c>
      <c r="D187" s="13">
        <f t="shared" ca="1" si="40"/>
        <v>5.7615572943165034</v>
      </c>
      <c r="E187" s="13">
        <f t="shared" ca="1" si="35"/>
        <v>50.838442705683498</v>
      </c>
      <c r="F187" s="13">
        <f t="shared" ca="1" si="26"/>
        <v>50.838442705683498</v>
      </c>
      <c r="G187" s="13">
        <f t="shared" ca="1" si="41"/>
        <v>56.6</v>
      </c>
      <c r="H187" s="13">
        <f t="shared" ca="1" si="36"/>
        <v>56.6</v>
      </c>
      <c r="I187" s="13">
        <v>51.287229126160298</v>
      </c>
      <c r="J187" s="13">
        <f t="shared" ca="1" si="42"/>
        <v>5.3127708738397033</v>
      </c>
      <c r="K187" s="13">
        <f t="shared" ca="1" si="43"/>
        <v>0</v>
      </c>
      <c r="L187" s="13">
        <f t="shared" ca="1" si="44"/>
        <v>5.3127708738397033</v>
      </c>
      <c r="M187" s="7">
        <f t="shared" ca="1" si="27"/>
        <v>0.95629875729114655</v>
      </c>
      <c r="N187" s="1">
        <f t="shared" ca="1" si="28"/>
        <v>0</v>
      </c>
      <c r="O187" s="13">
        <f t="shared" ca="1" si="29"/>
        <v>0</v>
      </c>
      <c r="P187" s="28">
        <f t="shared" ca="1" si="30"/>
        <v>0</v>
      </c>
      <c r="Q187" s="28">
        <f t="shared" ca="1" si="31"/>
        <v>0</v>
      </c>
      <c r="R187" s="28">
        <f t="shared" ca="1" si="45"/>
        <v>0.95629875729114655</v>
      </c>
    </row>
    <row r="188" spans="1:18">
      <c r="A188" s="1">
        <f t="shared" si="37"/>
        <v>63</v>
      </c>
      <c r="B188" s="13">
        <f t="shared" ca="1" si="38"/>
        <v>5.3127708738397033</v>
      </c>
      <c r="C188" s="13">
        <f t="shared" ca="1" si="39"/>
        <v>0</v>
      </c>
      <c r="D188" s="13">
        <f t="shared" ca="1" si="40"/>
        <v>5.3127708738397033</v>
      </c>
      <c r="E188" s="13">
        <f t="shared" ca="1" si="35"/>
        <v>51.287229126160298</v>
      </c>
      <c r="F188" s="13">
        <f t="shared" ca="1" si="26"/>
        <v>51.287229126160298</v>
      </c>
      <c r="G188" s="13">
        <f t="shared" ca="1" si="41"/>
        <v>56.6</v>
      </c>
      <c r="H188" s="13">
        <f t="shared" ca="1" si="36"/>
        <v>56.6</v>
      </c>
      <c r="I188" s="13">
        <v>59.284985656127297</v>
      </c>
      <c r="J188" s="13">
        <f t="shared" ca="1" si="42"/>
        <v>-2.6849856561272958</v>
      </c>
      <c r="K188" s="13">
        <f t="shared" ca="1" si="43"/>
        <v>0</v>
      </c>
      <c r="L188" s="13">
        <f t="shared" ca="1" si="44"/>
        <v>-2.6849856561272958</v>
      </c>
      <c r="M188" s="7">
        <f t="shared" ca="1" si="27"/>
        <v>0</v>
      </c>
      <c r="N188" s="1">
        <f t="shared" ca="1" si="28"/>
        <v>1</v>
      </c>
      <c r="O188" s="13">
        <f t="shared" ca="1" si="29"/>
        <v>2.6849856561272958</v>
      </c>
      <c r="P188" s="28">
        <f t="shared" ca="1" si="30"/>
        <v>1.879489959289107</v>
      </c>
      <c r="Q188" s="28">
        <f t="shared" ca="1" si="31"/>
        <v>0</v>
      </c>
      <c r="R188" s="28">
        <f t="shared" ca="1" si="45"/>
        <v>1.879489959289107</v>
      </c>
    </row>
    <row r="189" spans="1:18">
      <c r="A189" s="1">
        <f t="shared" si="37"/>
        <v>64</v>
      </c>
      <c r="B189" s="13">
        <f t="shared" ca="1" si="38"/>
        <v>-2.6849856561272958</v>
      </c>
      <c r="C189" s="13">
        <f t="shared" ca="1" si="39"/>
        <v>0</v>
      </c>
      <c r="D189" s="13">
        <f t="shared" ca="1" si="40"/>
        <v>-2.6849856561272958</v>
      </c>
      <c r="E189" s="13">
        <f t="shared" ca="1" si="35"/>
        <v>59.284985656127297</v>
      </c>
      <c r="F189" s="13">
        <f t="shared" ref="F189:F225" ca="1" si="46">OFFSET(E189,-mu_L,0)</f>
        <v>59.284985656127297</v>
      </c>
      <c r="G189" s="13">
        <f t="shared" ca="1" si="41"/>
        <v>56.6</v>
      </c>
      <c r="H189" s="13">
        <f t="shared" ca="1" si="36"/>
        <v>56.6</v>
      </c>
      <c r="I189" s="13">
        <v>65.321323806796798</v>
      </c>
      <c r="J189" s="13">
        <f t="shared" ca="1" si="42"/>
        <v>-8.7213238067967964</v>
      </c>
      <c r="K189" s="13">
        <f t="shared" ca="1" si="43"/>
        <v>0</v>
      </c>
      <c r="L189" s="13">
        <f t="shared" ca="1" si="44"/>
        <v>-8.7213238067967964</v>
      </c>
      <c r="M189" s="7">
        <f t="shared" ca="1" si="27"/>
        <v>0</v>
      </c>
      <c r="N189" s="1">
        <f t="shared" ca="1" si="28"/>
        <v>1</v>
      </c>
      <c r="O189" s="13">
        <f t="shared" ca="1" si="29"/>
        <v>8.7213238067967964</v>
      </c>
      <c r="P189" s="28">
        <f t="shared" ca="1" si="30"/>
        <v>6.1049266647577571</v>
      </c>
      <c r="Q189" s="28">
        <f t="shared" ca="1" si="31"/>
        <v>0</v>
      </c>
      <c r="R189" s="28">
        <f t="shared" ca="1" si="45"/>
        <v>6.1049266647577571</v>
      </c>
    </row>
    <row r="190" spans="1:18">
      <c r="A190" s="1">
        <f t="shared" si="37"/>
        <v>65</v>
      </c>
      <c r="B190" s="13">
        <f t="shared" ca="1" si="38"/>
        <v>-8.7213238067967964</v>
      </c>
      <c r="C190" s="13">
        <f t="shared" ca="1" si="39"/>
        <v>0</v>
      </c>
      <c r="D190" s="13">
        <f t="shared" ca="1" si="40"/>
        <v>-8.7213238067967964</v>
      </c>
      <c r="E190" s="13">
        <f t="shared" ref="E190:E225" ca="1" si="47">IF(MOD(A190,RP)=0,IF(D190&lt;=ROP,MAX(MOQ,BSL-D190),0),0)</f>
        <v>65.321323806796798</v>
      </c>
      <c r="F190" s="13">
        <f t="shared" ca="1" si="46"/>
        <v>65.321323806796798</v>
      </c>
      <c r="G190" s="13">
        <f t="shared" ca="1" si="41"/>
        <v>56.6</v>
      </c>
      <c r="H190" s="13">
        <f t="shared" ca="1" si="36"/>
        <v>56.6</v>
      </c>
      <c r="I190" s="13">
        <v>53.799854809601698</v>
      </c>
      <c r="J190" s="13">
        <f t="shared" ca="1" si="42"/>
        <v>2.8001451903983039</v>
      </c>
      <c r="K190" s="13">
        <f t="shared" ca="1" si="43"/>
        <v>0</v>
      </c>
      <c r="L190" s="13">
        <f t="shared" ca="1" si="44"/>
        <v>2.8001451903983039</v>
      </c>
      <c r="M190" s="7">
        <f t="shared" ref="M190:M225" ca="1" si="48">h*MAX(J190,0)</f>
        <v>0.50402613427169474</v>
      </c>
      <c r="N190" s="1">
        <f t="shared" ref="N190:N225" ca="1" si="49">IF(J190&lt;0,1,0)</f>
        <v>0</v>
      </c>
      <c r="O190" s="13">
        <f t="shared" ref="O190:O225" ca="1" si="50">IF(J190&lt;0,-J190+MIN(0,G190),0)</f>
        <v>0</v>
      </c>
      <c r="P190" s="28">
        <f t="shared" ref="P190:P225" ca="1" si="51">p*MAX(-J190,0)</f>
        <v>0</v>
      </c>
      <c r="Q190" s="28">
        <f t="shared" ref="Q190:Q225" ca="1" si="52">IF(E190&gt;0,K,0)</f>
        <v>0</v>
      </c>
      <c r="R190" s="28">
        <f t="shared" ca="1" si="45"/>
        <v>0.50402613427169474</v>
      </c>
    </row>
    <row r="191" spans="1:18">
      <c r="A191" s="1">
        <f t="shared" si="37"/>
        <v>66</v>
      </c>
      <c r="B191" s="13">
        <f t="shared" ca="1" si="38"/>
        <v>2.8001451903983039</v>
      </c>
      <c r="C191" s="13">
        <f t="shared" ca="1" si="39"/>
        <v>0</v>
      </c>
      <c r="D191" s="13">
        <f t="shared" ca="1" si="40"/>
        <v>2.8001451903983039</v>
      </c>
      <c r="E191" s="13">
        <f t="shared" ca="1" si="47"/>
        <v>53.799854809601698</v>
      </c>
      <c r="F191" s="13">
        <f t="shared" ca="1" si="46"/>
        <v>53.799854809601698</v>
      </c>
      <c r="G191" s="13">
        <f t="shared" ca="1" si="41"/>
        <v>56.6</v>
      </c>
      <c r="H191" s="13">
        <f t="shared" ref="H191:H225" ca="1" si="53">D191+E191</f>
        <v>56.6</v>
      </c>
      <c r="I191" s="13">
        <v>60.5578949643158</v>
      </c>
      <c r="J191" s="13">
        <f t="shared" ca="1" si="42"/>
        <v>-3.9578949643157983</v>
      </c>
      <c r="K191" s="13">
        <f t="shared" ca="1" si="43"/>
        <v>0</v>
      </c>
      <c r="L191" s="13">
        <f t="shared" ca="1" si="44"/>
        <v>-3.9578949643157983</v>
      </c>
      <c r="M191" s="7">
        <f t="shared" ca="1" si="48"/>
        <v>0</v>
      </c>
      <c r="N191" s="1">
        <f t="shared" ca="1" si="49"/>
        <v>1</v>
      </c>
      <c r="O191" s="13">
        <f t="shared" ca="1" si="50"/>
        <v>3.9578949643157983</v>
      </c>
      <c r="P191" s="28">
        <f t="shared" ca="1" si="51"/>
        <v>2.7705264750210588</v>
      </c>
      <c r="Q191" s="28">
        <f t="shared" ca="1" si="52"/>
        <v>0</v>
      </c>
      <c r="R191" s="28">
        <f t="shared" ca="1" si="45"/>
        <v>2.7705264750210588</v>
      </c>
    </row>
    <row r="192" spans="1:18">
      <c r="A192" s="1">
        <f t="shared" si="37"/>
        <v>67</v>
      </c>
      <c r="B192" s="13">
        <f t="shared" ca="1" si="38"/>
        <v>-3.9578949643157983</v>
      </c>
      <c r="C192" s="13">
        <f t="shared" ca="1" si="39"/>
        <v>0</v>
      </c>
      <c r="D192" s="13">
        <f t="shared" ca="1" si="40"/>
        <v>-3.9578949643157983</v>
      </c>
      <c r="E192" s="13">
        <f t="shared" ca="1" si="47"/>
        <v>60.5578949643158</v>
      </c>
      <c r="F192" s="13">
        <f t="shared" ca="1" si="46"/>
        <v>60.5578949643158</v>
      </c>
      <c r="G192" s="13">
        <f t="shared" ca="1" si="41"/>
        <v>56.6</v>
      </c>
      <c r="H192" s="13">
        <f t="shared" ca="1" si="53"/>
        <v>56.6</v>
      </c>
      <c r="I192" s="13">
        <v>61.185169737956002</v>
      </c>
      <c r="J192" s="13">
        <f t="shared" ca="1" si="42"/>
        <v>-4.5851697379560008</v>
      </c>
      <c r="K192" s="13">
        <f t="shared" ca="1" si="43"/>
        <v>0</v>
      </c>
      <c r="L192" s="13">
        <f t="shared" ca="1" si="44"/>
        <v>-4.5851697379560008</v>
      </c>
      <c r="M192" s="7">
        <f t="shared" ca="1" si="48"/>
        <v>0</v>
      </c>
      <c r="N192" s="1">
        <f t="shared" ca="1" si="49"/>
        <v>1</v>
      </c>
      <c r="O192" s="13">
        <f t="shared" ca="1" si="50"/>
        <v>4.5851697379560008</v>
      </c>
      <c r="P192" s="28">
        <f t="shared" ca="1" si="51"/>
        <v>3.2096188165692006</v>
      </c>
      <c r="Q192" s="28">
        <f t="shared" ca="1" si="52"/>
        <v>0</v>
      </c>
      <c r="R192" s="28">
        <f t="shared" ca="1" si="45"/>
        <v>3.2096188165692006</v>
      </c>
    </row>
    <row r="193" spans="1:18">
      <c r="A193" s="1">
        <f t="shared" si="37"/>
        <v>68</v>
      </c>
      <c r="B193" s="13">
        <f t="shared" ca="1" si="38"/>
        <v>-4.5851697379560008</v>
      </c>
      <c r="C193" s="13">
        <f t="shared" ca="1" si="39"/>
        <v>0</v>
      </c>
      <c r="D193" s="13">
        <f t="shared" ca="1" si="40"/>
        <v>-4.5851697379560008</v>
      </c>
      <c r="E193" s="13">
        <f t="shared" ca="1" si="47"/>
        <v>61.185169737956002</v>
      </c>
      <c r="F193" s="13">
        <f t="shared" ca="1" si="46"/>
        <v>61.185169737956002</v>
      </c>
      <c r="G193" s="13">
        <f t="shared" ca="1" si="41"/>
        <v>56.6</v>
      </c>
      <c r="H193" s="13">
        <f t="shared" ca="1" si="53"/>
        <v>56.6</v>
      </c>
      <c r="I193" s="13">
        <v>41.858817417080097</v>
      </c>
      <c r="J193" s="13">
        <f t="shared" ca="1" si="42"/>
        <v>14.741182582919905</v>
      </c>
      <c r="K193" s="13">
        <f t="shared" ca="1" si="43"/>
        <v>0</v>
      </c>
      <c r="L193" s="13">
        <f t="shared" ca="1" si="44"/>
        <v>14.741182582919905</v>
      </c>
      <c r="M193" s="7">
        <f t="shared" ca="1" si="48"/>
        <v>2.6534128649255826</v>
      </c>
      <c r="N193" s="1">
        <f t="shared" ca="1" si="49"/>
        <v>0</v>
      </c>
      <c r="O193" s="13">
        <f t="shared" ca="1" si="50"/>
        <v>0</v>
      </c>
      <c r="P193" s="28">
        <f t="shared" ca="1" si="51"/>
        <v>0</v>
      </c>
      <c r="Q193" s="28">
        <f t="shared" ca="1" si="52"/>
        <v>0</v>
      </c>
      <c r="R193" s="28">
        <f t="shared" ca="1" si="45"/>
        <v>2.6534128649255826</v>
      </c>
    </row>
    <row r="194" spans="1:18">
      <c r="A194" s="1">
        <f t="shared" si="37"/>
        <v>69</v>
      </c>
      <c r="B194" s="13">
        <f t="shared" ca="1" si="38"/>
        <v>14.741182582919905</v>
      </c>
      <c r="C194" s="13">
        <f t="shared" ca="1" si="39"/>
        <v>0</v>
      </c>
      <c r="D194" s="13">
        <f t="shared" ca="1" si="40"/>
        <v>14.741182582919905</v>
      </c>
      <c r="E194" s="13">
        <f t="shared" ca="1" si="47"/>
        <v>41.858817417080097</v>
      </c>
      <c r="F194" s="13">
        <f t="shared" ca="1" si="46"/>
        <v>41.858817417080097</v>
      </c>
      <c r="G194" s="13">
        <f t="shared" ca="1" si="41"/>
        <v>56.6</v>
      </c>
      <c r="H194" s="13">
        <f t="shared" ca="1" si="53"/>
        <v>56.6</v>
      </c>
      <c r="I194" s="13">
        <v>55.179423370576302</v>
      </c>
      <c r="J194" s="13">
        <f t="shared" ca="1" si="42"/>
        <v>1.4205766294236994</v>
      </c>
      <c r="K194" s="13">
        <f t="shared" ca="1" si="43"/>
        <v>0</v>
      </c>
      <c r="L194" s="13">
        <f t="shared" ca="1" si="44"/>
        <v>1.4205766294236994</v>
      </c>
      <c r="M194" s="7">
        <f t="shared" ca="1" si="48"/>
        <v>0.25570379329626591</v>
      </c>
      <c r="N194" s="1">
        <f t="shared" ca="1" si="49"/>
        <v>0</v>
      </c>
      <c r="O194" s="13">
        <f t="shared" ca="1" si="50"/>
        <v>0</v>
      </c>
      <c r="P194" s="28">
        <f t="shared" ca="1" si="51"/>
        <v>0</v>
      </c>
      <c r="Q194" s="28">
        <f t="shared" ca="1" si="52"/>
        <v>0</v>
      </c>
      <c r="R194" s="28">
        <f t="shared" ca="1" si="45"/>
        <v>0.25570379329626591</v>
      </c>
    </row>
    <row r="195" spans="1:18">
      <c r="A195" s="1">
        <f t="shared" si="37"/>
        <v>70</v>
      </c>
      <c r="B195" s="13">
        <f t="shared" ca="1" si="38"/>
        <v>1.4205766294236994</v>
      </c>
      <c r="C195" s="13">
        <f t="shared" ca="1" si="39"/>
        <v>0</v>
      </c>
      <c r="D195" s="13">
        <f t="shared" ca="1" si="40"/>
        <v>1.4205766294236994</v>
      </c>
      <c r="E195" s="13">
        <f t="shared" ca="1" si="47"/>
        <v>55.179423370576302</v>
      </c>
      <c r="F195" s="13">
        <f t="shared" ca="1" si="46"/>
        <v>55.179423370576302</v>
      </c>
      <c r="G195" s="13">
        <f t="shared" ca="1" si="41"/>
        <v>56.6</v>
      </c>
      <c r="H195" s="13">
        <f t="shared" ca="1" si="53"/>
        <v>56.6</v>
      </c>
      <c r="I195" s="13">
        <v>31.720470780901501</v>
      </c>
      <c r="J195" s="13">
        <f t="shared" ca="1" si="42"/>
        <v>24.879529219098501</v>
      </c>
      <c r="K195" s="13">
        <f t="shared" ca="1" si="43"/>
        <v>0</v>
      </c>
      <c r="L195" s="13">
        <f t="shared" ca="1" si="44"/>
        <v>24.879529219098501</v>
      </c>
      <c r="M195" s="7">
        <f t="shared" ca="1" si="48"/>
        <v>4.4783152594377302</v>
      </c>
      <c r="N195" s="1">
        <f t="shared" ca="1" si="49"/>
        <v>0</v>
      </c>
      <c r="O195" s="13">
        <f t="shared" ca="1" si="50"/>
        <v>0</v>
      </c>
      <c r="P195" s="28">
        <f t="shared" ca="1" si="51"/>
        <v>0</v>
      </c>
      <c r="Q195" s="28">
        <f t="shared" ca="1" si="52"/>
        <v>0</v>
      </c>
      <c r="R195" s="28">
        <f t="shared" ca="1" si="45"/>
        <v>4.4783152594377302</v>
      </c>
    </row>
    <row r="196" spans="1:18">
      <c r="A196" s="1">
        <f t="shared" si="37"/>
        <v>71</v>
      </c>
      <c r="B196" s="13">
        <f t="shared" ca="1" si="38"/>
        <v>24.879529219098501</v>
      </c>
      <c r="C196" s="13">
        <f t="shared" ca="1" si="39"/>
        <v>0</v>
      </c>
      <c r="D196" s="13">
        <f t="shared" ca="1" si="40"/>
        <v>24.879529219098501</v>
      </c>
      <c r="E196" s="13">
        <f t="shared" ca="1" si="47"/>
        <v>31.720470780901501</v>
      </c>
      <c r="F196" s="13">
        <f t="shared" ca="1" si="46"/>
        <v>31.720470780901501</v>
      </c>
      <c r="G196" s="13">
        <f t="shared" ca="1" si="41"/>
        <v>56.6</v>
      </c>
      <c r="H196" s="13">
        <f t="shared" ca="1" si="53"/>
        <v>56.6</v>
      </c>
      <c r="I196" s="13">
        <v>42.003625732556799</v>
      </c>
      <c r="J196" s="13">
        <f t="shared" ca="1" si="42"/>
        <v>14.596374267443203</v>
      </c>
      <c r="K196" s="13">
        <f t="shared" ca="1" si="43"/>
        <v>0</v>
      </c>
      <c r="L196" s="13">
        <f t="shared" ca="1" si="44"/>
        <v>14.596374267443203</v>
      </c>
      <c r="M196" s="7">
        <f t="shared" ca="1" si="48"/>
        <v>2.6273473681397763</v>
      </c>
      <c r="N196" s="1">
        <f t="shared" ca="1" si="49"/>
        <v>0</v>
      </c>
      <c r="O196" s="13">
        <f t="shared" ca="1" si="50"/>
        <v>0</v>
      </c>
      <c r="P196" s="28">
        <f t="shared" ca="1" si="51"/>
        <v>0</v>
      </c>
      <c r="Q196" s="28">
        <f t="shared" ca="1" si="52"/>
        <v>0</v>
      </c>
      <c r="R196" s="28">
        <f t="shared" ca="1" si="45"/>
        <v>2.6273473681397763</v>
      </c>
    </row>
    <row r="197" spans="1:18">
      <c r="A197" s="1">
        <f t="shared" si="37"/>
        <v>72</v>
      </c>
      <c r="B197" s="13">
        <f t="shared" ca="1" si="38"/>
        <v>14.596374267443203</v>
      </c>
      <c r="C197" s="13">
        <f t="shared" ca="1" si="39"/>
        <v>0</v>
      </c>
      <c r="D197" s="13">
        <f t="shared" ca="1" si="40"/>
        <v>14.596374267443203</v>
      </c>
      <c r="E197" s="13">
        <f t="shared" ca="1" si="47"/>
        <v>42.003625732556799</v>
      </c>
      <c r="F197" s="13">
        <f t="shared" ca="1" si="46"/>
        <v>42.003625732556799</v>
      </c>
      <c r="G197" s="13">
        <f t="shared" ca="1" si="41"/>
        <v>56.6</v>
      </c>
      <c r="H197" s="13">
        <f t="shared" ca="1" si="53"/>
        <v>56.6</v>
      </c>
      <c r="I197" s="13">
        <v>44.610046631696299</v>
      </c>
      <c r="J197" s="13">
        <f t="shared" ca="1" si="42"/>
        <v>11.989953368303702</v>
      </c>
      <c r="K197" s="13">
        <f t="shared" ca="1" si="43"/>
        <v>0</v>
      </c>
      <c r="L197" s="13">
        <f t="shared" ca="1" si="44"/>
        <v>11.989953368303702</v>
      </c>
      <c r="M197" s="7">
        <f t="shared" ca="1" si="48"/>
        <v>2.1581916062946664</v>
      </c>
      <c r="N197" s="1">
        <f t="shared" ca="1" si="49"/>
        <v>0</v>
      </c>
      <c r="O197" s="13">
        <f t="shared" ca="1" si="50"/>
        <v>0</v>
      </c>
      <c r="P197" s="28">
        <f t="shared" ca="1" si="51"/>
        <v>0</v>
      </c>
      <c r="Q197" s="28">
        <f t="shared" ca="1" si="52"/>
        <v>0</v>
      </c>
      <c r="R197" s="28">
        <f t="shared" ca="1" si="45"/>
        <v>2.1581916062946664</v>
      </c>
    </row>
    <row r="198" spans="1:18">
      <c r="A198" s="1">
        <f t="shared" si="37"/>
        <v>73</v>
      </c>
      <c r="B198" s="13">
        <f t="shared" ca="1" si="38"/>
        <v>11.989953368303702</v>
      </c>
      <c r="C198" s="13">
        <f t="shared" ca="1" si="39"/>
        <v>0</v>
      </c>
      <c r="D198" s="13">
        <f t="shared" ca="1" si="40"/>
        <v>11.989953368303702</v>
      </c>
      <c r="E198" s="13">
        <f t="shared" ca="1" si="47"/>
        <v>44.610046631696299</v>
      </c>
      <c r="F198" s="13">
        <f t="shared" ca="1" si="46"/>
        <v>44.610046631696299</v>
      </c>
      <c r="G198" s="13">
        <f t="shared" ca="1" si="41"/>
        <v>56.6</v>
      </c>
      <c r="H198" s="13">
        <f t="shared" ca="1" si="53"/>
        <v>56.6</v>
      </c>
      <c r="I198" s="13">
        <v>53.991199673806697</v>
      </c>
      <c r="J198" s="13">
        <f t="shared" ca="1" si="42"/>
        <v>2.6088003261933039</v>
      </c>
      <c r="K198" s="13">
        <f t="shared" ca="1" si="43"/>
        <v>0</v>
      </c>
      <c r="L198" s="13">
        <f t="shared" ca="1" si="44"/>
        <v>2.6088003261933039</v>
      </c>
      <c r="M198" s="7">
        <f t="shared" ca="1" si="48"/>
        <v>0.46958405871479469</v>
      </c>
      <c r="N198" s="1">
        <f t="shared" ca="1" si="49"/>
        <v>0</v>
      </c>
      <c r="O198" s="13">
        <f t="shared" ca="1" si="50"/>
        <v>0</v>
      </c>
      <c r="P198" s="28">
        <f t="shared" ca="1" si="51"/>
        <v>0</v>
      </c>
      <c r="Q198" s="28">
        <f t="shared" ca="1" si="52"/>
        <v>0</v>
      </c>
      <c r="R198" s="28">
        <f t="shared" ca="1" si="45"/>
        <v>0.46958405871479469</v>
      </c>
    </row>
    <row r="199" spans="1:18">
      <c r="A199" s="1">
        <f t="shared" si="37"/>
        <v>74</v>
      </c>
      <c r="B199" s="13">
        <f t="shared" ca="1" si="38"/>
        <v>2.6088003261933039</v>
      </c>
      <c r="C199" s="13">
        <f t="shared" ca="1" si="39"/>
        <v>0</v>
      </c>
      <c r="D199" s="13">
        <f t="shared" ca="1" si="40"/>
        <v>2.6088003261933039</v>
      </c>
      <c r="E199" s="13">
        <f t="shared" ca="1" si="47"/>
        <v>53.991199673806697</v>
      </c>
      <c r="F199" s="13">
        <f t="shared" ca="1" si="46"/>
        <v>53.991199673806697</v>
      </c>
      <c r="G199" s="13">
        <f t="shared" ca="1" si="41"/>
        <v>56.6</v>
      </c>
      <c r="H199" s="13">
        <f t="shared" ca="1" si="53"/>
        <v>56.6</v>
      </c>
      <c r="I199" s="13">
        <v>35.120446556946902</v>
      </c>
      <c r="J199" s="13">
        <f t="shared" ca="1" si="42"/>
        <v>21.479553443053099</v>
      </c>
      <c r="K199" s="13">
        <f t="shared" ca="1" si="43"/>
        <v>0</v>
      </c>
      <c r="L199" s="13">
        <f t="shared" ca="1" si="44"/>
        <v>21.479553443053099</v>
      </c>
      <c r="M199" s="7">
        <f t="shared" ca="1" si="48"/>
        <v>3.8663196197495577</v>
      </c>
      <c r="N199" s="1">
        <f t="shared" ca="1" si="49"/>
        <v>0</v>
      </c>
      <c r="O199" s="13">
        <f t="shared" ca="1" si="50"/>
        <v>0</v>
      </c>
      <c r="P199" s="28">
        <f t="shared" ca="1" si="51"/>
        <v>0</v>
      </c>
      <c r="Q199" s="28">
        <f t="shared" ca="1" si="52"/>
        <v>0</v>
      </c>
      <c r="R199" s="28">
        <f t="shared" ca="1" si="45"/>
        <v>3.8663196197495577</v>
      </c>
    </row>
    <row r="200" spans="1:18">
      <c r="A200" s="1">
        <f t="shared" ref="A200:A225" si="54">A199+1</f>
        <v>75</v>
      </c>
      <c r="B200" s="13">
        <f t="shared" ref="B200:B225" ca="1" si="55">J199</f>
        <v>21.479553443053099</v>
      </c>
      <c r="C200" s="13">
        <f t="shared" ref="C200:C225" ca="1" si="56">K199</f>
        <v>0</v>
      </c>
      <c r="D200" s="13">
        <f t="shared" ca="1" si="40"/>
        <v>21.479553443053099</v>
      </c>
      <c r="E200" s="13">
        <f t="shared" ca="1" si="47"/>
        <v>35.120446556946902</v>
      </c>
      <c r="F200" s="13">
        <f t="shared" ca="1" si="46"/>
        <v>35.120446556946902</v>
      </c>
      <c r="G200" s="13">
        <f t="shared" ca="1" si="41"/>
        <v>56.6</v>
      </c>
      <c r="H200" s="13">
        <f t="shared" ca="1" si="53"/>
        <v>56.6</v>
      </c>
      <c r="I200" s="13">
        <v>58.672086285303003</v>
      </c>
      <c r="J200" s="13">
        <f t="shared" ca="1" si="42"/>
        <v>-2.0720862853030013</v>
      </c>
      <c r="K200" s="13">
        <f t="shared" ca="1" si="43"/>
        <v>0</v>
      </c>
      <c r="L200" s="13">
        <f t="shared" ca="1" si="44"/>
        <v>-2.0720862853030013</v>
      </c>
      <c r="M200" s="7">
        <f t="shared" ca="1" si="48"/>
        <v>0</v>
      </c>
      <c r="N200" s="1">
        <f t="shared" ca="1" si="49"/>
        <v>1</v>
      </c>
      <c r="O200" s="13">
        <f t="shared" ca="1" si="50"/>
        <v>2.0720862853030013</v>
      </c>
      <c r="P200" s="28">
        <f t="shared" ca="1" si="51"/>
        <v>1.4504603997121008</v>
      </c>
      <c r="Q200" s="28">
        <f t="shared" ca="1" si="52"/>
        <v>0</v>
      </c>
      <c r="R200" s="28">
        <f t="shared" ca="1" si="45"/>
        <v>1.4504603997121008</v>
      </c>
    </row>
    <row r="201" spans="1:18">
      <c r="A201" s="1">
        <f t="shared" si="54"/>
        <v>76</v>
      </c>
      <c r="B201" s="13">
        <f t="shared" ca="1" si="55"/>
        <v>-2.0720862853030013</v>
      </c>
      <c r="C201" s="13">
        <f t="shared" ca="1" si="56"/>
        <v>0</v>
      </c>
      <c r="D201" s="13">
        <f t="shared" ca="1" si="40"/>
        <v>-2.0720862853030013</v>
      </c>
      <c r="E201" s="13">
        <f t="shared" ca="1" si="47"/>
        <v>58.672086285303003</v>
      </c>
      <c r="F201" s="13">
        <f t="shared" ca="1" si="46"/>
        <v>58.672086285303003</v>
      </c>
      <c r="G201" s="13">
        <f t="shared" ca="1" si="41"/>
        <v>56.6</v>
      </c>
      <c r="H201" s="13">
        <f t="shared" ca="1" si="53"/>
        <v>56.6</v>
      </c>
      <c r="I201" s="13">
        <v>34.540592391375199</v>
      </c>
      <c r="J201" s="13">
        <f t="shared" ca="1" si="42"/>
        <v>22.059407608624802</v>
      </c>
      <c r="K201" s="13">
        <f t="shared" ca="1" si="43"/>
        <v>0</v>
      </c>
      <c r="L201" s="13">
        <f t="shared" ca="1" si="44"/>
        <v>22.059407608624802</v>
      </c>
      <c r="M201" s="7">
        <f t="shared" ca="1" si="48"/>
        <v>3.9706933695524644</v>
      </c>
      <c r="N201" s="1">
        <f t="shared" ca="1" si="49"/>
        <v>0</v>
      </c>
      <c r="O201" s="13">
        <f t="shared" ca="1" si="50"/>
        <v>0</v>
      </c>
      <c r="P201" s="28">
        <f t="shared" ca="1" si="51"/>
        <v>0</v>
      </c>
      <c r="Q201" s="28">
        <f t="shared" ca="1" si="52"/>
        <v>0</v>
      </c>
      <c r="R201" s="28">
        <f t="shared" ca="1" si="45"/>
        <v>3.9706933695524644</v>
      </c>
    </row>
    <row r="202" spans="1:18">
      <c r="A202" s="1">
        <f t="shared" si="54"/>
        <v>77</v>
      </c>
      <c r="B202" s="13">
        <f t="shared" ca="1" si="55"/>
        <v>22.059407608624802</v>
      </c>
      <c r="C202" s="13">
        <f t="shared" ca="1" si="56"/>
        <v>0</v>
      </c>
      <c r="D202" s="13">
        <f t="shared" ca="1" si="40"/>
        <v>22.059407608624802</v>
      </c>
      <c r="E202" s="13">
        <f t="shared" ca="1" si="47"/>
        <v>34.540592391375199</v>
      </c>
      <c r="F202" s="13">
        <f t="shared" ca="1" si="46"/>
        <v>34.540592391375199</v>
      </c>
      <c r="G202" s="13">
        <f t="shared" ca="1" si="41"/>
        <v>56.6</v>
      </c>
      <c r="H202" s="13">
        <f t="shared" ca="1" si="53"/>
        <v>56.6</v>
      </c>
      <c r="I202" s="13">
        <v>51.5303702518843</v>
      </c>
      <c r="J202" s="13">
        <f t="shared" ca="1" si="42"/>
        <v>5.0696297481157018</v>
      </c>
      <c r="K202" s="13">
        <f t="shared" ca="1" si="43"/>
        <v>0</v>
      </c>
      <c r="L202" s="13">
        <f t="shared" ca="1" si="44"/>
        <v>5.0696297481157018</v>
      </c>
      <c r="M202" s="7">
        <f t="shared" ca="1" si="48"/>
        <v>0.9125333546608263</v>
      </c>
      <c r="N202" s="1">
        <f t="shared" ca="1" si="49"/>
        <v>0</v>
      </c>
      <c r="O202" s="13">
        <f t="shared" ca="1" si="50"/>
        <v>0</v>
      </c>
      <c r="P202" s="28">
        <f t="shared" ca="1" si="51"/>
        <v>0</v>
      </c>
      <c r="Q202" s="28">
        <f t="shared" ca="1" si="52"/>
        <v>0</v>
      </c>
      <c r="R202" s="28">
        <f t="shared" ca="1" si="45"/>
        <v>0.9125333546608263</v>
      </c>
    </row>
    <row r="203" spans="1:18">
      <c r="A203" s="1">
        <f t="shared" si="54"/>
        <v>78</v>
      </c>
      <c r="B203" s="13">
        <f t="shared" ca="1" si="55"/>
        <v>5.0696297481157018</v>
      </c>
      <c r="C203" s="13">
        <f t="shared" ca="1" si="56"/>
        <v>0</v>
      </c>
      <c r="D203" s="13">
        <f t="shared" ca="1" si="40"/>
        <v>5.0696297481157018</v>
      </c>
      <c r="E203" s="13">
        <f t="shared" ca="1" si="47"/>
        <v>51.5303702518843</v>
      </c>
      <c r="F203" s="13">
        <f t="shared" ca="1" si="46"/>
        <v>51.5303702518843</v>
      </c>
      <c r="G203" s="13">
        <f t="shared" ca="1" si="41"/>
        <v>56.6</v>
      </c>
      <c r="H203" s="13">
        <f t="shared" ca="1" si="53"/>
        <v>56.6</v>
      </c>
      <c r="I203" s="13">
        <v>32.772138108392099</v>
      </c>
      <c r="J203" s="13">
        <f t="shared" ca="1" si="42"/>
        <v>23.827861891607903</v>
      </c>
      <c r="K203" s="13">
        <f t="shared" ca="1" si="43"/>
        <v>0</v>
      </c>
      <c r="L203" s="13">
        <f t="shared" ca="1" si="44"/>
        <v>23.827861891607903</v>
      </c>
      <c r="M203" s="7">
        <f t="shared" ca="1" si="48"/>
        <v>4.2890151404894219</v>
      </c>
      <c r="N203" s="1">
        <f t="shared" ca="1" si="49"/>
        <v>0</v>
      </c>
      <c r="O203" s="13">
        <f t="shared" ca="1" si="50"/>
        <v>0</v>
      </c>
      <c r="P203" s="28">
        <f t="shared" ca="1" si="51"/>
        <v>0</v>
      </c>
      <c r="Q203" s="28">
        <f t="shared" ca="1" si="52"/>
        <v>0</v>
      </c>
      <c r="R203" s="28">
        <f t="shared" ca="1" si="45"/>
        <v>4.2890151404894219</v>
      </c>
    </row>
    <row r="204" spans="1:18">
      <c r="A204" s="1">
        <f t="shared" si="54"/>
        <v>79</v>
      </c>
      <c r="B204" s="13">
        <f t="shared" ca="1" si="55"/>
        <v>23.827861891607903</v>
      </c>
      <c r="C204" s="13">
        <f t="shared" ca="1" si="56"/>
        <v>0</v>
      </c>
      <c r="D204" s="13">
        <f t="shared" ca="1" si="40"/>
        <v>23.827861891607903</v>
      </c>
      <c r="E204" s="13">
        <f t="shared" ca="1" si="47"/>
        <v>32.772138108392099</v>
      </c>
      <c r="F204" s="13">
        <f t="shared" ca="1" si="46"/>
        <v>32.772138108392099</v>
      </c>
      <c r="G204" s="13">
        <f t="shared" ca="1" si="41"/>
        <v>56.6</v>
      </c>
      <c r="H204" s="13">
        <f t="shared" ca="1" si="53"/>
        <v>56.6</v>
      </c>
      <c r="I204" s="13">
        <v>42.081926125294103</v>
      </c>
      <c r="J204" s="13">
        <f t="shared" ca="1" si="42"/>
        <v>14.518073874705898</v>
      </c>
      <c r="K204" s="13">
        <f t="shared" ca="1" si="43"/>
        <v>0</v>
      </c>
      <c r="L204" s="13">
        <f t="shared" ca="1" si="44"/>
        <v>14.518073874705898</v>
      </c>
      <c r="M204" s="7">
        <f t="shared" ca="1" si="48"/>
        <v>2.6132532974470615</v>
      </c>
      <c r="N204" s="1">
        <f t="shared" ca="1" si="49"/>
        <v>0</v>
      </c>
      <c r="O204" s="13">
        <f t="shared" ca="1" si="50"/>
        <v>0</v>
      </c>
      <c r="P204" s="28">
        <f t="shared" ca="1" si="51"/>
        <v>0</v>
      </c>
      <c r="Q204" s="28">
        <f t="shared" ca="1" si="52"/>
        <v>0</v>
      </c>
      <c r="R204" s="28">
        <f t="shared" ca="1" si="45"/>
        <v>2.6132532974470615</v>
      </c>
    </row>
    <row r="205" spans="1:18">
      <c r="A205" s="1">
        <f t="shared" si="54"/>
        <v>80</v>
      </c>
      <c r="B205" s="13">
        <f t="shared" ca="1" si="55"/>
        <v>14.518073874705898</v>
      </c>
      <c r="C205" s="13">
        <f t="shared" ca="1" si="56"/>
        <v>0</v>
      </c>
      <c r="D205" s="13">
        <f t="shared" ca="1" si="40"/>
        <v>14.518073874705898</v>
      </c>
      <c r="E205" s="13">
        <f t="shared" ca="1" si="47"/>
        <v>42.081926125294103</v>
      </c>
      <c r="F205" s="13">
        <f t="shared" ca="1" si="46"/>
        <v>42.081926125294103</v>
      </c>
      <c r="G205" s="13">
        <f t="shared" ca="1" si="41"/>
        <v>56.6</v>
      </c>
      <c r="H205" s="13">
        <f t="shared" ca="1" si="53"/>
        <v>56.6</v>
      </c>
      <c r="I205" s="13">
        <v>60.1427085784441</v>
      </c>
      <c r="J205" s="13">
        <f t="shared" ca="1" si="42"/>
        <v>-3.542708578444099</v>
      </c>
      <c r="K205" s="13">
        <f t="shared" ca="1" si="43"/>
        <v>0</v>
      </c>
      <c r="L205" s="13">
        <f t="shared" ca="1" si="44"/>
        <v>-3.542708578444099</v>
      </c>
      <c r="M205" s="7">
        <f t="shared" ca="1" si="48"/>
        <v>0</v>
      </c>
      <c r="N205" s="1">
        <f t="shared" ca="1" si="49"/>
        <v>1</v>
      </c>
      <c r="O205" s="13">
        <f t="shared" ca="1" si="50"/>
        <v>3.542708578444099</v>
      </c>
      <c r="P205" s="28">
        <f t="shared" ca="1" si="51"/>
        <v>2.4798960049108691</v>
      </c>
      <c r="Q205" s="28">
        <f t="shared" ca="1" si="52"/>
        <v>0</v>
      </c>
      <c r="R205" s="28">
        <f t="shared" ca="1" si="45"/>
        <v>2.4798960049108691</v>
      </c>
    </row>
    <row r="206" spans="1:18">
      <c r="A206" s="1">
        <f t="shared" si="54"/>
        <v>81</v>
      </c>
      <c r="B206" s="13">
        <f t="shared" ca="1" si="55"/>
        <v>-3.542708578444099</v>
      </c>
      <c r="C206" s="13">
        <f t="shared" ca="1" si="56"/>
        <v>0</v>
      </c>
      <c r="D206" s="13">
        <f t="shared" ca="1" si="40"/>
        <v>-3.542708578444099</v>
      </c>
      <c r="E206" s="13">
        <f t="shared" ca="1" si="47"/>
        <v>60.1427085784441</v>
      </c>
      <c r="F206" s="13">
        <f t="shared" ca="1" si="46"/>
        <v>60.1427085784441</v>
      </c>
      <c r="G206" s="13">
        <f t="shared" ca="1" si="41"/>
        <v>56.6</v>
      </c>
      <c r="H206" s="13">
        <f t="shared" ca="1" si="53"/>
        <v>56.6</v>
      </c>
      <c r="I206" s="13">
        <v>50.094947199624499</v>
      </c>
      <c r="J206" s="13">
        <f t="shared" ca="1" si="42"/>
        <v>6.5050528003755019</v>
      </c>
      <c r="K206" s="13">
        <f t="shared" ca="1" si="43"/>
        <v>0</v>
      </c>
      <c r="L206" s="13">
        <f t="shared" ca="1" si="44"/>
        <v>6.5050528003755019</v>
      </c>
      <c r="M206" s="7">
        <f t="shared" ca="1" si="48"/>
        <v>1.1709095040675903</v>
      </c>
      <c r="N206" s="1">
        <f t="shared" ca="1" si="49"/>
        <v>0</v>
      </c>
      <c r="O206" s="13">
        <f t="shared" ca="1" si="50"/>
        <v>0</v>
      </c>
      <c r="P206" s="28">
        <f t="shared" ca="1" si="51"/>
        <v>0</v>
      </c>
      <c r="Q206" s="28">
        <f t="shared" ca="1" si="52"/>
        <v>0</v>
      </c>
      <c r="R206" s="28">
        <f t="shared" ca="1" si="45"/>
        <v>1.1709095040675903</v>
      </c>
    </row>
    <row r="207" spans="1:18">
      <c r="A207" s="1">
        <f t="shared" si="54"/>
        <v>82</v>
      </c>
      <c r="B207" s="13">
        <f t="shared" ca="1" si="55"/>
        <v>6.5050528003755019</v>
      </c>
      <c r="C207" s="13">
        <f t="shared" ca="1" si="56"/>
        <v>0</v>
      </c>
      <c r="D207" s="13">
        <f t="shared" ca="1" si="40"/>
        <v>6.5050528003755019</v>
      </c>
      <c r="E207" s="13">
        <f t="shared" ca="1" si="47"/>
        <v>50.094947199624499</v>
      </c>
      <c r="F207" s="13">
        <f t="shared" ca="1" si="46"/>
        <v>50.094947199624499</v>
      </c>
      <c r="G207" s="13">
        <f t="shared" ca="1" si="41"/>
        <v>56.6</v>
      </c>
      <c r="H207" s="13">
        <f t="shared" ca="1" si="53"/>
        <v>56.6</v>
      </c>
      <c r="I207" s="13">
        <v>57.577653856328702</v>
      </c>
      <c r="J207" s="13">
        <f t="shared" ca="1" si="42"/>
        <v>-0.9776538563287005</v>
      </c>
      <c r="K207" s="13">
        <f t="shared" ca="1" si="43"/>
        <v>0</v>
      </c>
      <c r="L207" s="13">
        <f t="shared" ca="1" si="44"/>
        <v>-0.9776538563287005</v>
      </c>
      <c r="M207" s="7">
        <f t="shared" ca="1" si="48"/>
        <v>0</v>
      </c>
      <c r="N207" s="1">
        <f t="shared" ca="1" si="49"/>
        <v>1</v>
      </c>
      <c r="O207" s="13">
        <f t="shared" ca="1" si="50"/>
        <v>0.9776538563287005</v>
      </c>
      <c r="P207" s="28">
        <f t="shared" ca="1" si="51"/>
        <v>0.68435769943009028</v>
      </c>
      <c r="Q207" s="28">
        <f t="shared" ca="1" si="52"/>
        <v>0</v>
      </c>
      <c r="R207" s="28">
        <f t="shared" ca="1" si="45"/>
        <v>0.68435769943009028</v>
      </c>
    </row>
    <row r="208" spans="1:18">
      <c r="A208" s="1">
        <f t="shared" si="54"/>
        <v>83</v>
      </c>
      <c r="B208" s="13">
        <f t="shared" ca="1" si="55"/>
        <v>-0.9776538563287005</v>
      </c>
      <c r="C208" s="13">
        <f t="shared" ca="1" si="56"/>
        <v>0</v>
      </c>
      <c r="D208" s="13">
        <f t="shared" ca="1" si="40"/>
        <v>-0.9776538563287005</v>
      </c>
      <c r="E208" s="13">
        <f t="shared" ca="1" si="47"/>
        <v>57.577653856328702</v>
      </c>
      <c r="F208" s="13">
        <f t="shared" ca="1" si="46"/>
        <v>57.577653856328702</v>
      </c>
      <c r="G208" s="13">
        <f t="shared" ca="1" si="41"/>
        <v>56.6</v>
      </c>
      <c r="H208" s="13">
        <f t="shared" ca="1" si="53"/>
        <v>56.6</v>
      </c>
      <c r="I208" s="13">
        <v>44.859509035056902</v>
      </c>
      <c r="J208" s="13">
        <f t="shared" ca="1" si="42"/>
        <v>11.740490964943099</v>
      </c>
      <c r="K208" s="13">
        <f t="shared" ca="1" si="43"/>
        <v>0</v>
      </c>
      <c r="L208" s="13">
        <f t="shared" ca="1" si="44"/>
        <v>11.740490964943099</v>
      </c>
      <c r="M208" s="7">
        <f t="shared" ca="1" si="48"/>
        <v>2.1132883736897576</v>
      </c>
      <c r="N208" s="1">
        <f t="shared" ca="1" si="49"/>
        <v>0</v>
      </c>
      <c r="O208" s="13">
        <f t="shared" ca="1" si="50"/>
        <v>0</v>
      </c>
      <c r="P208" s="28">
        <f t="shared" ca="1" si="51"/>
        <v>0</v>
      </c>
      <c r="Q208" s="28">
        <f t="shared" ca="1" si="52"/>
        <v>0</v>
      </c>
      <c r="R208" s="28">
        <f t="shared" ca="1" si="45"/>
        <v>2.1132883736897576</v>
      </c>
    </row>
    <row r="209" spans="1:18">
      <c r="A209" s="1">
        <f t="shared" si="54"/>
        <v>84</v>
      </c>
      <c r="B209" s="13">
        <f t="shared" ca="1" si="55"/>
        <v>11.740490964943099</v>
      </c>
      <c r="C209" s="13">
        <f t="shared" ca="1" si="56"/>
        <v>0</v>
      </c>
      <c r="D209" s="13">
        <f t="shared" ca="1" si="40"/>
        <v>11.740490964943099</v>
      </c>
      <c r="E209" s="13">
        <f t="shared" ca="1" si="47"/>
        <v>44.859509035056902</v>
      </c>
      <c r="F209" s="13">
        <f t="shared" ca="1" si="46"/>
        <v>44.859509035056902</v>
      </c>
      <c r="G209" s="13">
        <f t="shared" ca="1" si="41"/>
        <v>56.6</v>
      </c>
      <c r="H209" s="13">
        <f t="shared" ca="1" si="53"/>
        <v>56.6</v>
      </c>
      <c r="I209" s="13">
        <v>44.807695434641801</v>
      </c>
      <c r="J209" s="13">
        <f t="shared" ca="1" si="42"/>
        <v>11.792304565358201</v>
      </c>
      <c r="K209" s="13">
        <f t="shared" ca="1" si="43"/>
        <v>0</v>
      </c>
      <c r="L209" s="13">
        <f t="shared" ca="1" si="44"/>
        <v>11.792304565358201</v>
      </c>
      <c r="M209" s="7">
        <f t="shared" ca="1" si="48"/>
        <v>2.122614821764476</v>
      </c>
      <c r="N209" s="1">
        <f t="shared" ca="1" si="49"/>
        <v>0</v>
      </c>
      <c r="O209" s="13">
        <f t="shared" ca="1" si="50"/>
        <v>0</v>
      </c>
      <c r="P209" s="28">
        <f t="shared" ca="1" si="51"/>
        <v>0</v>
      </c>
      <c r="Q209" s="28">
        <f t="shared" ca="1" si="52"/>
        <v>0</v>
      </c>
      <c r="R209" s="28">
        <f t="shared" ca="1" si="45"/>
        <v>2.122614821764476</v>
      </c>
    </row>
    <row r="210" spans="1:18">
      <c r="A210" s="1">
        <f t="shared" si="54"/>
        <v>85</v>
      </c>
      <c r="B210" s="13">
        <f t="shared" ca="1" si="55"/>
        <v>11.792304565358201</v>
      </c>
      <c r="C210" s="13">
        <f t="shared" ca="1" si="56"/>
        <v>0</v>
      </c>
      <c r="D210" s="13">
        <f t="shared" ca="1" si="40"/>
        <v>11.792304565358201</v>
      </c>
      <c r="E210" s="13">
        <f t="shared" ca="1" si="47"/>
        <v>44.807695434641801</v>
      </c>
      <c r="F210" s="13">
        <f t="shared" ca="1" si="46"/>
        <v>44.807695434641801</v>
      </c>
      <c r="G210" s="13">
        <f t="shared" ca="1" si="41"/>
        <v>56.6</v>
      </c>
      <c r="H210" s="13">
        <f t="shared" ca="1" si="53"/>
        <v>56.6</v>
      </c>
      <c r="I210" s="13">
        <v>55.055051865499202</v>
      </c>
      <c r="J210" s="13">
        <f t="shared" ca="1" si="42"/>
        <v>1.5449481345007996</v>
      </c>
      <c r="K210" s="13">
        <f t="shared" ca="1" si="43"/>
        <v>0</v>
      </c>
      <c r="L210" s="13">
        <f t="shared" ca="1" si="44"/>
        <v>1.5449481345007996</v>
      </c>
      <c r="M210" s="7">
        <f t="shared" ca="1" si="48"/>
        <v>0.27809066421014389</v>
      </c>
      <c r="N210" s="1">
        <f t="shared" ca="1" si="49"/>
        <v>0</v>
      </c>
      <c r="O210" s="13">
        <f t="shared" ca="1" si="50"/>
        <v>0</v>
      </c>
      <c r="P210" s="28">
        <f t="shared" ca="1" si="51"/>
        <v>0</v>
      </c>
      <c r="Q210" s="28">
        <f t="shared" ca="1" si="52"/>
        <v>0</v>
      </c>
      <c r="R210" s="28">
        <f t="shared" ca="1" si="45"/>
        <v>0.27809066421014389</v>
      </c>
    </row>
    <row r="211" spans="1:18">
      <c r="A211" s="1">
        <f t="shared" si="54"/>
        <v>86</v>
      </c>
      <c r="B211" s="13">
        <f t="shared" ca="1" si="55"/>
        <v>1.5449481345007996</v>
      </c>
      <c r="C211" s="13">
        <f t="shared" ca="1" si="56"/>
        <v>0</v>
      </c>
      <c r="D211" s="13">
        <f t="shared" ca="1" si="40"/>
        <v>1.5449481345007996</v>
      </c>
      <c r="E211" s="13">
        <f t="shared" ca="1" si="47"/>
        <v>55.055051865499202</v>
      </c>
      <c r="F211" s="13">
        <f t="shared" ca="1" si="46"/>
        <v>55.055051865499202</v>
      </c>
      <c r="G211" s="13">
        <f t="shared" ca="1" si="41"/>
        <v>56.6</v>
      </c>
      <c r="H211" s="13">
        <f t="shared" ca="1" si="53"/>
        <v>56.6</v>
      </c>
      <c r="I211" s="13">
        <v>44.321037451328301</v>
      </c>
      <c r="J211" s="13">
        <f t="shared" ca="1" si="42"/>
        <v>12.2789625486717</v>
      </c>
      <c r="K211" s="13">
        <f t="shared" ca="1" si="43"/>
        <v>0</v>
      </c>
      <c r="L211" s="13">
        <f t="shared" ca="1" si="44"/>
        <v>12.2789625486717</v>
      </c>
      <c r="M211" s="7">
        <f t="shared" ca="1" si="48"/>
        <v>2.210213258760906</v>
      </c>
      <c r="N211" s="1">
        <f t="shared" ca="1" si="49"/>
        <v>0</v>
      </c>
      <c r="O211" s="13">
        <f t="shared" ca="1" si="50"/>
        <v>0</v>
      </c>
      <c r="P211" s="28">
        <f t="shared" ca="1" si="51"/>
        <v>0</v>
      </c>
      <c r="Q211" s="28">
        <f t="shared" ca="1" si="52"/>
        <v>0</v>
      </c>
      <c r="R211" s="28">
        <f t="shared" ca="1" si="45"/>
        <v>2.210213258760906</v>
      </c>
    </row>
    <row r="212" spans="1:18">
      <c r="A212" s="1">
        <f t="shared" si="54"/>
        <v>87</v>
      </c>
      <c r="B212" s="13">
        <f t="shared" ca="1" si="55"/>
        <v>12.2789625486717</v>
      </c>
      <c r="C212" s="13">
        <f t="shared" ca="1" si="56"/>
        <v>0</v>
      </c>
      <c r="D212" s="13">
        <f t="shared" ca="1" si="40"/>
        <v>12.2789625486717</v>
      </c>
      <c r="E212" s="13">
        <f t="shared" ca="1" si="47"/>
        <v>44.321037451328301</v>
      </c>
      <c r="F212" s="13">
        <f t="shared" ca="1" si="46"/>
        <v>44.321037451328301</v>
      </c>
      <c r="G212" s="13">
        <f t="shared" ca="1" si="41"/>
        <v>56.6</v>
      </c>
      <c r="H212" s="13">
        <f t="shared" ca="1" si="53"/>
        <v>56.6</v>
      </c>
      <c r="I212" s="13">
        <v>58.694152582424401</v>
      </c>
      <c r="J212" s="13">
        <f t="shared" ca="1" si="42"/>
        <v>-2.0941525824243996</v>
      </c>
      <c r="K212" s="13">
        <f t="shared" ca="1" si="43"/>
        <v>0</v>
      </c>
      <c r="L212" s="13">
        <f t="shared" ca="1" si="44"/>
        <v>-2.0941525824243996</v>
      </c>
      <c r="M212" s="7">
        <f t="shared" ca="1" si="48"/>
        <v>0</v>
      </c>
      <c r="N212" s="1">
        <f t="shared" ca="1" si="49"/>
        <v>1</v>
      </c>
      <c r="O212" s="13">
        <f t="shared" ca="1" si="50"/>
        <v>2.0941525824243996</v>
      </c>
      <c r="P212" s="28">
        <f t="shared" ca="1" si="51"/>
        <v>1.4659068076970796</v>
      </c>
      <c r="Q212" s="28">
        <f t="shared" ca="1" si="52"/>
        <v>0</v>
      </c>
      <c r="R212" s="28">
        <f t="shared" ca="1" si="45"/>
        <v>1.4659068076970796</v>
      </c>
    </row>
    <row r="213" spans="1:18">
      <c r="A213" s="1">
        <f t="shared" si="54"/>
        <v>88</v>
      </c>
      <c r="B213" s="13">
        <f t="shared" ca="1" si="55"/>
        <v>-2.0941525824243996</v>
      </c>
      <c r="C213" s="13">
        <f t="shared" ca="1" si="56"/>
        <v>0</v>
      </c>
      <c r="D213" s="13">
        <f t="shared" ca="1" si="40"/>
        <v>-2.0941525824243996</v>
      </c>
      <c r="E213" s="13">
        <f t="shared" ca="1" si="47"/>
        <v>58.694152582424401</v>
      </c>
      <c r="F213" s="13">
        <f t="shared" ca="1" si="46"/>
        <v>58.694152582424401</v>
      </c>
      <c r="G213" s="13">
        <f t="shared" ca="1" si="41"/>
        <v>56.6</v>
      </c>
      <c r="H213" s="13">
        <f t="shared" ca="1" si="53"/>
        <v>56.6</v>
      </c>
      <c r="I213" s="13">
        <v>67.407315600941999</v>
      </c>
      <c r="J213" s="13">
        <f t="shared" ca="1" si="42"/>
        <v>-10.807315600941998</v>
      </c>
      <c r="K213" s="13">
        <f t="shared" ca="1" si="43"/>
        <v>0</v>
      </c>
      <c r="L213" s="13">
        <f t="shared" ca="1" si="44"/>
        <v>-10.807315600941998</v>
      </c>
      <c r="M213" s="7">
        <f t="shared" ca="1" si="48"/>
        <v>0</v>
      </c>
      <c r="N213" s="1">
        <f t="shared" ca="1" si="49"/>
        <v>1</v>
      </c>
      <c r="O213" s="13">
        <f t="shared" ca="1" si="50"/>
        <v>10.807315600941998</v>
      </c>
      <c r="P213" s="28">
        <f t="shared" ca="1" si="51"/>
        <v>7.5651209206593979</v>
      </c>
      <c r="Q213" s="28">
        <f t="shared" ca="1" si="52"/>
        <v>0</v>
      </c>
      <c r="R213" s="28">
        <f t="shared" ca="1" si="45"/>
        <v>7.5651209206593979</v>
      </c>
    </row>
    <row r="214" spans="1:18">
      <c r="A214" s="1">
        <f t="shared" si="54"/>
        <v>89</v>
      </c>
      <c r="B214" s="13">
        <f t="shared" ca="1" si="55"/>
        <v>-10.807315600941998</v>
      </c>
      <c r="C214" s="13">
        <f t="shared" ca="1" si="56"/>
        <v>0</v>
      </c>
      <c r="D214" s="13">
        <f t="shared" ca="1" si="40"/>
        <v>-10.807315600941998</v>
      </c>
      <c r="E214" s="13">
        <f t="shared" ca="1" si="47"/>
        <v>67.407315600941999</v>
      </c>
      <c r="F214" s="13">
        <f t="shared" ca="1" si="46"/>
        <v>67.407315600941999</v>
      </c>
      <c r="G214" s="13">
        <f t="shared" ca="1" si="41"/>
        <v>56.6</v>
      </c>
      <c r="H214" s="13">
        <f t="shared" ca="1" si="53"/>
        <v>56.6</v>
      </c>
      <c r="I214" s="13">
        <v>59.546499159320398</v>
      </c>
      <c r="J214" s="13">
        <f t="shared" ca="1" si="42"/>
        <v>-2.9464991593203962</v>
      </c>
      <c r="K214" s="13">
        <f t="shared" ca="1" si="43"/>
        <v>0</v>
      </c>
      <c r="L214" s="13">
        <f t="shared" ca="1" si="44"/>
        <v>-2.9464991593203962</v>
      </c>
      <c r="M214" s="7">
        <f t="shared" ca="1" si="48"/>
        <v>0</v>
      </c>
      <c r="N214" s="1">
        <f t="shared" ca="1" si="49"/>
        <v>1</v>
      </c>
      <c r="O214" s="13">
        <f t="shared" ca="1" si="50"/>
        <v>2.9464991593203962</v>
      </c>
      <c r="P214" s="28">
        <f t="shared" ca="1" si="51"/>
        <v>2.0625494115242771</v>
      </c>
      <c r="Q214" s="28">
        <f t="shared" ca="1" si="52"/>
        <v>0</v>
      </c>
      <c r="R214" s="28">
        <f t="shared" ca="1" si="45"/>
        <v>2.0625494115242771</v>
      </c>
    </row>
    <row r="215" spans="1:18">
      <c r="A215" s="1">
        <f t="shared" si="54"/>
        <v>90</v>
      </c>
      <c r="B215" s="13">
        <f t="shared" ca="1" si="55"/>
        <v>-2.9464991593203962</v>
      </c>
      <c r="C215" s="13">
        <f t="shared" ca="1" si="56"/>
        <v>0</v>
      </c>
      <c r="D215" s="13">
        <f t="shared" ca="1" si="40"/>
        <v>-2.9464991593203962</v>
      </c>
      <c r="E215" s="13">
        <f t="shared" ca="1" si="47"/>
        <v>59.546499159320398</v>
      </c>
      <c r="F215" s="13">
        <f t="shared" ca="1" si="46"/>
        <v>59.546499159320398</v>
      </c>
      <c r="G215" s="13">
        <f t="shared" ca="1" si="41"/>
        <v>56.6</v>
      </c>
      <c r="H215" s="13">
        <f t="shared" ca="1" si="53"/>
        <v>56.6</v>
      </c>
      <c r="I215" s="13">
        <v>43.776960702335103</v>
      </c>
      <c r="J215" s="13">
        <f t="shared" ca="1" si="42"/>
        <v>12.823039297664899</v>
      </c>
      <c r="K215" s="13">
        <f t="shared" ca="1" si="43"/>
        <v>0</v>
      </c>
      <c r="L215" s="13">
        <f t="shared" ca="1" si="44"/>
        <v>12.823039297664899</v>
      </c>
      <c r="M215" s="7">
        <f t="shared" ca="1" si="48"/>
        <v>2.3081470735796819</v>
      </c>
      <c r="N215" s="1">
        <f t="shared" ca="1" si="49"/>
        <v>0</v>
      </c>
      <c r="O215" s="13">
        <f t="shared" ca="1" si="50"/>
        <v>0</v>
      </c>
      <c r="P215" s="28">
        <f t="shared" ca="1" si="51"/>
        <v>0</v>
      </c>
      <c r="Q215" s="28">
        <f t="shared" ca="1" si="52"/>
        <v>0</v>
      </c>
      <c r="R215" s="28">
        <f t="shared" ca="1" si="45"/>
        <v>2.3081470735796819</v>
      </c>
    </row>
    <row r="216" spans="1:18">
      <c r="A216" s="1">
        <f t="shared" si="54"/>
        <v>91</v>
      </c>
      <c r="B216" s="13">
        <f t="shared" ca="1" si="55"/>
        <v>12.823039297664899</v>
      </c>
      <c r="C216" s="13">
        <f t="shared" ca="1" si="56"/>
        <v>0</v>
      </c>
      <c r="D216" s="13">
        <f t="shared" ca="1" si="40"/>
        <v>12.823039297664899</v>
      </c>
      <c r="E216" s="13">
        <f t="shared" ca="1" si="47"/>
        <v>43.776960702335103</v>
      </c>
      <c r="F216" s="13">
        <f t="shared" ca="1" si="46"/>
        <v>43.776960702335103</v>
      </c>
      <c r="G216" s="13">
        <f t="shared" ca="1" si="41"/>
        <v>56.6</v>
      </c>
      <c r="H216" s="13">
        <f t="shared" ca="1" si="53"/>
        <v>56.6</v>
      </c>
      <c r="I216" s="13">
        <v>55.557373610248703</v>
      </c>
      <c r="J216" s="13">
        <f t="shared" ca="1" si="42"/>
        <v>1.0426263897512982</v>
      </c>
      <c r="K216" s="13">
        <f t="shared" ca="1" si="43"/>
        <v>0</v>
      </c>
      <c r="L216" s="13">
        <f t="shared" ca="1" si="44"/>
        <v>1.0426263897512982</v>
      </c>
      <c r="M216" s="7">
        <f t="shared" ca="1" si="48"/>
        <v>0.18767275015523366</v>
      </c>
      <c r="N216" s="1">
        <f t="shared" ca="1" si="49"/>
        <v>0</v>
      </c>
      <c r="O216" s="13">
        <f t="shared" ca="1" si="50"/>
        <v>0</v>
      </c>
      <c r="P216" s="28">
        <f t="shared" ca="1" si="51"/>
        <v>0</v>
      </c>
      <c r="Q216" s="28">
        <f t="shared" ca="1" si="52"/>
        <v>0</v>
      </c>
      <c r="R216" s="28">
        <f t="shared" ca="1" si="45"/>
        <v>0.18767275015523366</v>
      </c>
    </row>
    <row r="217" spans="1:18">
      <c r="A217" s="1">
        <f t="shared" si="54"/>
        <v>92</v>
      </c>
      <c r="B217" s="13">
        <f t="shared" ca="1" si="55"/>
        <v>1.0426263897512982</v>
      </c>
      <c r="C217" s="13">
        <f t="shared" ca="1" si="56"/>
        <v>0</v>
      </c>
      <c r="D217" s="13">
        <f t="shared" ref="D217:D225" ca="1" si="57">B217+C217</f>
        <v>1.0426263897512982</v>
      </c>
      <c r="E217" s="13">
        <f t="shared" ca="1" si="47"/>
        <v>55.557373610248703</v>
      </c>
      <c r="F217" s="13">
        <f t="shared" ca="1" si="46"/>
        <v>55.557373610248703</v>
      </c>
      <c r="G217" s="13">
        <f t="shared" ref="G217:G225" ca="1" si="58">B217+F217</f>
        <v>56.6</v>
      </c>
      <c r="H217" s="13">
        <f t="shared" ca="1" si="53"/>
        <v>56.6</v>
      </c>
      <c r="I217" s="13">
        <v>53.270773396501198</v>
      </c>
      <c r="J217" s="13">
        <f t="shared" ref="J217:J225" ca="1" si="59">G217-I217</f>
        <v>3.3292266034988032</v>
      </c>
      <c r="K217" s="13">
        <f t="shared" ref="K217:K225" ca="1" si="60">C217+E217-F217</f>
        <v>0</v>
      </c>
      <c r="L217" s="13">
        <f t="shared" ca="1" si="44"/>
        <v>3.3292266034988032</v>
      </c>
      <c r="M217" s="7">
        <f t="shared" ca="1" si="48"/>
        <v>0.5992607886297846</v>
      </c>
      <c r="N217" s="1">
        <f t="shared" ca="1" si="49"/>
        <v>0</v>
      </c>
      <c r="O217" s="13">
        <f t="shared" ca="1" si="50"/>
        <v>0</v>
      </c>
      <c r="P217" s="28">
        <f t="shared" ca="1" si="51"/>
        <v>0</v>
      </c>
      <c r="Q217" s="28">
        <f t="shared" ca="1" si="52"/>
        <v>0</v>
      </c>
      <c r="R217" s="28">
        <f t="shared" ca="1" si="45"/>
        <v>0.5992607886297846</v>
      </c>
    </row>
    <row r="218" spans="1:18">
      <c r="A218" s="1">
        <f t="shared" si="54"/>
        <v>93</v>
      </c>
      <c r="B218" s="13">
        <f t="shared" ca="1" si="55"/>
        <v>3.3292266034988032</v>
      </c>
      <c r="C218" s="13">
        <f t="shared" ca="1" si="56"/>
        <v>0</v>
      </c>
      <c r="D218" s="13">
        <f t="shared" ca="1" si="57"/>
        <v>3.3292266034988032</v>
      </c>
      <c r="E218" s="13">
        <f t="shared" ca="1" si="47"/>
        <v>53.270773396501198</v>
      </c>
      <c r="F218" s="13">
        <f t="shared" ca="1" si="46"/>
        <v>53.270773396501198</v>
      </c>
      <c r="G218" s="13">
        <f t="shared" ca="1" si="58"/>
        <v>56.6</v>
      </c>
      <c r="H218" s="13">
        <f t="shared" ca="1" si="53"/>
        <v>56.6</v>
      </c>
      <c r="I218" s="13">
        <v>49.861415350956598</v>
      </c>
      <c r="J218" s="13">
        <f t="shared" ca="1" si="59"/>
        <v>6.7385846490434034</v>
      </c>
      <c r="K218" s="13">
        <f t="shared" ca="1" si="60"/>
        <v>0</v>
      </c>
      <c r="L218" s="13">
        <f t="shared" ref="L218:L225" ca="1" si="61">J218+K218</f>
        <v>6.7385846490434034</v>
      </c>
      <c r="M218" s="7">
        <f t="shared" ca="1" si="48"/>
        <v>1.2129452368278126</v>
      </c>
      <c r="N218" s="1">
        <f t="shared" ca="1" si="49"/>
        <v>0</v>
      </c>
      <c r="O218" s="13">
        <f t="shared" ca="1" si="50"/>
        <v>0</v>
      </c>
      <c r="P218" s="28">
        <f t="shared" ca="1" si="51"/>
        <v>0</v>
      </c>
      <c r="Q218" s="28">
        <f t="shared" ca="1" si="52"/>
        <v>0</v>
      </c>
      <c r="R218" s="28">
        <f t="shared" ref="R218:R225" ca="1" si="62">P218+M218+Q218</f>
        <v>1.2129452368278126</v>
      </c>
    </row>
    <row r="219" spans="1:18">
      <c r="A219" s="1">
        <f t="shared" si="54"/>
        <v>94</v>
      </c>
      <c r="B219" s="13">
        <f t="shared" ca="1" si="55"/>
        <v>6.7385846490434034</v>
      </c>
      <c r="C219" s="13">
        <f t="shared" ca="1" si="56"/>
        <v>0</v>
      </c>
      <c r="D219" s="13">
        <f t="shared" ca="1" si="57"/>
        <v>6.7385846490434034</v>
      </c>
      <c r="E219" s="13">
        <f t="shared" ca="1" si="47"/>
        <v>49.861415350956598</v>
      </c>
      <c r="F219" s="13">
        <f t="shared" ca="1" si="46"/>
        <v>49.861415350956598</v>
      </c>
      <c r="G219" s="13">
        <f t="shared" ca="1" si="58"/>
        <v>56.6</v>
      </c>
      <c r="H219" s="13">
        <f t="shared" ca="1" si="53"/>
        <v>56.6</v>
      </c>
      <c r="I219" s="13">
        <v>45.303801422538001</v>
      </c>
      <c r="J219" s="13">
        <f t="shared" ca="1" si="59"/>
        <v>11.296198577462</v>
      </c>
      <c r="K219" s="13">
        <f t="shared" ca="1" si="60"/>
        <v>0</v>
      </c>
      <c r="L219" s="13">
        <f t="shared" ca="1" si="61"/>
        <v>11.296198577462</v>
      </c>
      <c r="M219" s="7">
        <f t="shared" ca="1" si="48"/>
        <v>2.0333157439431599</v>
      </c>
      <c r="N219" s="1">
        <f t="shared" ca="1" si="49"/>
        <v>0</v>
      </c>
      <c r="O219" s="13">
        <f t="shared" ca="1" si="50"/>
        <v>0</v>
      </c>
      <c r="P219" s="28">
        <f t="shared" ca="1" si="51"/>
        <v>0</v>
      </c>
      <c r="Q219" s="28">
        <f t="shared" ca="1" si="52"/>
        <v>0</v>
      </c>
      <c r="R219" s="28">
        <f t="shared" ca="1" si="62"/>
        <v>2.0333157439431599</v>
      </c>
    </row>
    <row r="220" spans="1:18">
      <c r="A220" s="1">
        <f t="shared" si="54"/>
        <v>95</v>
      </c>
      <c r="B220" s="13">
        <f t="shared" ca="1" si="55"/>
        <v>11.296198577462</v>
      </c>
      <c r="C220" s="13">
        <f t="shared" ca="1" si="56"/>
        <v>0</v>
      </c>
      <c r="D220" s="13">
        <f t="shared" ca="1" si="57"/>
        <v>11.296198577462</v>
      </c>
      <c r="E220" s="13">
        <f t="shared" ca="1" si="47"/>
        <v>45.303801422538001</v>
      </c>
      <c r="F220" s="13">
        <f t="shared" ca="1" si="46"/>
        <v>45.303801422538001</v>
      </c>
      <c r="G220" s="13">
        <f t="shared" ca="1" si="58"/>
        <v>56.6</v>
      </c>
      <c r="H220" s="13">
        <f t="shared" ca="1" si="53"/>
        <v>56.6</v>
      </c>
      <c r="I220" s="13">
        <v>52.907933273661598</v>
      </c>
      <c r="J220" s="13">
        <f t="shared" ca="1" si="59"/>
        <v>3.6920667263384033</v>
      </c>
      <c r="K220" s="13">
        <f t="shared" ca="1" si="60"/>
        <v>0</v>
      </c>
      <c r="L220" s="13">
        <f t="shared" ca="1" si="61"/>
        <v>3.6920667263384033</v>
      </c>
      <c r="M220" s="7">
        <f t="shared" ca="1" si="48"/>
        <v>0.66457201074091254</v>
      </c>
      <c r="N220" s="1">
        <f t="shared" ca="1" si="49"/>
        <v>0</v>
      </c>
      <c r="O220" s="13">
        <f t="shared" ca="1" si="50"/>
        <v>0</v>
      </c>
      <c r="P220" s="28">
        <f t="shared" ca="1" si="51"/>
        <v>0</v>
      </c>
      <c r="Q220" s="28">
        <f t="shared" ca="1" si="52"/>
        <v>0</v>
      </c>
      <c r="R220" s="28">
        <f t="shared" ca="1" si="62"/>
        <v>0.66457201074091254</v>
      </c>
    </row>
    <row r="221" spans="1:18">
      <c r="A221" s="1">
        <f t="shared" si="54"/>
        <v>96</v>
      </c>
      <c r="B221" s="13">
        <f t="shared" ca="1" si="55"/>
        <v>3.6920667263384033</v>
      </c>
      <c r="C221" s="13">
        <f t="shared" ca="1" si="56"/>
        <v>0</v>
      </c>
      <c r="D221" s="13">
        <f t="shared" ca="1" si="57"/>
        <v>3.6920667263384033</v>
      </c>
      <c r="E221" s="13">
        <f t="shared" ca="1" si="47"/>
        <v>52.907933273661598</v>
      </c>
      <c r="F221" s="13">
        <f t="shared" ca="1" si="46"/>
        <v>52.907933273661598</v>
      </c>
      <c r="G221" s="13">
        <f t="shared" ca="1" si="58"/>
        <v>56.6</v>
      </c>
      <c r="H221" s="13">
        <f t="shared" ca="1" si="53"/>
        <v>56.6</v>
      </c>
      <c r="I221" s="13">
        <v>46.6435894960184</v>
      </c>
      <c r="J221" s="13">
        <f t="shared" ca="1" si="59"/>
        <v>9.9564105039816013</v>
      </c>
      <c r="K221" s="13">
        <f t="shared" ca="1" si="60"/>
        <v>0</v>
      </c>
      <c r="L221" s="13">
        <f t="shared" ca="1" si="61"/>
        <v>9.9564105039816013</v>
      </c>
      <c r="M221" s="7">
        <f t="shared" ca="1" si="48"/>
        <v>1.7921538907166881</v>
      </c>
      <c r="N221" s="1">
        <f t="shared" ca="1" si="49"/>
        <v>0</v>
      </c>
      <c r="O221" s="13">
        <f t="shared" ca="1" si="50"/>
        <v>0</v>
      </c>
      <c r="P221" s="28">
        <f t="shared" ca="1" si="51"/>
        <v>0</v>
      </c>
      <c r="Q221" s="28">
        <f t="shared" ca="1" si="52"/>
        <v>0</v>
      </c>
      <c r="R221" s="28">
        <f t="shared" ca="1" si="62"/>
        <v>1.7921538907166881</v>
      </c>
    </row>
    <row r="222" spans="1:18">
      <c r="A222" s="1">
        <f t="shared" si="54"/>
        <v>97</v>
      </c>
      <c r="B222" s="13">
        <f t="shared" ca="1" si="55"/>
        <v>9.9564105039816013</v>
      </c>
      <c r="C222" s="13">
        <f t="shared" ca="1" si="56"/>
        <v>0</v>
      </c>
      <c r="D222" s="13">
        <f t="shared" ca="1" si="57"/>
        <v>9.9564105039816013</v>
      </c>
      <c r="E222" s="13">
        <f t="shared" ca="1" si="47"/>
        <v>46.6435894960184</v>
      </c>
      <c r="F222" s="13">
        <f t="shared" ca="1" si="46"/>
        <v>46.6435894960184</v>
      </c>
      <c r="G222" s="13">
        <f t="shared" ca="1" si="58"/>
        <v>56.6</v>
      </c>
      <c r="H222" s="13">
        <f t="shared" ca="1" si="53"/>
        <v>56.6</v>
      </c>
      <c r="I222" s="13">
        <v>37.500586470583798</v>
      </c>
      <c r="J222" s="13">
        <f t="shared" ca="1" si="59"/>
        <v>19.099413529416204</v>
      </c>
      <c r="K222" s="13">
        <f t="shared" ca="1" si="60"/>
        <v>0</v>
      </c>
      <c r="L222" s="13">
        <f t="shared" ca="1" si="61"/>
        <v>19.099413529416204</v>
      </c>
      <c r="M222" s="7">
        <f t="shared" ca="1" si="48"/>
        <v>3.4378944352949166</v>
      </c>
      <c r="N222" s="1">
        <f t="shared" ca="1" si="49"/>
        <v>0</v>
      </c>
      <c r="O222" s="13">
        <f t="shared" ca="1" si="50"/>
        <v>0</v>
      </c>
      <c r="P222" s="28">
        <f t="shared" ca="1" si="51"/>
        <v>0</v>
      </c>
      <c r="Q222" s="28">
        <f t="shared" ca="1" si="52"/>
        <v>0</v>
      </c>
      <c r="R222" s="28">
        <f t="shared" ca="1" si="62"/>
        <v>3.4378944352949166</v>
      </c>
    </row>
    <row r="223" spans="1:18">
      <c r="A223" s="1">
        <f t="shared" si="54"/>
        <v>98</v>
      </c>
      <c r="B223" s="13">
        <f t="shared" ca="1" si="55"/>
        <v>19.099413529416204</v>
      </c>
      <c r="C223" s="13">
        <f t="shared" ca="1" si="56"/>
        <v>0</v>
      </c>
      <c r="D223" s="13">
        <f t="shared" ca="1" si="57"/>
        <v>19.099413529416204</v>
      </c>
      <c r="E223" s="13">
        <f t="shared" ca="1" si="47"/>
        <v>37.500586470583798</v>
      </c>
      <c r="F223" s="13">
        <f t="shared" ca="1" si="46"/>
        <v>37.500586470583798</v>
      </c>
      <c r="G223" s="13">
        <f t="shared" ca="1" si="58"/>
        <v>56.6</v>
      </c>
      <c r="H223" s="13">
        <f t="shared" ca="1" si="53"/>
        <v>56.6</v>
      </c>
      <c r="I223" s="13">
        <v>52.300659119735201</v>
      </c>
      <c r="J223" s="13">
        <f t="shared" ca="1" si="59"/>
        <v>4.2993408802648005</v>
      </c>
      <c r="K223" s="13">
        <f t="shared" ca="1" si="60"/>
        <v>0</v>
      </c>
      <c r="L223" s="13">
        <f t="shared" ca="1" si="61"/>
        <v>4.2993408802648005</v>
      </c>
      <c r="M223" s="7">
        <f t="shared" ca="1" si="48"/>
        <v>0.77388135844766404</v>
      </c>
      <c r="N223" s="1">
        <f t="shared" ca="1" si="49"/>
        <v>0</v>
      </c>
      <c r="O223" s="13">
        <f t="shared" ca="1" si="50"/>
        <v>0</v>
      </c>
      <c r="P223" s="28">
        <f t="shared" ca="1" si="51"/>
        <v>0</v>
      </c>
      <c r="Q223" s="28">
        <f t="shared" ca="1" si="52"/>
        <v>0</v>
      </c>
      <c r="R223" s="28">
        <f t="shared" ca="1" si="62"/>
        <v>0.77388135844766404</v>
      </c>
    </row>
    <row r="224" spans="1:18">
      <c r="A224" s="1">
        <f t="shared" si="54"/>
        <v>99</v>
      </c>
      <c r="B224" s="13">
        <f t="shared" ca="1" si="55"/>
        <v>4.2993408802648005</v>
      </c>
      <c r="C224" s="13">
        <f t="shared" ca="1" si="56"/>
        <v>0</v>
      </c>
      <c r="D224" s="13">
        <f t="shared" ca="1" si="57"/>
        <v>4.2993408802648005</v>
      </c>
      <c r="E224" s="13">
        <f t="shared" ca="1" si="47"/>
        <v>52.300659119735201</v>
      </c>
      <c r="F224" s="13">
        <f t="shared" ca="1" si="46"/>
        <v>52.300659119735201</v>
      </c>
      <c r="G224" s="13">
        <f t="shared" ca="1" si="58"/>
        <v>56.6</v>
      </c>
      <c r="H224" s="13">
        <f t="shared" ca="1" si="53"/>
        <v>56.6</v>
      </c>
      <c r="I224" s="13">
        <v>43.675233309645499</v>
      </c>
      <c r="J224" s="13">
        <f t="shared" ca="1" si="59"/>
        <v>12.924766690354502</v>
      </c>
      <c r="K224" s="13">
        <f t="shared" ca="1" si="60"/>
        <v>0</v>
      </c>
      <c r="L224" s="13">
        <f t="shared" ca="1" si="61"/>
        <v>12.924766690354502</v>
      </c>
      <c r="M224" s="7">
        <f t="shared" ca="1" si="48"/>
        <v>2.3264580042638103</v>
      </c>
      <c r="N224" s="1">
        <f t="shared" ca="1" si="49"/>
        <v>0</v>
      </c>
      <c r="O224" s="13">
        <f t="shared" ca="1" si="50"/>
        <v>0</v>
      </c>
      <c r="P224" s="28">
        <f t="shared" ca="1" si="51"/>
        <v>0</v>
      </c>
      <c r="Q224" s="28">
        <f t="shared" ca="1" si="52"/>
        <v>0</v>
      </c>
      <c r="R224" s="28">
        <f t="shared" ca="1" si="62"/>
        <v>2.3264580042638103</v>
      </c>
    </row>
    <row r="225" spans="1:18">
      <c r="A225" s="1">
        <f t="shared" si="54"/>
        <v>100</v>
      </c>
      <c r="B225" s="13">
        <f t="shared" ca="1" si="55"/>
        <v>12.924766690354502</v>
      </c>
      <c r="C225" s="13">
        <f t="shared" ca="1" si="56"/>
        <v>0</v>
      </c>
      <c r="D225" s="13">
        <f t="shared" ca="1" si="57"/>
        <v>12.924766690354502</v>
      </c>
      <c r="E225" s="13">
        <f t="shared" ca="1" si="47"/>
        <v>43.675233309645499</v>
      </c>
      <c r="F225" s="13">
        <f t="shared" ca="1" si="46"/>
        <v>43.675233309645499</v>
      </c>
      <c r="G225" s="13">
        <f t="shared" ca="1" si="58"/>
        <v>56.6</v>
      </c>
      <c r="H225" s="13">
        <f t="shared" ca="1" si="53"/>
        <v>56.6</v>
      </c>
      <c r="I225" s="13">
        <v>57.677220458469002</v>
      </c>
      <c r="J225" s="13">
        <f t="shared" ca="1" si="59"/>
        <v>-1.0772204584690002</v>
      </c>
      <c r="K225" s="13">
        <f t="shared" ca="1" si="60"/>
        <v>0</v>
      </c>
      <c r="L225" s="13">
        <f t="shared" ca="1" si="61"/>
        <v>-1.0772204584690002</v>
      </c>
      <c r="M225" s="7">
        <f t="shared" ca="1" si="48"/>
        <v>0</v>
      </c>
      <c r="N225" s="1">
        <f t="shared" ca="1" si="49"/>
        <v>1</v>
      </c>
      <c r="O225" s="13">
        <f t="shared" ca="1" si="50"/>
        <v>1.0772204584690002</v>
      </c>
      <c r="P225" s="28">
        <f t="shared" ca="1" si="51"/>
        <v>0.75405432092830005</v>
      </c>
      <c r="Q225" s="28">
        <f t="shared" ca="1" si="52"/>
        <v>0</v>
      </c>
      <c r="R225" s="28">
        <f t="shared" ca="1" si="62"/>
        <v>0.75405432092830005</v>
      </c>
    </row>
  </sheetData>
  <pageMargins left="0.75" right="0.75" top="1" bottom="1" header="0.5" footer="0.5"/>
  <pageSetup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GenerateRandomDemands">
                <anchor moveWithCells="1" sizeWithCells="1">
                  <from>
                    <xdr:col>5</xdr:col>
                    <xdr:colOff>0</xdr:colOff>
                    <xdr:row>15</xdr:row>
                    <xdr:rowOff>38100</xdr:rowOff>
                  </from>
                  <to>
                    <xdr:col>7</xdr:col>
                    <xdr:colOff>12700</xdr:colOff>
                    <xdr:row>16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B602"/>
  <sheetViews>
    <sheetView workbookViewId="0">
      <selection activeCell="B1" sqref="B1"/>
    </sheetView>
  </sheetViews>
  <sheetFormatPr baseColWidth="10" defaultRowHeight="16"/>
  <sheetData>
    <row r="1" spans="1:2">
      <c r="A1" t="s">
        <v>21</v>
      </c>
      <c r="B1" t="s">
        <v>20</v>
      </c>
    </row>
    <row r="2" spans="1:2">
      <c r="A2">
        <f t="shared" ref="A2:A65" si="0">_xlfn.NORM.S.DIST(B2,FALSE)-B2*(1-_xlfn.NORM.S.DIST(B2,TRUE))</f>
        <v>3.8215431704769712E-4</v>
      </c>
      <c r="B2">
        <v>3</v>
      </c>
    </row>
    <row r="3" spans="1:2">
      <c r="A3">
        <f t="shared" si="0"/>
        <v>3.9587712054848807E-4</v>
      </c>
      <c r="B3">
        <f>B2-0.01</f>
        <v>2.99</v>
      </c>
    </row>
    <row r="4" spans="1:2">
      <c r="A4">
        <f t="shared" si="0"/>
        <v>4.100566132608785E-4</v>
      </c>
      <c r="B4">
        <f t="shared" ref="B4:B67" si="1">B3-0.01</f>
        <v>2.9800000000000004</v>
      </c>
    </row>
    <row r="5" spans="1:2">
      <c r="A5">
        <f t="shared" si="0"/>
        <v>4.2470663262372376E-4</v>
      </c>
      <c r="B5">
        <f t="shared" si="1"/>
        <v>2.9700000000000006</v>
      </c>
    </row>
    <row r="6" spans="1:2">
      <c r="A6">
        <f t="shared" si="0"/>
        <v>4.3984138686777464E-4</v>
      </c>
      <c r="B6">
        <f t="shared" si="1"/>
        <v>2.9600000000000009</v>
      </c>
    </row>
    <row r="7" spans="1:2">
      <c r="A7">
        <f t="shared" si="0"/>
        <v>4.5547546332770118E-4</v>
      </c>
      <c r="B7">
        <f t="shared" si="1"/>
        <v>2.9500000000000011</v>
      </c>
    </row>
    <row r="8" spans="1:2">
      <c r="A8">
        <f t="shared" si="0"/>
        <v>4.7162383688949955E-4</v>
      </c>
      <c r="B8">
        <f t="shared" si="1"/>
        <v>2.9400000000000013</v>
      </c>
    </row>
    <row r="9" spans="1:2">
      <c r="A9">
        <f t="shared" si="0"/>
        <v>4.8830187857405553E-4</v>
      </c>
      <c r="B9">
        <f t="shared" si="1"/>
        <v>2.9300000000000015</v>
      </c>
    </row>
    <row r="10" spans="1:2">
      <c r="A10">
        <f t="shared" si="0"/>
        <v>5.0552536425677291E-4</v>
      </c>
      <c r="B10">
        <f t="shared" si="1"/>
        <v>2.9200000000000017</v>
      </c>
    </row>
    <row r="11" spans="1:2">
      <c r="A11">
        <f t="shared" si="0"/>
        <v>5.2331048352289179E-4</v>
      </c>
      <c r="B11">
        <f t="shared" si="1"/>
        <v>2.9100000000000019</v>
      </c>
    </row>
    <row r="12" spans="1:2">
      <c r="A12">
        <f t="shared" si="0"/>
        <v>5.4167384866208191E-4</v>
      </c>
      <c r="B12">
        <f t="shared" si="1"/>
        <v>2.9000000000000021</v>
      </c>
    </row>
    <row r="13" spans="1:2">
      <c r="A13">
        <f t="shared" si="0"/>
        <v>5.6063250380065498E-4</v>
      </c>
      <c r="B13">
        <f t="shared" si="1"/>
        <v>2.8900000000000023</v>
      </c>
    </row>
    <row r="14" spans="1:2">
      <c r="A14">
        <f t="shared" si="0"/>
        <v>5.8020393417026334E-4</v>
      </c>
      <c r="B14">
        <f t="shared" si="1"/>
        <v>2.8800000000000026</v>
      </c>
    </row>
    <row r="15" spans="1:2">
      <c r="A15">
        <f t="shared" si="0"/>
        <v>6.004060755163158E-4</v>
      </c>
      <c r="B15">
        <f t="shared" si="1"/>
        <v>2.8700000000000028</v>
      </c>
    </row>
    <row r="16" spans="1:2">
      <c r="A16">
        <f t="shared" si="0"/>
        <v>6.2125732364537532E-4</v>
      </c>
      <c r="B16">
        <f t="shared" si="1"/>
        <v>2.860000000000003</v>
      </c>
    </row>
    <row r="17" spans="1:2">
      <c r="A17">
        <f t="shared" si="0"/>
        <v>6.4277654411119042E-4</v>
      </c>
      <c r="B17">
        <f t="shared" si="1"/>
        <v>2.8500000000000032</v>
      </c>
    </row>
    <row r="18" spans="1:2">
      <c r="A18">
        <f t="shared" si="0"/>
        <v>6.6498308203937536E-4</v>
      </c>
      <c r="B18">
        <f t="shared" si="1"/>
        <v>2.8400000000000034</v>
      </c>
    </row>
    <row r="19" spans="1:2">
      <c r="A19">
        <f t="shared" si="0"/>
        <v>6.8789677209099218E-4</v>
      </c>
      <c r="B19">
        <f t="shared" si="1"/>
        <v>2.8300000000000036</v>
      </c>
    </row>
    <row r="20" spans="1:2">
      <c r="A20">
        <f t="shared" si="0"/>
        <v>7.1153794856695669E-4</v>
      </c>
      <c r="B20">
        <f t="shared" si="1"/>
        <v>2.8200000000000038</v>
      </c>
    </row>
    <row r="21" spans="1:2">
      <c r="A21">
        <f t="shared" si="0"/>
        <v>7.3592745564912861E-4</v>
      </c>
      <c r="B21">
        <f t="shared" si="1"/>
        <v>2.8100000000000041</v>
      </c>
    </row>
    <row r="22" spans="1:2">
      <c r="A22">
        <f t="shared" si="0"/>
        <v>7.610866577818275E-4</v>
      </c>
      <c r="B22">
        <f t="shared" si="1"/>
        <v>2.8000000000000043</v>
      </c>
    </row>
    <row r="23" spans="1:2">
      <c r="A23">
        <f t="shared" si="0"/>
        <v>7.8703745019120027E-4</v>
      </c>
      <c r="B23">
        <f t="shared" si="1"/>
        <v>2.7900000000000045</v>
      </c>
    </row>
    <row r="24" spans="1:2">
      <c r="A24">
        <f t="shared" si="0"/>
        <v>8.1380226954366579E-4</v>
      </c>
      <c r="B24">
        <f t="shared" si="1"/>
        <v>2.7800000000000047</v>
      </c>
    </row>
    <row r="25" spans="1:2">
      <c r="A25">
        <f t="shared" si="0"/>
        <v>8.4140410474051186E-4</v>
      </c>
      <c r="B25">
        <f t="shared" si="1"/>
        <v>2.7700000000000049</v>
      </c>
    </row>
    <row r="26" spans="1:2">
      <c r="A26">
        <f t="shared" si="0"/>
        <v>8.6986650785319218E-4</v>
      </c>
      <c r="B26">
        <f t="shared" si="1"/>
        <v>2.7600000000000051</v>
      </c>
    </row>
    <row r="27" spans="1:2">
      <c r="A27">
        <f t="shared" si="0"/>
        <v>8.9921360519087598E-4</v>
      </c>
      <c r="B27">
        <f t="shared" si="1"/>
        <v>2.7500000000000053</v>
      </c>
    </row>
    <row r="28" spans="1:2">
      <c r="A28">
        <f t="shared" si="0"/>
        <v>9.2947010850991281E-4</v>
      </c>
      <c r="B28">
        <f t="shared" si="1"/>
        <v>2.7400000000000055</v>
      </c>
    </row>
    <row r="29" spans="1:2">
      <c r="A29">
        <f t="shared" si="0"/>
        <v>9.606613263527259E-4</v>
      </c>
      <c r="B29">
        <f t="shared" si="1"/>
        <v>2.7300000000000058</v>
      </c>
    </row>
    <row r="30" spans="1:2">
      <c r="A30">
        <f t="shared" si="0"/>
        <v>9.9281317552671507E-4</v>
      </c>
      <c r="B30">
        <f t="shared" si="1"/>
        <v>2.720000000000006</v>
      </c>
    </row>
    <row r="31" spans="1:2">
      <c r="A31">
        <f t="shared" si="0"/>
        <v>1.0259521927136455E-3</v>
      </c>
      <c r="B31">
        <f t="shared" si="1"/>
        <v>2.7100000000000062</v>
      </c>
    </row>
    <row r="32" spans="1:2">
      <c r="A32">
        <f t="shared" si="0"/>
        <v>1.060105546212723E-3</v>
      </c>
      <c r="B32">
        <f t="shared" si="1"/>
        <v>2.7000000000000064</v>
      </c>
    </row>
    <row r="33" spans="1:2">
      <c r="A33">
        <f t="shared" si="0"/>
        <v>1.0953010478169361E-3</v>
      </c>
      <c r="B33">
        <f t="shared" si="1"/>
        <v>2.6900000000000066</v>
      </c>
    </row>
    <row r="34" spans="1:2">
      <c r="A34">
        <f t="shared" si="0"/>
        <v>1.1315671648166967E-3</v>
      </c>
      <c r="B34">
        <f t="shared" si="1"/>
        <v>2.6800000000000068</v>
      </c>
    </row>
    <row r="35" spans="1:2">
      <c r="A35">
        <f t="shared" si="0"/>
        <v>1.1689330321357789E-3</v>
      </c>
      <c r="B35">
        <f t="shared" si="1"/>
        <v>2.670000000000007</v>
      </c>
    </row>
    <row r="36" spans="1:2">
      <c r="A36">
        <f t="shared" si="0"/>
        <v>1.2074284645941357E-3</v>
      </c>
      <c r="B36">
        <f t="shared" si="1"/>
        <v>2.6600000000000072</v>
      </c>
    </row>
    <row r="37" spans="1:2">
      <c r="A37">
        <f t="shared" si="0"/>
        <v>1.2470839692956207E-3</v>
      </c>
      <c r="B37">
        <f t="shared" si="1"/>
        <v>2.6500000000000075</v>
      </c>
    </row>
    <row r="38" spans="1:2">
      <c r="A38">
        <f t="shared" si="0"/>
        <v>1.2879307581427357E-3</v>
      </c>
      <c r="B38">
        <f t="shared" si="1"/>
        <v>2.6400000000000077</v>
      </c>
    </row>
    <row r="39" spans="1:2">
      <c r="A39">
        <f t="shared" si="0"/>
        <v>1.3300007604730591E-3</v>
      </c>
      <c r="B39">
        <f t="shared" si="1"/>
        <v>2.6300000000000079</v>
      </c>
    </row>
    <row r="40" spans="1:2">
      <c r="A40">
        <f t="shared" si="0"/>
        <v>1.3733266358173755E-3</v>
      </c>
      <c r="B40">
        <f t="shared" si="1"/>
        <v>2.6200000000000081</v>
      </c>
    </row>
    <row r="41" spans="1:2">
      <c r="A41">
        <f t="shared" si="0"/>
        <v>1.4179417867765977E-3</v>
      </c>
      <c r="B41">
        <f t="shared" si="1"/>
        <v>2.6100000000000083</v>
      </c>
    </row>
    <row r="42" spans="1:2">
      <c r="A42">
        <f t="shared" si="0"/>
        <v>1.4638803720168642E-3</v>
      </c>
      <c r="B42">
        <f t="shared" si="1"/>
        <v>2.6000000000000085</v>
      </c>
    </row>
    <row r="43" spans="1:2">
      <c r="A43">
        <f t="shared" si="0"/>
        <v>1.5111773193790951E-3</v>
      </c>
      <c r="B43">
        <f t="shared" si="1"/>
        <v>2.5900000000000087</v>
      </c>
    </row>
    <row r="44" spans="1:2">
      <c r="A44">
        <f t="shared" si="0"/>
        <v>1.5598683391014889E-3</v>
      </c>
      <c r="B44">
        <f t="shared" si="1"/>
        <v>2.580000000000009</v>
      </c>
    </row>
    <row r="45" spans="1:2">
      <c r="A45">
        <f t="shared" si="0"/>
        <v>1.6099899371530661E-3</v>
      </c>
      <c r="B45">
        <f t="shared" si="1"/>
        <v>2.5700000000000092</v>
      </c>
    </row>
    <row r="46" spans="1:2">
      <c r="A46">
        <f t="shared" si="0"/>
        <v>1.6615794286745245E-3</v>
      </c>
      <c r="B46">
        <f t="shared" si="1"/>
        <v>2.5600000000000094</v>
      </c>
    </row>
    <row r="47" spans="1:2">
      <c r="A47">
        <f t="shared" si="0"/>
        <v>1.7146749515251618E-3</v>
      </c>
      <c r="B47">
        <f t="shared" si="1"/>
        <v>2.5500000000000096</v>
      </c>
    </row>
    <row r="48" spans="1:2">
      <c r="A48">
        <f t="shared" si="0"/>
        <v>1.7693154799309999E-3</v>
      </c>
      <c r="B48">
        <f t="shared" si="1"/>
        <v>2.5400000000000098</v>
      </c>
    </row>
    <row r="49" spans="1:2">
      <c r="A49">
        <f t="shared" si="0"/>
        <v>1.8255408382351155E-3</v>
      </c>
      <c r="B49">
        <f t="shared" si="1"/>
        <v>2.53000000000001</v>
      </c>
    </row>
    <row r="50" spans="1:2">
      <c r="A50">
        <f t="shared" si="0"/>
        <v>1.8833917147428134E-3</v>
      </c>
      <c r="B50">
        <f t="shared" si="1"/>
        <v>2.5200000000000102</v>
      </c>
    </row>
    <row r="51" spans="1:2">
      <c r="A51">
        <f t="shared" si="0"/>
        <v>1.9429096756611117E-3</v>
      </c>
      <c r="B51">
        <f t="shared" si="1"/>
        <v>2.5100000000000104</v>
      </c>
    </row>
    <row r="52" spans="1:2">
      <c r="A52">
        <f t="shared" si="0"/>
        <v>2.0041371791281633E-3</v>
      </c>
      <c r="B52">
        <f t="shared" si="1"/>
        <v>2.5000000000000107</v>
      </c>
    </row>
    <row r="53" spans="1:2">
      <c r="A53">
        <f t="shared" si="0"/>
        <v>2.0671175893310044E-3</v>
      </c>
      <c r="B53">
        <f t="shared" si="1"/>
        <v>2.4900000000000109</v>
      </c>
    </row>
    <row r="54" spans="1:2">
      <c r="A54">
        <f t="shared" si="0"/>
        <v>2.1318951907059354E-3</v>
      </c>
      <c r="B54">
        <f t="shared" si="1"/>
        <v>2.4800000000000111</v>
      </c>
    </row>
    <row r="55" spans="1:2">
      <c r="A55">
        <f t="shared" si="0"/>
        <v>2.1985152022187919E-3</v>
      </c>
      <c r="B55">
        <f t="shared" si="1"/>
        <v>2.4700000000000113</v>
      </c>
    </row>
    <row r="56" spans="1:2">
      <c r="A56">
        <f t="shared" si="0"/>
        <v>2.2670237917210116E-3</v>
      </c>
      <c r="B56">
        <f t="shared" si="1"/>
        <v>2.4600000000000115</v>
      </c>
    </row>
    <row r="57" spans="1:2">
      <c r="A57">
        <f t="shared" si="0"/>
        <v>2.3374680903801501E-3</v>
      </c>
      <c r="B57">
        <f t="shared" si="1"/>
        <v>2.4500000000000117</v>
      </c>
    </row>
    <row r="58" spans="1:2">
      <c r="A58">
        <f t="shared" si="0"/>
        <v>2.4098962071758649E-3</v>
      </c>
      <c r="B58">
        <f t="shared" si="1"/>
        <v>2.4400000000000119</v>
      </c>
    </row>
    <row r="59" spans="1:2">
      <c r="A59">
        <f t="shared" si="0"/>
        <v>2.484357243460765E-3</v>
      </c>
      <c r="B59">
        <f t="shared" si="1"/>
        <v>2.4300000000000122</v>
      </c>
    </row>
    <row r="60" spans="1:2">
      <c r="A60">
        <f t="shared" si="0"/>
        <v>2.5609013075827379E-3</v>
      </c>
      <c r="B60">
        <f t="shared" si="1"/>
        <v>2.4200000000000124</v>
      </c>
    </row>
    <row r="61" spans="1:2">
      <c r="A61">
        <f t="shared" si="0"/>
        <v>2.6395795295608808E-3</v>
      </c>
      <c r="B61">
        <f t="shared" si="1"/>
        <v>2.4100000000000126</v>
      </c>
    </row>
    <row r="62" spans="1:2">
      <c r="A62">
        <f t="shared" si="0"/>
        <v>2.7204440758121333E-3</v>
      </c>
      <c r="B62">
        <f t="shared" si="1"/>
        <v>2.4000000000000128</v>
      </c>
    </row>
    <row r="63" spans="1:2">
      <c r="A63">
        <f t="shared" si="0"/>
        <v>2.8035481639243909E-3</v>
      </c>
      <c r="B63">
        <f t="shared" si="1"/>
        <v>2.390000000000013</v>
      </c>
    </row>
    <row r="64" spans="1:2">
      <c r="A64">
        <f t="shared" si="0"/>
        <v>2.8889460774718968E-3</v>
      </c>
      <c r="B64">
        <f t="shared" si="1"/>
        <v>2.3800000000000132</v>
      </c>
    </row>
    <row r="65" spans="1:2">
      <c r="A65">
        <f t="shared" si="0"/>
        <v>2.9766931808647319E-3</v>
      </c>
      <c r="B65">
        <f t="shared" si="1"/>
        <v>2.3700000000000134</v>
      </c>
    </row>
    <row r="66" spans="1:2">
      <c r="A66">
        <f t="shared" ref="A66:A129" si="2">_xlfn.NORM.S.DIST(B66,FALSE)-B66*(1-_xlfn.NORM.S.DIST(B66,TRUE))</f>
        <v>3.0668459342309135E-3</v>
      </c>
      <c r="B66">
        <f t="shared" si="1"/>
        <v>2.3600000000000136</v>
      </c>
    </row>
    <row r="67" spans="1:2">
      <c r="A67">
        <f t="shared" si="2"/>
        <v>3.1594619083236165E-3</v>
      </c>
      <c r="B67">
        <f t="shared" si="1"/>
        <v>2.3500000000000139</v>
      </c>
    </row>
    <row r="68" spans="1:2">
      <c r="A68">
        <f t="shared" si="2"/>
        <v>3.2545997994490143E-3</v>
      </c>
      <c r="B68">
        <f t="shared" ref="B68:B131" si="3">B67-0.01</f>
        <v>2.3400000000000141</v>
      </c>
    </row>
    <row r="69" spans="1:2">
      <c r="A69">
        <f t="shared" si="2"/>
        <v>3.3523194444087766E-3</v>
      </c>
      <c r="B69">
        <f t="shared" si="3"/>
        <v>2.3300000000000143</v>
      </c>
    </row>
    <row r="70" spans="1:2">
      <c r="A70">
        <f t="shared" si="2"/>
        <v>3.4526818354520677E-3</v>
      </c>
      <c r="B70">
        <f t="shared" si="3"/>
        <v>2.3200000000000145</v>
      </c>
    </row>
    <row r="71" spans="1:2">
      <c r="A71">
        <f t="shared" si="2"/>
        <v>3.5557491352293247E-3</v>
      </c>
      <c r="B71">
        <f t="shared" si="3"/>
        <v>2.3100000000000147</v>
      </c>
    </row>
    <row r="72" spans="1:2">
      <c r="A72">
        <f t="shared" si="2"/>
        <v>3.6615846917466451E-3</v>
      </c>
      <c r="B72">
        <f t="shared" si="3"/>
        <v>2.3000000000000149</v>
      </c>
    </row>
    <row r="73" spans="1:2">
      <c r="A73">
        <f t="shared" si="2"/>
        <v>3.7702530533071689E-3</v>
      </c>
      <c r="B73">
        <f t="shared" si="3"/>
        <v>2.2900000000000151</v>
      </c>
    </row>
    <row r="74" spans="1:2">
      <c r="A74">
        <f t="shared" si="2"/>
        <v>3.881819983440702E-3</v>
      </c>
      <c r="B74">
        <f t="shared" si="3"/>
        <v>2.2800000000000153</v>
      </c>
    </row>
    <row r="75" spans="1:2">
      <c r="A75">
        <f t="shared" si="2"/>
        <v>3.9963524758104586E-3</v>
      </c>
      <c r="B75">
        <f t="shared" si="3"/>
        <v>2.2700000000000156</v>
      </c>
    </row>
    <row r="76" spans="1:2">
      <c r="A76">
        <f t="shared" si="2"/>
        <v>4.1139187690916526E-3</v>
      </c>
      <c r="B76">
        <f t="shared" si="3"/>
        <v>2.2600000000000158</v>
      </c>
    </row>
    <row r="77" spans="1:2">
      <c r="A77">
        <f t="shared" si="2"/>
        <v>4.2345883618165672E-3</v>
      </c>
      <c r="B77">
        <f t="shared" si="3"/>
        <v>2.250000000000016</v>
      </c>
    </row>
    <row r="78" spans="1:2">
      <c r="A78">
        <f t="shared" si="2"/>
        <v>4.3584320271769471E-3</v>
      </c>
      <c r="B78">
        <f t="shared" si="3"/>
        <v>2.2400000000000162</v>
      </c>
    </row>
    <row r="79" spans="1:2">
      <c r="A79">
        <f t="shared" si="2"/>
        <v>4.4855218277784908E-3</v>
      </c>
      <c r="B79">
        <f t="shared" si="3"/>
        <v>2.2300000000000164</v>
      </c>
    </row>
    <row r="80" spans="1:2">
      <c r="A80">
        <f t="shared" si="2"/>
        <v>4.6159311303401382E-3</v>
      </c>
      <c r="B80">
        <f t="shared" si="3"/>
        <v>2.2200000000000166</v>
      </c>
    </row>
    <row r="81" spans="1:2">
      <c r="A81">
        <f t="shared" si="2"/>
        <v>4.7497346203303308E-3</v>
      </c>
      <c r="B81">
        <f t="shared" si="3"/>
        <v>2.2100000000000168</v>
      </c>
    </row>
    <row r="82" spans="1:2">
      <c r="A82">
        <f t="shared" si="2"/>
        <v>4.887008316534186E-3</v>
      </c>
      <c r="B82">
        <f t="shared" si="3"/>
        <v>2.2000000000000171</v>
      </c>
    </row>
    <row r="83" spans="1:2">
      <c r="A83">
        <f t="shared" si="2"/>
        <v>5.0278295855410958E-3</v>
      </c>
      <c r="B83">
        <f t="shared" si="3"/>
        <v>2.1900000000000173</v>
      </c>
    </row>
    <row r="84" spans="1:2">
      <c r="A84">
        <f t="shared" si="2"/>
        <v>5.1722771561497002E-3</v>
      </c>
      <c r="B84">
        <f t="shared" si="3"/>
        <v>2.1800000000000175</v>
      </c>
    </row>
    <row r="85" spans="1:2">
      <c r="A85">
        <f t="shared" si="2"/>
        <v>5.3204311336784507E-3</v>
      </c>
      <c r="B85">
        <f t="shared" si="3"/>
        <v>2.1700000000000177</v>
      </c>
    </row>
    <row r="86" spans="1:2">
      <c r="A86">
        <f t="shared" si="2"/>
        <v>5.4723730141764751E-3</v>
      </c>
      <c r="B86">
        <f t="shared" si="3"/>
        <v>2.1600000000000179</v>
      </c>
    </row>
    <row r="87" spans="1:2">
      <c r="A87">
        <f t="shared" si="2"/>
        <v>5.6281856985253217E-3</v>
      </c>
      <c r="B87">
        <f t="shared" si="3"/>
        <v>2.1500000000000181</v>
      </c>
    </row>
    <row r="88" spans="1:2">
      <c r="A88">
        <f t="shared" si="2"/>
        <v>5.7879535064246021E-3</v>
      </c>
      <c r="B88">
        <f t="shared" si="3"/>
        <v>2.1400000000000183</v>
      </c>
    </row>
    <row r="89" spans="1:2">
      <c r="A89">
        <f t="shared" si="2"/>
        <v>5.9517621902515014E-3</v>
      </c>
      <c r="B89">
        <f t="shared" si="3"/>
        <v>2.1300000000000185</v>
      </c>
    </row>
    <row r="90" spans="1:2">
      <c r="A90">
        <f t="shared" si="2"/>
        <v>6.1196989487885267E-3</v>
      </c>
      <c r="B90">
        <f t="shared" si="3"/>
        <v>2.1200000000000188</v>
      </c>
    </row>
    <row r="91" spans="1:2">
      <c r="A91">
        <f t="shared" si="2"/>
        <v>6.291852440808883E-3</v>
      </c>
      <c r="B91">
        <f t="shared" si="3"/>
        <v>2.110000000000019</v>
      </c>
    </row>
    <row r="92" spans="1:2">
      <c r="A92">
        <f t="shared" si="2"/>
        <v>6.4683127985121561E-3</v>
      </c>
      <c r="B92">
        <f t="shared" si="3"/>
        <v>2.1000000000000192</v>
      </c>
    </row>
    <row r="93" spans="1:2">
      <c r="A93">
        <f t="shared" si="2"/>
        <v>6.6491716407995477E-3</v>
      </c>
      <c r="B93">
        <f t="shared" si="3"/>
        <v>2.0900000000000194</v>
      </c>
    </row>
    <row r="94" spans="1:2">
      <c r="A94">
        <f t="shared" si="2"/>
        <v>6.8345220863839026E-3</v>
      </c>
      <c r="B94">
        <f t="shared" si="3"/>
        <v>2.0800000000000196</v>
      </c>
    </row>
    <row r="95" spans="1:2">
      <c r="A95">
        <f t="shared" si="2"/>
        <v>7.0244587667220582E-3</v>
      </c>
      <c r="B95">
        <f t="shared" si="3"/>
        <v>2.0700000000000198</v>
      </c>
    </row>
    <row r="96" spans="1:2">
      <c r="A96">
        <f t="shared" si="2"/>
        <v>7.2190778387602808E-3</v>
      </c>
      <c r="B96">
        <f t="shared" si="3"/>
        <v>2.06000000000002</v>
      </c>
    </row>
    <row r="97" spans="1:2">
      <c r="A97">
        <f t="shared" si="2"/>
        <v>7.4184769974883144E-3</v>
      </c>
      <c r="B97">
        <f t="shared" si="3"/>
        <v>2.0500000000000203</v>
      </c>
    </row>
    <row r="98" spans="1:2">
      <c r="A98">
        <f t="shared" si="2"/>
        <v>7.6227554882873569E-3</v>
      </c>
      <c r="B98">
        <f t="shared" si="3"/>
        <v>2.0400000000000205</v>
      </c>
    </row>
    <row r="99" spans="1:2">
      <c r="A99">
        <f t="shared" si="2"/>
        <v>7.8320141190660192E-3</v>
      </c>
      <c r="B99">
        <f t="shared" si="3"/>
        <v>2.0300000000000207</v>
      </c>
    </row>
    <row r="100" spans="1:2">
      <c r="A100">
        <f t="shared" si="2"/>
        <v>8.0463552721736428E-3</v>
      </c>
      <c r="B100">
        <f t="shared" si="3"/>
        <v>2.0200000000000209</v>
      </c>
    </row>
    <row r="101" spans="1:2">
      <c r="A101">
        <f t="shared" si="2"/>
        <v>8.2658829160826078E-3</v>
      </c>
      <c r="B101">
        <f t="shared" si="3"/>
        <v>2.0100000000000211</v>
      </c>
    </row>
    <row r="102" spans="1:2">
      <c r="A102">
        <f t="shared" si="2"/>
        <v>8.4907026168290767E-3</v>
      </c>
      <c r="B102">
        <f t="shared" si="3"/>
        <v>2.0000000000000213</v>
      </c>
    </row>
    <row r="103" spans="1:2">
      <c r="A103">
        <f t="shared" si="2"/>
        <v>8.7209215492037792E-3</v>
      </c>
      <c r="B103">
        <f t="shared" si="3"/>
        <v>1.9900000000000213</v>
      </c>
    </row>
    <row r="104" spans="1:2">
      <c r="A104">
        <f t="shared" si="2"/>
        <v>8.9566485076805619E-3</v>
      </c>
      <c r="B104">
        <f t="shared" si="3"/>
        <v>1.9800000000000213</v>
      </c>
    </row>
    <row r="105" spans="1:2">
      <c r="A105">
        <f t="shared" si="2"/>
        <v>9.1979939170781372E-3</v>
      </c>
      <c r="B105">
        <f t="shared" si="3"/>
        <v>1.9700000000000213</v>
      </c>
    </row>
    <row r="106" spans="1:2">
      <c r="A106">
        <f t="shared" si="2"/>
        <v>9.4450698429389551E-3</v>
      </c>
      <c r="B106">
        <f t="shared" si="3"/>
        <v>1.9600000000000213</v>
      </c>
    </row>
    <row r="107" spans="1:2">
      <c r="A107">
        <f t="shared" si="2"/>
        <v>9.6979900016202492E-3</v>
      </c>
      <c r="B107">
        <f t="shared" si="3"/>
        <v>1.9500000000000213</v>
      </c>
    </row>
    <row r="108" spans="1:2">
      <c r="A108">
        <f t="shared" si="2"/>
        <v>9.956869770086002E-3</v>
      </c>
      <c r="B108">
        <f t="shared" si="3"/>
        <v>1.9400000000000213</v>
      </c>
    </row>
    <row r="109" spans="1:2">
      <c r="A109">
        <f t="shared" si="2"/>
        <v>1.022182619538857E-2</v>
      </c>
      <c r="B109">
        <f t="shared" si="3"/>
        <v>1.9300000000000213</v>
      </c>
    </row>
    <row r="110" spans="1:2">
      <c r="A110">
        <f t="shared" si="2"/>
        <v>1.0492978003831387E-2</v>
      </c>
      <c r="B110">
        <f t="shared" si="3"/>
        <v>1.9200000000000212</v>
      </c>
    </row>
    <row r="111" spans="1:2">
      <c r="A111">
        <f t="shared" si="2"/>
        <v>1.0770445609803302E-2</v>
      </c>
      <c r="B111">
        <f t="shared" si="3"/>
        <v>1.9100000000000212</v>
      </c>
    </row>
    <row r="112" spans="1:2">
      <c r="A112">
        <f t="shared" si="2"/>
        <v>1.1054351124272561E-2</v>
      </c>
      <c r="B112">
        <f t="shared" si="3"/>
        <v>1.9000000000000212</v>
      </c>
    </row>
    <row r="113" spans="1:2">
      <c r="A113">
        <f t="shared" si="2"/>
        <v>1.1344818362932808E-2</v>
      </c>
      <c r="B113">
        <f t="shared" si="3"/>
        <v>1.8900000000000212</v>
      </c>
    </row>
    <row r="114" spans="1:2">
      <c r="A114">
        <f t="shared" si="2"/>
        <v>1.1641972853988429E-2</v>
      </c>
      <c r="B114">
        <f t="shared" si="3"/>
        <v>1.8800000000000212</v>
      </c>
    </row>
    <row r="115" spans="1:2">
      <c r="A115">
        <f t="shared" si="2"/>
        <v>1.194594184557219E-2</v>
      </c>
      <c r="B115">
        <f t="shared" si="3"/>
        <v>1.8700000000000212</v>
      </c>
    </row>
    <row r="116" spans="1:2">
      <c r="A116">
        <f t="shared" si="2"/>
        <v>1.2256854312782679E-2</v>
      </c>
      <c r="B116">
        <f t="shared" si="3"/>
        <v>1.8600000000000212</v>
      </c>
    </row>
    <row r="117" spans="1:2">
      <c r="A117">
        <f t="shared" si="2"/>
        <v>1.2574840964331944E-2</v>
      </c>
      <c r="B117">
        <f t="shared" si="3"/>
        <v>1.8500000000000212</v>
      </c>
    </row>
    <row r="118" spans="1:2">
      <c r="A118">
        <f t="shared" si="2"/>
        <v>1.2900034248794705E-2</v>
      </c>
      <c r="B118">
        <f t="shared" si="3"/>
        <v>1.8400000000000212</v>
      </c>
    </row>
    <row r="119" spans="1:2">
      <c r="A119">
        <f t="shared" si="2"/>
        <v>1.3232568360447006E-2</v>
      </c>
      <c r="B119">
        <f t="shared" si="3"/>
        <v>1.8300000000000212</v>
      </c>
    </row>
    <row r="120" spans="1:2">
      <c r="A120">
        <f t="shared" si="2"/>
        <v>1.35725792446868E-2</v>
      </c>
      <c r="B120">
        <f t="shared" si="3"/>
        <v>1.8200000000000212</v>
      </c>
    </row>
    <row r="121" spans="1:2">
      <c r="A121">
        <f t="shared" si="2"/>
        <v>1.3920204603023054E-2</v>
      </c>
      <c r="B121">
        <f t="shared" si="3"/>
        <v>1.8100000000000211</v>
      </c>
    </row>
    <row r="122" spans="1:2">
      <c r="A122">
        <f t="shared" si="2"/>
        <v>1.4275583897627009E-2</v>
      </c>
      <c r="B122">
        <f t="shared" si="3"/>
        <v>1.8000000000000211</v>
      </c>
    </row>
    <row r="123" spans="1:2">
      <c r="A123">
        <f t="shared" si="2"/>
        <v>1.4638858355433257E-2</v>
      </c>
      <c r="B123">
        <f t="shared" si="3"/>
        <v>1.7900000000000211</v>
      </c>
    </row>
    <row r="124" spans="1:2">
      <c r="A124">
        <f t="shared" si="2"/>
        <v>1.5010170971782089E-2</v>
      </c>
      <c r="B124">
        <f t="shared" si="3"/>
        <v>1.7800000000000211</v>
      </c>
    </row>
    <row r="125" spans="1:2">
      <c r="A125">
        <f t="shared" si="2"/>
        <v>1.5389666513591485E-2</v>
      </c>
      <c r="B125">
        <f t="shared" si="3"/>
        <v>1.7700000000000211</v>
      </c>
    </row>
    <row r="126" spans="1:2">
      <c r="A126">
        <f t="shared" si="2"/>
        <v>1.5777491522051865E-2</v>
      </c>
      <c r="B126">
        <f t="shared" si="3"/>
        <v>1.7600000000000211</v>
      </c>
    </row>
    <row r="127" spans="1:2">
      <c r="A127">
        <f t="shared" si="2"/>
        <v>1.6173794314830847E-2</v>
      </c>
      <c r="B127">
        <f t="shared" si="3"/>
        <v>1.7500000000000211</v>
      </c>
    </row>
    <row r="128" spans="1:2">
      <c r="A128">
        <f t="shared" si="2"/>
        <v>1.6578724987779916E-2</v>
      </c>
      <c r="B128">
        <f t="shared" si="3"/>
        <v>1.7400000000000211</v>
      </c>
    </row>
    <row r="129" spans="1:2">
      <c r="A129">
        <f t="shared" si="2"/>
        <v>1.6992435416134946E-2</v>
      </c>
      <c r="B129">
        <f t="shared" si="3"/>
        <v>1.7300000000000211</v>
      </c>
    </row>
    <row r="130" spans="1:2">
      <c r="A130">
        <f t="shared" ref="A130:A193" si="4">_xlfn.NORM.S.DIST(B130,FALSE)-B130*(1-_xlfn.NORM.S.DIST(B130,TRUE))</f>
        <v>1.7415079255196267E-2</v>
      </c>
      <c r="B130">
        <f t="shared" si="3"/>
        <v>1.7200000000000211</v>
      </c>
    </row>
    <row r="131" spans="1:2">
      <c r="A131">
        <f t="shared" si="4"/>
        <v>1.7846811940485124E-2</v>
      </c>
      <c r="B131">
        <f t="shared" si="3"/>
        <v>1.7100000000000211</v>
      </c>
    </row>
    <row r="132" spans="1:2">
      <c r="A132">
        <f t="shared" si="4"/>
        <v>1.8287790687362915E-2</v>
      </c>
      <c r="B132">
        <f t="shared" ref="B132:B195" si="5">B131-0.01</f>
        <v>1.700000000000021</v>
      </c>
    </row>
    <row r="133" spans="1:2">
      <c r="A133">
        <f t="shared" si="4"/>
        <v>1.8738174490103801E-2</v>
      </c>
      <c r="B133">
        <f t="shared" si="5"/>
        <v>1.690000000000021</v>
      </c>
    </row>
    <row r="134" spans="1:2">
      <c r="A134">
        <f t="shared" si="4"/>
        <v>1.9198124120416896E-2</v>
      </c>
      <c r="B134">
        <f t="shared" si="5"/>
        <v>1.680000000000021</v>
      </c>
    </row>
    <row r="135" spans="1:2">
      <c r="A135">
        <f t="shared" si="4"/>
        <v>1.9667802125400702E-2</v>
      </c>
      <c r="B135">
        <f t="shared" si="5"/>
        <v>1.670000000000021</v>
      </c>
    </row>
    <row r="136" spans="1:2">
      <c r="A136">
        <f t="shared" si="4"/>
        <v>2.0147372824929746E-2</v>
      </c>
      <c r="B136">
        <f t="shared" si="5"/>
        <v>1.660000000000021</v>
      </c>
    </row>
    <row r="137" spans="1:2">
      <c r="A137">
        <f t="shared" si="4"/>
        <v>2.0637002308457733E-2</v>
      </c>
      <c r="B137">
        <f t="shared" si="5"/>
        <v>1.650000000000021</v>
      </c>
    </row>
    <row r="138" spans="1:2">
      <c r="A138">
        <f t="shared" si="4"/>
        <v>2.1136858431233058E-2</v>
      </c>
      <c r="B138">
        <f t="shared" si="5"/>
        <v>1.640000000000021</v>
      </c>
    </row>
    <row r="139" spans="1:2">
      <c r="A139">
        <f t="shared" si="4"/>
        <v>2.1647110809916936E-2</v>
      </c>
      <c r="B139">
        <f t="shared" si="5"/>
        <v>1.630000000000021</v>
      </c>
    </row>
    <row r="140" spans="1:2">
      <c r="A140">
        <f t="shared" si="4"/>
        <v>2.2167930817594342E-2</v>
      </c>
      <c r="B140">
        <f t="shared" si="5"/>
        <v>1.620000000000021</v>
      </c>
    </row>
    <row r="141" spans="1:2">
      <c r="A141">
        <f t="shared" si="4"/>
        <v>2.2699491578173581E-2</v>
      </c>
      <c r="B141">
        <f t="shared" si="5"/>
        <v>1.610000000000021</v>
      </c>
    </row>
    <row r="142" spans="1:2">
      <c r="A142">
        <f t="shared" si="4"/>
        <v>2.3241967960161647E-2</v>
      </c>
      <c r="B142">
        <f t="shared" si="5"/>
        <v>1.600000000000021</v>
      </c>
    </row>
    <row r="143" spans="1:2">
      <c r="A143">
        <f t="shared" si="4"/>
        <v>2.3795536569812953E-2</v>
      </c>
      <c r="B143">
        <f t="shared" si="5"/>
        <v>1.590000000000021</v>
      </c>
    </row>
    <row r="144" spans="1:2">
      <c r="A144">
        <f t="shared" si="4"/>
        <v>2.4360375743639556E-2</v>
      </c>
      <c r="B144">
        <f t="shared" si="5"/>
        <v>1.5800000000000209</v>
      </c>
    </row>
    <row r="145" spans="1:2">
      <c r="A145">
        <f t="shared" si="4"/>
        <v>2.4936665540277556E-2</v>
      </c>
      <c r="B145">
        <f t="shared" si="5"/>
        <v>1.5700000000000209</v>
      </c>
    </row>
    <row r="146" spans="1:2">
      <c r="A146">
        <f t="shared" si="4"/>
        <v>2.5524587731703893E-2</v>
      </c>
      <c r="B146">
        <f t="shared" si="5"/>
        <v>1.5600000000000209</v>
      </c>
    </row>
    <row r="147" spans="1:2">
      <c r="A147">
        <f t="shared" si="4"/>
        <v>2.6124325793792938E-2</v>
      </c>
      <c r="B147">
        <f t="shared" si="5"/>
        <v>1.5500000000000209</v>
      </c>
    </row>
    <row r="148" spans="1:2">
      <c r="A148">
        <f t="shared" si="4"/>
        <v>2.6736064896210165E-2</v>
      </c>
      <c r="B148">
        <f t="shared" si="5"/>
        <v>1.5400000000000209</v>
      </c>
    </row>
    <row r="149" spans="1:2">
      <c r="A149">
        <f t="shared" si="4"/>
        <v>2.7359991891634822E-2</v>
      </c>
      <c r="B149">
        <f t="shared" si="5"/>
        <v>1.5300000000000209</v>
      </c>
    </row>
    <row r="150" spans="1:2">
      <c r="A150">
        <f t="shared" si="4"/>
        <v>2.799629530430435E-2</v>
      </c>
      <c r="B150">
        <f t="shared" si="5"/>
        <v>1.5200000000000209</v>
      </c>
    </row>
    <row r="151" spans="1:2">
      <c r="A151">
        <f t="shared" si="4"/>
        <v>2.8645165317876531E-2</v>
      </c>
      <c r="B151">
        <f t="shared" si="5"/>
        <v>1.5100000000000209</v>
      </c>
    </row>
    <row r="152" spans="1:2">
      <c r="A152">
        <f t="shared" si="4"/>
        <v>2.9306793762603339E-2</v>
      </c>
      <c r="B152">
        <f t="shared" si="5"/>
        <v>1.5000000000000209</v>
      </c>
    </row>
    <row r="153" spans="1:2">
      <c r="A153">
        <f t="shared" si="4"/>
        <v>2.9981374101808747E-2</v>
      </c>
      <c r="B153">
        <f t="shared" si="5"/>
        <v>1.4900000000000209</v>
      </c>
    </row>
    <row r="154" spans="1:2">
      <c r="A154">
        <f t="shared" si="4"/>
        <v>3.066910141766982E-2</v>
      </c>
      <c r="B154">
        <f t="shared" si="5"/>
        <v>1.4800000000000209</v>
      </c>
    </row>
    <row r="155" spans="1:2">
      <c r="A155">
        <f t="shared" si="4"/>
        <v>3.1370172396292126E-2</v>
      </c>
      <c r="B155">
        <f t="shared" si="5"/>
        <v>1.4700000000000208</v>
      </c>
    </row>
    <row r="156" spans="1:2">
      <c r="A156">
        <f t="shared" si="4"/>
        <v>3.2084785312075356E-2</v>
      </c>
      <c r="B156">
        <f t="shared" si="5"/>
        <v>1.4600000000000208</v>
      </c>
    </row>
    <row r="157" spans="1:2">
      <c r="A157">
        <f t="shared" si="4"/>
        <v>3.2813140011368674E-2</v>
      </c>
      <c r="B157">
        <f t="shared" si="5"/>
        <v>1.4500000000000208</v>
      </c>
    </row>
    <row r="158" spans="1:2">
      <c r="A158">
        <f t="shared" si="4"/>
        <v>3.3555437895406368E-2</v>
      </c>
      <c r="B158">
        <f t="shared" si="5"/>
        <v>1.4400000000000208</v>
      </c>
    </row>
    <row r="159" spans="1:2">
      <c r="A159">
        <f t="shared" si="4"/>
        <v>3.4311881902523961E-2</v>
      </c>
      <c r="B159">
        <f t="shared" si="5"/>
        <v>1.4300000000000208</v>
      </c>
    </row>
    <row r="160" spans="1:2">
      <c r="A160">
        <f t="shared" si="4"/>
        <v>3.5082676489650175E-2</v>
      </c>
      <c r="B160">
        <f t="shared" si="5"/>
        <v>1.4200000000000208</v>
      </c>
    </row>
    <row r="161" spans="1:2">
      <c r="A161">
        <f t="shared" si="4"/>
        <v>3.5868027613070799E-2</v>
      </c>
      <c r="B161">
        <f t="shared" si="5"/>
        <v>1.4100000000000208</v>
      </c>
    </row>
    <row r="162" spans="1:2">
      <c r="A162">
        <f t="shared" si="4"/>
        <v>3.6668142708463858E-2</v>
      </c>
      <c r="B162">
        <f t="shared" si="5"/>
        <v>1.4000000000000208</v>
      </c>
    </row>
    <row r="163" spans="1:2">
      <c r="A163">
        <f t="shared" si="4"/>
        <v>3.7483230670200193E-2</v>
      </c>
      <c r="B163">
        <f t="shared" si="5"/>
        <v>1.3900000000000208</v>
      </c>
    </row>
    <row r="164" spans="1:2">
      <c r="A164">
        <f t="shared" si="4"/>
        <v>3.8313501829912319E-2</v>
      </c>
      <c r="B164">
        <f t="shared" si="5"/>
        <v>1.3800000000000208</v>
      </c>
    </row>
    <row r="165" spans="1:2">
      <c r="A165">
        <f t="shared" si="4"/>
        <v>3.9159167934324376E-2</v>
      </c>
      <c r="B165">
        <f t="shared" si="5"/>
        <v>1.3700000000000208</v>
      </c>
    </row>
    <row r="166" spans="1:2">
      <c r="A166">
        <f t="shared" si="4"/>
        <v>4.0020442122345679E-2</v>
      </c>
      <c r="B166">
        <f t="shared" si="5"/>
        <v>1.3600000000000207</v>
      </c>
    </row>
    <row r="167" spans="1:2">
      <c r="A167">
        <f t="shared" si="4"/>
        <v>4.0897538901425154E-2</v>
      </c>
      <c r="B167">
        <f t="shared" si="5"/>
        <v>1.3500000000000207</v>
      </c>
    </row>
    <row r="168" spans="1:2">
      <c r="A168">
        <f t="shared" si="4"/>
        <v>4.1790674123166033E-2</v>
      </c>
      <c r="B168">
        <f t="shared" si="5"/>
        <v>1.3400000000000207</v>
      </c>
    </row>
    <row r="169" spans="1:2">
      <c r="A169">
        <f t="shared" si="4"/>
        <v>4.2700064958201459E-2</v>
      </c>
      <c r="B169">
        <f t="shared" si="5"/>
        <v>1.3300000000000207</v>
      </c>
    </row>
    <row r="170" spans="1:2">
      <c r="A170">
        <f t="shared" si="4"/>
        <v>4.3625929870329136E-2</v>
      </c>
      <c r="B170">
        <f t="shared" si="5"/>
        <v>1.3200000000000207</v>
      </c>
    </row>
    <row r="171" spans="1:2">
      <c r="A171">
        <f t="shared" si="4"/>
        <v>4.4568488589907251E-2</v>
      </c>
      <c r="B171">
        <f t="shared" si="5"/>
        <v>1.3100000000000207</v>
      </c>
    </row>
    <row r="172" spans="1:2">
      <c r="A172">
        <f t="shared" si="4"/>
        <v>4.5527962086511969E-2</v>
      </c>
      <c r="B172">
        <f t="shared" si="5"/>
        <v>1.3000000000000207</v>
      </c>
    </row>
    <row r="173" spans="1:2">
      <c r="A173">
        <f t="shared" si="4"/>
        <v>4.6504572540856298E-2</v>
      </c>
      <c r="B173">
        <f t="shared" si="5"/>
        <v>1.2900000000000207</v>
      </c>
    </row>
    <row r="174" spans="1:2">
      <c r="A174">
        <f t="shared" si="4"/>
        <v>4.7498543315974362E-2</v>
      </c>
      <c r="B174">
        <f t="shared" si="5"/>
        <v>1.2800000000000207</v>
      </c>
    </row>
    <row r="175" spans="1:2">
      <c r="A175">
        <f t="shared" si="4"/>
        <v>4.8510098927671219E-2</v>
      </c>
      <c r="B175">
        <f t="shared" si="5"/>
        <v>1.2700000000000207</v>
      </c>
    </row>
    <row r="176" spans="1:2">
      <c r="A176">
        <f t="shared" si="4"/>
        <v>4.953946501423967E-2</v>
      </c>
      <c r="B176">
        <f t="shared" si="5"/>
        <v>1.2600000000000207</v>
      </c>
    </row>
    <row r="177" spans="1:2">
      <c r="A177">
        <f t="shared" si="4"/>
        <v>5.0586868305450672E-2</v>
      </c>
      <c r="B177">
        <f t="shared" si="5"/>
        <v>1.2500000000000207</v>
      </c>
    </row>
    <row r="178" spans="1:2">
      <c r="A178">
        <f t="shared" si="4"/>
        <v>5.1652536590815368E-2</v>
      </c>
      <c r="B178">
        <f t="shared" si="5"/>
        <v>1.2400000000000206</v>
      </c>
    </row>
    <row r="179" spans="1:2">
      <c r="A179">
        <f t="shared" si="4"/>
        <v>5.2736698687126188E-2</v>
      </c>
      <c r="B179">
        <f t="shared" si="5"/>
        <v>1.2300000000000206</v>
      </c>
    </row>
    <row r="180" spans="1:2">
      <c r="A180">
        <f t="shared" si="4"/>
        <v>5.3839584405279806E-2</v>
      </c>
      <c r="B180">
        <f t="shared" si="5"/>
        <v>1.2200000000000206</v>
      </c>
    </row>
    <row r="181" spans="1:2">
      <c r="A181">
        <f t="shared" si="4"/>
        <v>5.4961424516384499E-2</v>
      </c>
      <c r="B181">
        <f t="shared" si="5"/>
        <v>1.2100000000000206</v>
      </c>
    </row>
    <row r="182" spans="1:2">
      <c r="A182">
        <f t="shared" si="4"/>
        <v>5.6102450717160718E-2</v>
      </c>
      <c r="B182">
        <f t="shared" si="5"/>
        <v>1.2000000000000206</v>
      </c>
    </row>
    <row r="183" spans="1:2">
      <c r="A183">
        <f t="shared" si="4"/>
        <v>5.7262895594634794E-2</v>
      </c>
      <c r="B183">
        <f t="shared" si="5"/>
        <v>1.1900000000000206</v>
      </c>
    </row>
    <row r="184" spans="1:2">
      <c r="A184">
        <f t="shared" si="4"/>
        <v>5.8442992590136605E-2</v>
      </c>
      <c r="B184">
        <f t="shared" si="5"/>
        <v>1.1800000000000206</v>
      </c>
    </row>
    <row r="185" spans="1:2">
      <c r="A185">
        <f t="shared" si="4"/>
        <v>5.9642975962603595E-2</v>
      </c>
      <c r="B185">
        <f t="shared" si="5"/>
        <v>1.1700000000000206</v>
      </c>
    </row>
    <row r="186" spans="1:2">
      <c r="A186">
        <f t="shared" si="4"/>
        <v>6.0863080751198728E-2</v>
      </c>
      <c r="B186">
        <f t="shared" si="5"/>
        <v>1.1600000000000206</v>
      </c>
    </row>
    <row r="187" spans="1:2">
      <c r="A187">
        <f t="shared" si="4"/>
        <v>6.2103542737249356E-2</v>
      </c>
      <c r="B187">
        <f t="shared" si="5"/>
        <v>1.1500000000000206</v>
      </c>
    </row>
    <row r="188" spans="1:2">
      <c r="A188">
        <f t="shared" si="4"/>
        <v>6.3364598405515699E-2</v>
      </c>
      <c r="B188">
        <f t="shared" si="5"/>
        <v>1.1400000000000206</v>
      </c>
    </row>
    <row r="189" spans="1:2">
      <c r="A189">
        <f t="shared" si="4"/>
        <v>6.464648490479255E-2</v>
      </c>
      <c r="B189">
        <f t="shared" si="5"/>
        <v>1.1300000000000205</v>
      </c>
    </row>
    <row r="190" spans="1:2">
      <c r="A190">
        <f t="shared" si="4"/>
        <v>6.5949440007856769E-2</v>
      </c>
      <c r="B190">
        <f t="shared" si="5"/>
        <v>1.1200000000000205</v>
      </c>
    </row>
    <row r="191" spans="1:2">
      <c r="A191">
        <f t="shared" si="4"/>
        <v>6.7273702070767577E-2</v>
      </c>
      <c r="B191">
        <f t="shared" si="5"/>
        <v>1.1100000000000205</v>
      </c>
    </row>
    <row r="192" spans="1:2">
      <c r="A192">
        <f t="shared" si="4"/>
        <v>6.8619509991526773E-2</v>
      </c>
      <c r="B192">
        <f t="shared" si="5"/>
        <v>1.1000000000000205</v>
      </c>
    </row>
    <row r="193" spans="1:2">
      <c r="A193">
        <f t="shared" si="4"/>
        <v>6.9987103168111797E-2</v>
      </c>
      <c r="B193">
        <f t="shared" si="5"/>
        <v>1.0900000000000205</v>
      </c>
    </row>
    <row r="194" spans="1:2">
      <c r="A194">
        <f t="shared" ref="A194:A257" si="6">_xlfn.NORM.S.DIST(B194,FALSE)-B194*(1-_xlfn.NORM.S.DIST(B194,TRUE))</f>
        <v>7.1376721455887693E-2</v>
      </c>
      <c r="B194">
        <f t="shared" si="5"/>
        <v>1.0800000000000205</v>
      </c>
    </row>
    <row r="195" spans="1:2">
      <c r="A195">
        <f t="shared" si="6"/>
        <v>7.2788605124411848E-2</v>
      </c>
      <c r="B195">
        <f t="shared" si="5"/>
        <v>1.0700000000000205</v>
      </c>
    </row>
    <row r="196" spans="1:2">
      <c r="A196">
        <f t="shared" si="6"/>
        <v>7.4222994813638726E-2</v>
      </c>
      <c r="B196">
        <f t="shared" ref="B196:B259" si="7">B195-0.01</f>
        <v>1.0600000000000205</v>
      </c>
    </row>
    <row r="197" spans="1:2">
      <c r="A197">
        <f t="shared" si="6"/>
        <v>7.5680131489539282E-2</v>
      </c>
      <c r="B197">
        <f t="shared" si="7"/>
        <v>1.0500000000000205</v>
      </c>
    </row>
    <row r="198" spans="1:2">
      <c r="A198">
        <f t="shared" si="6"/>
        <v>7.7160256399142452E-2</v>
      </c>
      <c r="B198">
        <f t="shared" si="7"/>
        <v>1.0400000000000205</v>
      </c>
    </row>
    <row r="199" spans="1:2">
      <c r="A199">
        <f t="shared" si="6"/>
        <v>7.8663611025014707E-2</v>
      </c>
      <c r="B199">
        <f t="shared" si="7"/>
        <v>1.0300000000000205</v>
      </c>
    </row>
    <row r="200" spans="1:2">
      <c r="A200">
        <f t="shared" si="6"/>
        <v>8.0190437039186907E-2</v>
      </c>
      <c r="B200">
        <f t="shared" si="7"/>
        <v>1.0200000000000204</v>
      </c>
    </row>
    <row r="201" spans="1:2">
      <c r="A201">
        <f t="shared" si="6"/>
        <v>8.1740976256543113E-2</v>
      </c>
      <c r="B201">
        <f t="shared" si="7"/>
        <v>1.0100000000000204</v>
      </c>
    </row>
    <row r="202" spans="1:2">
      <c r="A202">
        <f t="shared" si="6"/>
        <v>8.3315470587683071E-2</v>
      </c>
      <c r="B202">
        <f t="shared" si="7"/>
        <v>1.0000000000000204</v>
      </c>
    </row>
    <row r="203" spans="1:2">
      <c r="A203">
        <f t="shared" si="6"/>
        <v>8.4914161991273829E-2</v>
      </c>
      <c r="B203">
        <f t="shared" si="7"/>
        <v>0.99000000000002042</v>
      </c>
    </row>
    <row r="204" spans="1:2">
      <c r="A204">
        <f t="shared" si="6"/>
        <v>8.6537292425900969E-2</v>
      </c>
      <c r="B204">
        <f t="shared" si="7"/>
        <v>0.98000000000002041</v>
      </c>
    </row>
    <row r="205" spans="1:2">
      <c r="A205">
        <f t="shared" si="6"/>
        <v>8.8185103801438847E-2</v>
      </c>
      <c r="B205">
        <f t="shared" si="7"/>
        <v>0.9700000000000204</v>
      </c>
    </row>
    <row r="206" spans="1:2">
      <c r="A206">
        <f t="shared" si="6"/>
        <v>8.9857837929949336E-2</v>
      </c>
      <c r="B206">
        <f t="shared" si="7"/>
        <v>0.96000000000002039</v>
      </c>
    </row>
    <row r="207" spans="1:2">
      <c r="A207">
        <f t="shared" si="6"/>
        <v>9.1555736476127775E-2</v>
      </c>
      <c r="B207">
        <f t="shared" si="7"/>
        <v>0.95000000000002038</v>
      </c>
    </row>
    <row r="208" spans="1:2">
      <c r="A208">
        <f t="shared" si="6"/>
        <v>9.3279040907309707E-2</v>
      </c>
      <c r="B208">
        <f t="shared" si="7"/>
        <v>0.94000000000002037</v>
      </c>
    </row>
    <row r="209" spans="1:2">
      <c r="A209">
        <f t="shared" si="6"/>
        <v>9.5027992443055431E-2</v>
      </c>
      <c r="B209">
        <f t="shared" si="7"/>
        <v>0.93000000000002037</v>
      </c>
    </row>
    <row r="210" spans="1:2">
      <c r="A210">
        <f t="shared" si="6"/>
        <v>9.6802832004327544E-2</v>
      </c>
      <c r="B210">
        <f t="shared" si="7"/>
        <v>0.92000000000002036</v>
      </c>
    </row>
    <row r="211" spans="1:2">
      <c r="A211">
        <f t="shared" si="6"/>
        <v>9.8603800162278987E-2</v>
      </c>
      <c r="B211">
        <f t="shared" si="7"/>
        <v>0.91000000000002035</v>
      </c>
    </row>
    <row r="212" spans="1:2">
      <c r="A212">
        <f t="shared" si="6"/>
        <v>0.10043113708666751</v>
      </c>
      <c r="B212">
        <f t="shared" si="7"/>
        <v>0.90000000000002034</v>
      </c>
    </row>
    <row r="213" spans="1:2">
      <c r="A213">
        <f t="shared" si="6"/>
        <v>0.10228508249391496</v>
      </c>
      <c r="B213">
        <f t="shared" si="7"/>
        <v>0.89000000000002033</v>
      </c>
    </row>
    <row r="214" spans="1:2">
      <c r="A214">
        <f t="shared" si="6"/>
        <v>0.10416587559482751</v>
      </c>
      <c r="B214">
        <f t="shared" si="7"/>
        <v>0.88000000000002032</v>
      </c>
    </row>
    <row r="215" spans="1:2">
      <c r="A215">
        <f t="shared" si="6"/>
        <v>0.10607375504199673</v>
      </c>
      <c r="B215">
        <f t="shared" si="7"/>
        <v>0.87000000000002031</v>
      </c>
    </row>
    <row r="216" spans="1:2">
      <c r="A216">
        <f t="shared" si="6"/>
        <v>0.10800895887689754</v>
      </c>
      <c r="B216">
        <f t="shared" si="7"/>
        <v>0.8600000000000203</v>
      </c>
    </row>
    <row r="217" spans="1:2">
      <c r="A217">
        <f t="shared" si="6"/>
        <v>0.10997172447670389</v>
      </c>
      <c r="B217">
        <f t="shared" si="7"/>
        <v>0.85000000000002029</v>
      </c>
    </row>
    <row r="218" spans="1:2">
      <c r="A218">
        <f t="shared" si="6"/>
        <v>0.11196228850083886</v>
      </c>
      <c r="B218">
        <f t="shared" si="7"/>
        <v>0.84000000000002029</v>
      </c>
    </row>
    <row r="219" spans="1:2">
      <c r="A219">
        <f t="shared" si="6"/>
        <v>0.11398088683727942</v>
      </c>
      <c r="B219">
        <f t="shared" si="7"/>
        <v>0.83000000000002028</v>
      </c>
    </row>
    <row r="220" spans="1:2">
      <c r="A220">
        <f t="shared" si="6"/>
        <v>0.11602775454863631</v>
      </c>
      <c r="B220">
        <f t="shared" si="7"/>
        <v>0.82000000000002027</v>
      </c>
    </row>
    <row r="221" spans="1:2">
      <c r="A221">
        <f t="shared" si="6"/>
        <v>0.11810312581802676</v>
      </c>
      <c r="B221">
        <f t="shared" si="7"/>
        <v>0.81000000000002026</v>
      </c>
    </row>
    <row r="222" spans="1:2">
      <c r="A222">
        <f t="shared" si="6"/>
        <v>0.1202072338947611</v>
      </c>
      <c r="B222">
        <f t="shared" si="7"/>
        <v>0.80000000000002025</v>
      </c>
    </row>
    <row r="223" spans="1:2">
      <c r="A223">
        <f t="shared" si="6"/>
        <v>0.12234031103986373</v>
      </c>
      <c r="B223">
        <f t="shared" si="7"/>
        <v>0.79000000000002024</v>
      </c>
    </row>
    <row r="224" spans="1:2">
      <c r="A224">
        <f t="shared" si="6"/>
        <v>0.12450258847144891</v>
      </c>
      <c r="B224">
        <f t="shared" si="7"/>
        <v>0.78000000000002023</v>
      </c>
    </row>
    <row r="225" spans="1:2">
      <c r="A225">
        <f t="shared" si="6"/>
        <v>0.12669429630997101</v>
      </c>
      <c r="B225">
        <f t="shared" si="7"/>
        <v>0.77000000000002022</v>
      </c>
    </row>
    <row r="226" spans="1:2">
      <c r="A226">
        <f t="shared" si="6"/>
        <v>0.12891566352337272</v>
      </c>
      <c r="B226">
        <f t="shared" si="7"/>
        <v>0.76000000000002021</v>
      </c>
    </row>
    <row r="227" spans="1:2">
      <c r="A227">
        <f t="shared" si="6"/>
        <v>0.13116691787214868</v>
      </c>
      <c r="B227">
        <f t="shared" si="7"/>
        <v>0.75000000000002021</v>
      </c>
    </row>
    <row r="228" spans="1:2">
      <c r="A228">
        <f t="shared" si="6"/>
        <v>0.13344828585435051</v>
      </c>
      <c r="B228">
        <f t="shared" si="7"/>
        <v>0.7400000000000202</v>
      </c>
    </row>
    <row r="229" spans="1:2">
      <c r="A229">
        <f t="shared" si="6"/>
        <v>0.13575999265055008</v>
      </c>
      <c r="B229">
        <f t="shared" si="7"/>
        <v>0.73000000000002019</v>
      </c>
    </row>
    <row r="230" spans="1:2">
      <c r="A230">
        <f t="shared" si="6"/>
        <v>0.13810226206878737</v>
      </c>
      <c r="B230">
        <f t="shared" si="7"/>
        <v>0.72000000000002018</v>
      </c>
    </row>
    <row r="231" spans="1:2">
      <c r="A231">
        <f t="shared" si="6"/>
        <v>0.14047531648952072</v>
      </c>
      <c r="B231">
        <f t="shared" si="7"/>
        <v>0.71000000000002017</v>
      </c>
    </row>
    <row r="232" spans="1:2">
      <c r="A232">
        <f t="shared" si="6"/>
        <v>0.14287937681060539</v>
      </c>
      <c r="B232">
        <f t="shared" si="7"/>
        <v>0.70000000000002016</v>
      </c>
    </row>
    <row r="233" spans="1:2">
      <c r="A233">
        <f t="shared" si="6"/>
        <v>0.14531466239231888</v>
      </c>
      <c r="B233">
        <f t="shared" si="7"/>
        <v>0.69000000000002015</v>
      </c>
    </row>
    <row r="234" spans="1:2">
      <c r="A234">
        <f t="shared" si="6"/>
        <v>0.14778139100245988</v>
      </c>
      <c r="B234">
        <f t="shared" si="7"/>
        <v>0.68000000000002014</v>
      </c>
    </row>
    <row r="235" spans="1:2">
      <c r="A235">
        <f t="shared" si="6"/>
        <v>0.15027977876153875</v>
      </c>
      <c r="B235">
        <f t="shared" si="7"/>
        <v>0.67000000000002014</v>
      </c>
    </row>
    <row r="236" spans="1:2">
      <c r="A236">
        <f t="shared" si="6"/>
        <v>0.1528100400880856</v>
      </c>
      <c r="B236">
        <f t="shared" si="7"/>
        <v>0.66000000000002013</v>
      </c>
    </row>
    <row r="237" spans="1:2">
      <c r="A237">
        <f t="shared" si="6"/>
        <v>0.15537238764409711</v>
      </c>
      <c r="B237">
        <f t="shared" si="7"/>
        <v>0.65000000000002012</v>
      </c>
    </row>
    <row r="238" spans="1:2">
      <c r="A238">
        <f t="shared" si="6"/>
        <v>0.15796703228064549</v>
      </c>
      <c r="B238">
        <f t="shared" si="7"/>
        <v>0.64000000000002011</v>
      </c>
    </row>
    <row r="239" spans="1:2">
      <c r="A239">
        <f t="shared" si="6"/>
        <v>0.16059418298367228</v>
      </c>
      <c r="B239">
        <f t="shared" si="7"/>
        <v>0.6300000000000201</v>
      </c>
    </row>
    <row r="240" spans="1:2">
      <c r="A240">
        <f t="shared" si="6"/>
        <v>0.16325404681999003</v>
      </c>
      <c r="B240">
        <f t="shared" si="7"/>
        <v>0.62000000000002009</v>
      </c>
    </row>
    <row r="241" spans="1:2">
      <c r="A241">
        <f t="shared" si="6"/>
        <v>0.16594682888351409</v>
      </c>
      <c r="B241">
        <f t="shared" si="7"/>
        <v>0.61000000000002008</v>
      </c>
    </row>
    <row r="242" spans="1:2">
      <c r="A242">
        <f t="shared" si="6"/>
        <v>0.16867273224175003</v>
      </c>
      <c r="B242">
        <f t="shared" si="7"/>
        <v>0.60000000000002007</v>
      </c>
    </row>
    <row r="243" spans="1:2">
      <c r="A243">
        <f t="shared" si="6"/>
        <v>0.17143195788255627</v>
      </c>
      <c r="B243">
        <f t="shared" si="7"/>
        <v>0.59000000000002006</v>
      </c>
    </row>
    <row r="244" spans="1:2">
      <c r="A244">
        <f t="shared" si="6"/>
        <v>0.17422470466120765</v>
      </c>
      <c r="B244">
        <f t="shared" si="7"/>
        <v>0.58000000000002006</v>
      </c>
    </row>
    <row r="245" spans="1:2">
      <c r="A245">
        <f t="shared" si="6"/>
        <v>0.17705116924778169</v>
      </c>
      <c r="B245">
        <f t="shared" si="7"/>
        <v>0.57000000000002005</v>
      </c>
    </row>
    <row r="246" spans="1:2">
      <c r="A246">
        <f t="shared" si="6"/>
        <v>0.17991154607489168</v>
      </c>
      <c r="B246">
        <f t="shared" si="7"/>
        <v>0.56000000000002004</v>
      </c>
    </row>
    <row r="247" spans="1:2">
      <c r="A247">
        <f t="shared" si="6"/>
        <v>0.18280602728578757</v>
      </c>
      <c r="B247">
        <f t="shared" si="7"/>
        <v>0.55000000000002003</v>
      </c>
    </row>
    <row r="248" spans="1:2">
      <c r="A248">
        <f t="shared" si="6"/>
        <v>0.18573480268285053</v>
      </c>
      <c r="B248">
        <f t="shared" si="7"/>
        <v>0.54000000000002002</v>
      </c>
    </row>
    <row r="249" spans="1:2">
      <c r="A249">
        <f t="shared" si="6"/>
        <v>0.18869805967650116</v>
      </c>
      <c r="B249">
        <f t="shared" si="7"/>
        <v>0.53000000000002001</v>
      </c>
    </row>
    <row r="250" spans="1:2">
      <c r="A250">
        <f t="shared" si="6"/>
        <v>0.19169598323454612</v>
      </c>
      <c r="B250">
        <f t="shared" si="7"/>
        <v>0.52000000000002</v>
      </c>
    </row>
    <row r="251" spans="1:2">
      <c r="A251">
        <f t="shared" si="6"/>
        <v>0.19472875583198485</v>
      </c>
      <c r="B251">
        <f t="shared" si="7"/>
        <v>0.51000000000001999</v>
      </c>
    </row>
    <row r="252" spans="1:2">
      <c r="A252">
        <f t="shared" si="6"/>
        <v>0.19779655740129992</v>
      </c>
      <c r="B252">
        <f t="shared" si="7"/>
        <v>0.50000000000001998</v>
      </c>
    </row>
    <row r="253" spans="1:2">
      <c r="A253">
        <f t="shared" si="6"/>
        <v>0.20089956528325206</v>
      </c>
      <c r="B253">
        <f t="shared" si="7"/>
        <v>0.49000000000001998</v>
      </c>
    </row>
    <row r="254" spans="1:2">
      <c r="A254">
        <f t="shared" si="6"/>
        <v>0.20403795417820395</v>
      </c>
      <c r="B254">
        <f t="shared" si="7"/>
        <v>0.48000000000001997</v>
      </c>
    </row>
    <row r="255" spans="1:2">
      <c r="A255">
        <f t="shared" si="6"/>
        <v>0.20721189609799323</v>
      </c>
      <c r="B255">
        <f t="shared" si="7"/>
        <v>0.47000000000001996</v>
      </c>
    </row>
    <row r="256" spans="1:2">
      <c r="A256">
        <f t="shared" si="6"/>
        <v>0.2104215603183783</v>
      </c>
      <c r="B256">
        <f t="shared" si="7"/>
        <v>0.46000000000001995</v>
      </c>
    </row>
    <row r="257" spans="1:2">
      <c r="A257">
        <f t="shared" si="6"/>
        <v>0.21366711333207744</v>
      </c>
      <c r="B257">
        <f t="shared" si="7"/>
        <v>0.45000000000001994</v>
      </c>
    </row>
    <row r="258" spans="1:2">
      <c r="A258">
        <f t="shared" ref="A258:A321" si="8">_xlfn.NORM.S.DIST(B258,FALSE)-B258*(1-_xlfn.NORM.S.DIST(B258,TRUE))</f>
        <v>0.21694871880242445</v>
      </c>
      <c r="B258">
        <f t="shared" si="7"/>
        <v>0.44000000000001993</v>
      </c>
    </row>
    <row r="259" spans="1:2">
      <c r="A259">
        <f t="shared" si="8"/>
        <v>0.22026653751765998</v>
      </c>
      <c r="B259">
        <f t="shared" si="7"/>
        <v>0.43000000000001992</v>
      </c>
    </row>
    <row r="260" spans="1:2">
      <c r="A260">
        <f t="shared" si="8"/>
        <v>0.2236207273458824</v>
      </c>
      <c r="B260">
        <f t="shared" ref="B260:B323" si="9">B259-0.01</f>
        <v>0.42000000000001991</v>
      </c>
    </row>
    <row r="261" spans="1:2">
      <c r="A261">
        <f t="shared" si="8"/>
        <v>0.22701144319067706</v>
      </c>
      <c r="B261">
        <f t="shared" si="9"/>
        <v>0.4100000000000199</v>
      </c>
    </row>
    <row r="262" spans="1:2">
      <c r="A262">
        <f t="shared" si="8"/>
        <v>0.23043883694744613</v>
      </c>
      <c r="B262">
        <f t="shared" si="9"/>
        <v>0.4000000000000199</v>
      </c>
    </row>
    <row r="263" spans="1:2">
      <c r="A263">
        <f t="shared" si="8"/>
        <v>0.23390305746045856</v>
      </c>
      <c r="B263">
        <f t="shared" si="9"/>
        <v>0.39000000000001989</v>
      </c>
    </row>
    <row r="264" spans="1:2">
      <c r="A264">
        <f t="shared" si="8"/>
        <v>0.2374042504806409</v>
      </c>
      <c r="B264">
        <f t="shared" si="9"/>
        <v>0.38000000000001988</v>
      </c>
    </row>
    <row r="265" spans="1:2">
      <c r="A265">
        <f t="shared" si="8"/>
        <v>0.24094255862412861</v>
      </c>
      <c r="B265">
        <f t="shared" si="9"/>
        <v>0.37000000000001987</v>
      </c>
    </row>
    <row r="266" spans="1:2">
      <c r="A266">
        <f t="shared" si="8"/>
        <v>0.24451812133159812</v>
      </c>
      <c r="B266">
        <f t="shared" si="9"/>
        <v>0.36000000000001986</v>
      </c>
    </row>
    <row r="267" spans="1:2">
      <c r="A267">
        <f t="shared" si="8"/>
        <v>0.24813107482839739</v>
      </c>
      <c r="B267">
        <f t="shared" si="9"/>
        <v>0.35000000000001985</v>
      </c>
    </row>
    <row r="268" spans="1:2">
      <c r="A268">
        <f t="shared" si="8"/>
        <v>0.25178155208549624</v>
      </c>
      <c r="B268">
        <f t="shared" si="9"/>
        <v>0.34000000000001984</v>
      </c>
    </row>
    <row r="269" spans="1:2">
      <c r="A269">
        <f t="shared" si="8"/>
        <v>0.25546968278127291</v>
      </c>
      <c r="B269">
        <f t="shared" si="9"/>
        <v>0.33000000000001983</v>
      </c>
    </row>
    <row r="270" spans="1:2">
      <c r="A270">
        <f t="shared" si="8"/>
        <v>0.25919559326415664</v>
      </c>
      <c r="B270">
        <f t="shared" si="9"/>
        <v>0.32000000000001982</v>
      </c>
    </row>
    <row r="271" spans="1:2">
      <c r="A271">
        <f t="shared" si="8"/>
        <v>0.26295940651614336</v>
      </c>
      <c r="B271">
        <f t="shared" si="9"/>
        <v>0.31000000000001982</v>
      </c>
    </row>
    <row r="272" spans="1:2">
      <c r="A272">
        <f t="shared" si="8"/>
        <v>0.26676124211720231</v>
      </c>
      <c r="B272">
        <f t="shared" si="9"/>
        <v>0.30000000000001981</v>
      </c>
    </row>
    <row r="273" spans="1:2">
      <c r="A273">
        <f t="shared" si="8"/>
        <v>0.27060121621059086</v>
      </c>
      <c r="B273">
        <f t="shared" si="9"/>
        <v>0.2900000000000198</v>
      </c>
    </row>
    <row r="274" spans="1:2">
      <c r="A274">
        <f t="shared" si="8"/>
        <v>0.27447944146909403</v>
      </c>
      <c r="B274">
        <f t="shared" si="9"/>
        <v>0.28000000000001979</v>
      </c>
    </row>
    <row r="275" spans="1:2">
      <c r="A275">
        <f t="shared" si="8"/>
        <v>0.27839602706220568</v>
      </c>
      <c r="B275">
        <f t="shared" si="9"/>
        <v>0.27000000000001978</v>
      </c>
    </row>
    <row r="276" spans="1:2">
      <c r="A276">
        <f t="shared" si="8"/>
        <v>0.28235107862426601</v>
      </c>
      <c r="B276">
        <f t="shared" si="9"/>
        <v>0.26000000000001977</v>
      </c>
    </row>
    <row r="277" spans="1:2">
      <c r="A277">
        <f t="shared" si="8"/>
        <v>0.28634469822357222</v>
      </c>
      <c r="B277">
        <f t="shared" si="9"/>
        <v>0.25000000000001976</v>
      </c>
    </row>
    <row r="278" spans="1:2">
      <c r="A278">
        <f t="shared" si="8"/>
        <v>0.29037698433247716</v>
      </c>
      <c r="B278">
        <f t="shared" si="9"/>
        <v>0.24000000000001975</v>
      </c>
    </row>
    <row r="279" spans="1:2">
      <c r="A279">
        <f t="shared" si="8"/>
        <v>0.29444803179848922</v>
      </c>
      <c r="B279">
        <f t="shared" si="9"/>
        <v>0.23000000000001974</v>
      </c>
    </row>
    <row r="280" spans="1:2">
      <c r="A280">
        <f t="shared" si="8"/>
        <v>0.29855793181638951</v>
      </c>
      <c r="B280">
        <f t="shared" si="9"/>
        <v>0.22000000000001974</v>
      </c>
    </row>
    <row r="281" spans="1:2">
      <c r="A281">
        <f t="shared" si="8"/>
        <v>0.30270677190137896</v>
      </c>
      <c r="B281">
        <f t="shared" si="9"/>
        <v>0.21000000000001973</v>
      </c>
    </row>
    <row r="282" spans="1:2">
      <c r="A282">
        <f t="shared" si="8"/>
        <v>0.30689463586326826</v>
      </c>
      <c r="B282">
        <f t="shared" si="9"/>
        <v>0.20000000000001972</v>
      </c>
    </row>
    <row r="283" spans="1:2">
      <c r="A283">
        <f t="shared" si="8"/>
        <v>0.31112160378172388</v>
      </c>
      <c r="B283">
        <f t="shared" si="9"/>
        <v>0.19000000000001971</v>
      </c>
    </row>
    <row r="284" spans="1:2">
      <c r="A284">
        <f t="shared" si="8"/>
        <v>0.31538775198258262</v>
      </c>
      <c r="B284">
        <f t="shared" si="9"/>
        <v>0.1800000000000197</v>
      </c>
    </row>
    <row r="285" spans="1:2">
      <c r="A285">
        <f t="shared" si="8"/>
        <v>0.31969315301524526</v>
      </c>
      <c r="B285">
        <f t="shared" si="9"/>
        <v>0.17000000000001969</v>
      </c>
    </row>
    <row r="286" spans="1:2">
      <c r="A286">
        <f t="shared" si="8"/>
        <v>0.32403787563116149</v>
      </c>
      <c r="B286">
        <f t="shared" si="9"/>
        <v>0.16000000000001968</v>
      </c>
    </row>
    <row r="287" spans="1:2">
      <c r="A287">
        <f t="shared" si="8"/>
        <v>0.32842198476341661</v>
      </c>
      <c r="B287">
        <f t="shared" si="9"/>
        <v>0.15000000000001967</v>
      </c>
    </row>
    <row r="288" spans="1:2">
      <c r="A288">
        <f t="shared" si="8"/>
        <v>0.33284554150742945</v>
      </c>
      <c r="B288">
        <f t="shared" si="9"/>
        <v>0.14000000000001966</v>
      </c>
    </row>
    <row r="289" spans="1:2">
      <c r="A289">
        <f t="shared" si="8"/>
        <v>0.33730860310277155</v>
      </c>
      <c r="B289">
        <f t="shared" si="9"/>
        <v>0.13000000000001966</v>
      </c>
    </row>
    <row r="290" spans="1:2">
      <c r="A290">
        <f t="shared" si="8"/>
        <v>0.34181122291611726</v>
      </c>
      <c r="B290">
        <f t="shared" si="9"/>
        <v>0.12000000000001966</v>
      </c>
    </row>
    <row r="291" spans="1:2">
      <c r="A291">
        <f t="shared" si="8"/>
        <v>0.34635345042533167</v>
      </c>
      <c r="B291">
        <f t="shared" si="9"/>
        <v>0.11000000000001967</v>
      </c>
    </row>
    <row r="292" spans="1:2">
      <c r="A292">
        <f t="shared" si="8"/>
        <v>0.3509353312047056</v>
      </c>
      <c r="B292">
        <f t="shared" si="9"/>
        <v>0.10000000000001967</v>
      </c>
    </row>
    <row r="293" spans="1:2">
      <c r="A293">
        <f t="shared" si="8"/>
        <v>0.35555690691134467</v>
      </c>
      <c r="B293">
        <f t="shared" si="9"/>
        <v>9.0000000000019675E-2</v>
      </c>
    </row>
    <row r="294" spans="1:2">
      <c r="A294">
        <f t="shared" si="8"/>
        <v>0.36021821527271863</v>
      </c>
      <c r="B294">
        <f t="shared" si="9"/>
        <v>8.000000000001968E-2</v>
      </c>
    </row>
    <row r="295" spans="1:2">
      <c r="A295">
        <f t="shared" si="8"/>
        <v>0.36491929007537821</v>
      </c>
      <c r="B295">
        <f t="shared" si="9"/>
        <v>7.0000000000019685E-2</v>
      </c>
    </row>
    <row r="296" spans="1:2">
      <c r="A296">
        <f t="shared" si="8"/>
        <v>0.36966016115484396</v>
      </c>
      <c r="B296">
        <f t="shared" si="9"/>
        <v>6.0000000000019683E-2</v>
      </c>
    </row>
    <row r="297" spans="1:2">
      <c r="A297">
        <f t="shared" si="8"/>
        <v>0.37444085438667324</v>
      </c>
      <c r="B297">
        <f t="shared" si="9"/>
        <v>5.0000000000019681E-2</v>
      </c>
    </row>
    <row r="298" spans="1:2">
      <c r="A298">
        <f t="shared" si="8"/>
        <v>0.3792613916787087</v>
      </c>
      <c r="B298">
        <f t="shared" si="9"/>
        <v>4.000000000001968E-2</v>
      </c>
    </row>
    <row r="299" spans="1:2">
      <c r="A299">
        <f t="shared" si="8"/>
        <v>0.38412179096451349</v>
      </c>
      <c r="B299">
        <f t="shared" si="9"/>
        <v>3.0000000000019678E-2</v>
      </c>
    </row>
    <row r="300" spans="1:2">
      <c r="A300">
        <f t="shared" si="8"/>
        <v>0.38902206619799445</v>
      </c>
      <c r="B300">
        <f t="shared" si="9"/>
        <v>2.0000000000019676E-2</v>
      </c>
    </row>
    <row r="301" spans="1:2">
      <c r="A301">
        <f t="shared" si="8"/>
        <v>0.39396222734921876</v>
      </c>
      <c r="B301">
        <f t="shared" si="9"/>
        <v>1.0000000000019675E-2</v>
      </c>
    </row>
    <row r="302" spans="1:2">
      <c r="A302">
        <f t="shared" si="8"/>
        <v>0.39894228040142288</v>
      </c>
      <c r="B302">
        <f t="shared" si="9"/>
        <v>1.9675233664528946E-14</v>
      </c>
    </row>
    <row r="303" spans="1:2">
      <c r="A303">
        <f t="shared" si="8"/>
        <v>0.40396222734921855</v>
      </c>
      <c r="B303">
        <f t="shared" si="9"/>
        <v>-9.999999999980325E-3</v>
      </c>
    </row>
    <row r="304" spans="1:2">
      <c r="A304">
        <f t="shared" si="8"/>
        <v>0.40902206619799419</v>
      </c>
      <c r="B304">
        <f t="shared" si="9"/>
        <v>-1.9999999999980325E-2</v>
      </c>
    </row>
    <row r="305" spans="1:2">
      <c r="A305">
        <f t="shared" si="8"/>
        <v>0.41412179096451296</v>
      </c>
      <c r="B305">
        <f t="shared" si="9"/>
        <v>-2.9999999999980327E-2</v>
      </c>
    </row>
    <row r="306" spans="1:2">
      <c r="A306">
        <f t="shared" si="8"/>
        <v>0.41926139167870807</v>
      </c>
      <c r="B306">
        <f t="shared" si="9"/>
        <v>-3.9999999999980329E-2</v>
      </c>
    </row>
    <row r="307" spans="1:2">
      <c r="A307">
        <f t="shared" si="8"/>
        <v>0.42444085438667239</v>
      </c>
      <c r="B307">
        <f t="shared" si="9"/>
        <v>-4.9999999999980331E-2</v>
      </c>
    </row>
    <row r="308" spans="1:2">
      <c r="A308">
        <f t="shared" si="8"/>
        <v>0.42966016115484301</v>
      </c>
      <c r="B308">
        <f t="shared" si="9"/>
        <v>-5.9999999999980333E-2</v>
      </c>
    </row>
    <row r="309" spans="1:2">
      <c r="A309">
        <f t="shared" si="8"/>
        <v>0.43491929007537711</v>
      </c>
      <c r="B309">
        <f t="shared" si="9"/>
        <v>-6.9999999999980328E-2</v>
      </c>
    </row>
    <row r="310" spans="1:2">
      <c r="A310">
        <f t="shared" si="8"/>
        <v>0.44021821527271743</v>
      </c>
      <c r="B310">
        <f t="shared" si="9"/>
        <v>-7.9999999999980323E-2</v>
      </c>
    </row>
    <row r="311" spans="1:2">
      <c r="A311">
        <f t="shared" si="8"/>
        <v>0.44555690691134331</v>
      </c>
      <c r="B311">
        <f t="shared" si="9"/>
        <v>-8.9999999999980318E-2</v>
      </c>
    </row>
    <row r="312" spans="1:2">
      <c r="A312">
        <f t="shared" si="8"/>
        <v>0.45093533120470408</v>
      </c>
      <c r="B312">
        <f t="shared" si="9"/>
        <v>-9.9999999999980313E-2</v>
      </c>
    </row>
    <row r="313" spans="1:2">
      <c r="A313">
        <f t="shared" si="8"/>
        <v>0.45635345042532993</v>
      </c>
      <c r="B313">
        <f t="shared" si="9"/>
        <v>-0.10999999999998031</v>
      </c>
    </row>
    <row r="314" spans="1:2">
      <c r="A314">
        <f t="shared" si="8"/>
        <v>0.46181122291611537</v>
      </c>
      <c r="B314">
        <f t="shared" si="9"/>
        <v>-0.1199999999999803</v>
      </c>
    </row>
    <row r="315" spans="1:2">
      <c r="A315">
        <f t="shared" si="8"/>
        <v>0.4673086031027695</v>
      </c>
      <c r="B315">
        <f t="shared" si="9"/>
        <v>-0.1299999999999803</v>
      </c>
    </row>
    <row r="316" spans="1:2">
      <c r="A316">
        <f t="shared" si="8"/>
        <v>0.47284554150742725</v>
      </c>
      <c r="B316">
        <f t="shared" si="9"/>
        <v>-0.13999999999998031</v>
      </c>
    </row>
    <row r="317" spans="1:2">
      <c r="A317">
        <f t="shared" si="8"/>
        <v>0.4784219847634143</v>
      </c>
      <c r="B317">
        <f t="shared" si="9"/>
        <v>-0.14999999999998032</v>
      </c>
    </row>
    <row r="318" spans="1:2">
      <c r="A318">
        <f t="shared" si="8"/>
        <v>0.48403787563115896</v>
      </c>
      <c r="B318">
        <f t="shared" si="9"/>
        <v>-0.15999999999998032</v>
      </c>
    </row>
    <row r="319" spans="1:2">
      <c r="A319">
        <f t="shared" si="8"/>
        <v>0.48969315301524258</v>
      </c>
      <c r="B319">
        <f t="shared" si="9"/>
        <v>-0.16999999999998033</v>
      </c>
    </row>
    <row r="320" spans="1:2">
      <c r="A320">
        <f t="shared" si="8"/>
        <v>0.49538775198257978</v>
      </c>
      <c r="B320">
        <f t="shared" si="9"/>
        <v>-0.17999999999998034</v>
      </c>
    </row>
    <row r="321" spans="1:2">
      <c r="A321">
        <f t="shared" si="8"/>
        <v>0.50112160378172099</v>
      </c>
      <c r="B321">
        <f t="shared" si="9"/>
        <v>-0.18999999999998035</v>
      </c>
    </row>
    <row r="322" spans="1:2">
      <c r="A322">
        <f t="shared" ref="A322:A385" si="10">_xlfn.NORM.S.DIST(B322,FALSE)-B322*(1-_xlfn.NORM.S.DIST(B322,TRUE))</f>
        <v>0.50689463586326511</v>
      </c>
      <c r="B322">
        <f t="shared" si="9"/>
        <v>-0.19999999999998036</v>
      </c>
    </row>
    <row r="323" spans="1:2">
      <c r="A323">
        <f t="shared" si="10"/>
        <v>0.5127067719013757</v>
      </c>
      <c r="B323">
        <f t="shared" si="9"/>
        <v>-0.20999999999998037</v>
      </c>
    </row>
    <row r="324" spans="1:2">
      <c r="A324">
        <f t="shared" si="10"/>
        <v>0.5185579318163861</v>
      </c>
      <c r="B324">
        <f t="shared" ref="B324:B387" si="11">B323-0.01</f>
        <v>-0.21999999999998038</v>
      </c>
    </row>
    <row r="325" spans="1:2">
      <c r="A325">
        <f t="shared" si="10"/>
        <v>0.52444803179848565</v>
      </c>
      <c r="B325">
        <f t="shared" si="11"/>
        <v>-0.22999999999998039</v>
      </c>
    </row>
    <row r="326" spans="1:2">
      <c r="A326">
        <f t="shared" si="10"/>
        <v>0.53037698433247349</v>
      </c>
      <c r="B326">
        <f t="shared" si="11"/>
        <v>-0.2399999999999804</v>
      </c>
    </row>
    <row r="327" spans="1:2">
      <c r="A327">
        <f t="shared" si="10"/>
        <v>0.53634469822356845</v>
      </c>
      <c r="B327">
        <f t="shared" si="11"/>
        <v>-0.2499999999999804</v>
      </c>
    </row>
    <row r="328" spans="1:2">
      <c r="A328">
        <f t="shared" si="10"/>
        <v>0.54235107862426202</v>
      </c>
      <c r="B328">
        <f t="shared" si="11"/>
        <v>-0.25999999999998041</v>
      </c>
    </row>
    <row r="329" spans="1:2">
      <c r="A329">
        <f t="shared" si="10"/>
        <v>0.54839602706220159</v>
      </c>
      <c r="B329">
        <f t="shared" si="11"/>
        <v>-0.26999999999998042</v>
      </c>
    </row>
    <row r="330" spans="1:2">
      <c r="A330">
        <f t="shared" si="10"/>
        <v>0.55447944146908978</v>
      </c>
      <c r="B330">
        <f t="shared" si="11"/>
        <v>-0.27999999999998043</v>
      </c>
    </row>
    <row r="331" spans="1:2">
      <c r="A331">
        <f t="shared" si="10"/>
        <v>0.56060121621058645</v>
      </c>
      <c r="B331">
        <f t="shared" si="11"/>
        <v>-0.28999999999998044</v>
      </c>
    </row>
    <row r="332" spans="1:2">
      <c r="A332">
        <f t="shared" si="10"/>
        <v>0.56676124211719792</v>
      </c>
      <c r="B332">
        <f t="shared" si="11"/>
        <v>-0.29999999999998045</v>
      </c>
    </row>
    <row r="333" spans="1:2">
      <c r="A333">
        <f t="shared" si="10"/>
        <v>0.57295940651613875</v>
      </c>
      <c r="B333">
        <f t="shared" si="11"/>
        <v>-0.30999999999998046</v>
      </c>
    </row>
    <row r="334" spans="1:2">
      <c r="A334">
        <f t="shared" si="10"/>
        <v>0.57919559326415193</v>
      </c>
      <c r="B334">
        <f t="shared" si="11"/>
        <v>-0.31999999999998047</v>
      </c>
    </row>
    <row r="335" spans="1:2">
      <c r="A335">
        <f t="shared" si="10"/>
        <v>0.58546968278126799</v>
      </c>
      <c r="B335">
        <f t="shared" si="11"/>
        <v>-0.32999999999998048</v>
      </c>
    </row>
    <row r="336" spans="1:2">
      <c r="A336">
        <f t="shared" si="10"/>
        <v>0.59178155208549121</v>
      </c>
      <c r="B336">
        <f t="shared" si="11"/>
        <v>-0.33999999999998048</v>
      </c>
    </row>
    <row r="337" spans="1:2">
      <c r="A337">
        <f t="shared" si="10"/>
        <v>0.59813107482839212</v>
      </c>
      <c r="B337">
        <f t="shared" si="11"/>
        <v>-0.34999999999998049</v>
      </c>
    </row>
    <row r="338" spans="1:2">
      <c r="A338">
        <f t="shared" si="10"/>
        <v>0.60451812133159277</v>
      </c>
      <c r="B338">
        <f t="shared" si="11"/>
        <v>-0.3599999999999805</v>
      </c>
    </row>
    <row r="339" spans="1:2">
      <c r="A339">
        <f t="shared" si="10"/>
        <v>0.61094255862412317</v>
      </c>
      <c r="B339">
        <f t="shared" si="11"/>
        <v>-0.36999999999998051</v>
      </c>
    </row>
    <row r="340" spans="1:2">
      <c r="A340">
        <f t="shared" si="10"/>
        <v>0.61740425048063519</v>
      </c>
      <c r="B340">
        <f t="shared" si="11"/>
        <v>-0.37999999999998052</v>
      </c>
    </row>
    <row r="341" spans="1:2">
      <c r="A341">
        <f t="shared" si="10"/>
        <v>0.62390305746045271</v>
      </c>
      <c r="B341">
        <f t="shared" si="11"/>
        <v>-0.38999999999998053</v>
      </c>
    </row>
    <row r="342" spans="1:2">
      <c r="A342">
        <f t="shared" si="10"/>
        <v>0.6304388369474403</v>
      </c>
      <c r="B342">
        <f t="shared" si="11"/>
        <v>-0.39999999999998054</v>
      </c>
    </row>
    <row r="343" spans="1:2">
      <c r="A343">
        <f t="shared" si="10"/>
        <v>0.63701144319067105</v>
      </c>
      <c r="B343">
        <f t="shared" si="11"/>
        <v>-0.40999999999998055</v>
      </c>
    </row>
    <row r="344" spans="1:2">
      <c r="A344">
        <f t="shared" si="10"/>
        <v>0.64362072734587628</v>
      </c>
      <c r="B344">
        <f t="shared" si="11"/>
        <v>-0.41999999999998056</v>
      </c>
    </row>
    <row r="345" spans="1:2">
      <c r="A345">
        <f t="shared" si="10"/>
        <v>0.65026653751765373</v>
      </c>
      <c r="B345">
        <f t="shared" si="11"/>
        <v>-0.42999999999998056</v>
      </c>
    </row>
    <row r="346" spans="1:2">
      <c r="A346">
        <f t="shared" si="10"/>
        <v>0.65694871880241801</v>
      </c>
      <c r="B346">
        <f t="shared" si="11"/>
        <v>-0.43999999999998057</v>
      </c>
    </row>
    <row r="347" spans="1:2">
      <c r="A347">
        <f t="shared" si="10"/>
        <v>0.66366711333207085</v>
      </c>
      <c r="B347">
        <f t="shared" si="11"/>
        <v>-0.44999999999998058</v>
      </c>
    </row>
    <row r="348" spans="1:2">
      <c r="A348">
        <f t="shared" si="10"/>
        <v>0.67042156031837141</v>
      </c>
      <c r="B348">
        <f t="shared" si="11"/>
        <v>-0.45999999999998059</v>
      </c>
    </row>
    <row r="349" spans="1:2">
      <c r="A349">
        <f t="shared" si="10"/>
        <v>0.67721189609798649</v>
      </c>
      <c r="B349">
        <f t="shared" si="11"/>
        <v>-0.4699999999999806</v>
      </c>
    </row>
    <row r="350" spans="1:2">
      <c r="A350">
        <f t="shared" si="10"/>
        <v>0.68403795417819702</v>
      </c>
      <c r="B350">
        <f t="shared" si="11"/>
        <v>-0.47999999999998061</v>
      </c>
    </row>
    <row r="351" spans="1:2">
      <c r="A351">
        <f t="shared" si="10"/>
        <v>0.69089956528324503</v>
      </c>
      <c r="B351">
        <f t="shared" si="11"/>
        <v>-0.48999999999998062</v>
      </c>
    </row>
    <row r="352" spans="1:2">
      <c r="A352">
        <f t="shared" si="10"/>
        <v>0.69779655740129276</v>
      </c>
      <c r="B352">
        <f t="shared" si="11"/>
        <v>-0.49999999999998063</v>
      </c>
    </row>
    <row r="353" spans="1:2">
      <c r="A353">
        <f t="shared" si="10"/>
        <v>0.70472875583197747</v>
      </c>
      <c r="B353">
        <f t="shared" si="11"/>
        <v>-0.50999999999998058</v>
      </c>
    </row>
    <row r="354" spans="1:2">
      <c r="A354">
        <f t="shared" si="10"/>
        <v>0.71169598323453853</v>
      </c>
      <c r="B354">
        <f t="shared" si="11"/>
        <v>-0.51999999999998059</v>
      </c>
    </row>
    <row r="355" spans="1:2">
      <c r="A355">
        <f t="shared" si="10"/>
        <v>0.71869805967649347</v>
      </c>
      <c r="B355">
        <f t="shared" si="11"/>
        <v>-0.5299999999999806</v>
      </c>
    </row>
    <row r="356" spans="1:2">
      <c r="A356">
        <f t="shared" si="10"/>
        <v>0.72573480268284274</v>
      </c>
      <c r="B356">
        <f t="shared" si="11"/>
        <v>-0.53999999999998061</v>
      </c>
    </row>
    <row r="357" spans="1:2">
      <c r="A357">
        <f t="shared" si="10"/>
        <v>0.7328060272857797</v>
      </c>
      <c r="B357">
        <f t="shared" si="11"/>
        <v>-0.54999999999998062</v>
      </c>
    </row>
    <row r="358" spans="1:2">
      <c r="A358">
        <f t="shared" si="10"/>
        <v>0.73991154607488363</v>
      </c>
      <c r="B358">
        <f t="shared" si="11"/>
        <v>-0.55999999999998062</v>
      </c>
    </row>
    <row r="359" spans="1:2">
      <c r="A359">
        <f t="shared" si="10"/>
        <v>0.74705116924777359</v>
      </c>
      <c r="B359">
        <f t="shared" si="11"/>
        <v>-0.56999999999998063</v>
      </c>
    </row>
    <row r="360" spans="1:2">
      <c r="A360">
        <f t="shared" si="10"/>
        <v>0.75422470466119929</v>
      </c>
      <c r="B360">
        <f t="shared" si="11"/>
        <v>-0.57999999999998064</v>
      </c>
    </row>
    <row r="361" spans="1:2">
      <c r="A361">
        <f t="shared" si="10"/>
        <v>0.76143195788254792</v>
      </c>
      <c r="B361">
        <f t="shared" si="11"/>
        <v>-0.58999999999998065</v>
      </c>
    </row>
    <row r="362" spans="1:2">
      <c r="A362">
        <f t="shared" si="10"/>
        <v>0.76867273224174149</v>
      </c>
      <c r="B362">
        <f t="shared" si="11"/>
        <v>-0.59999999999998066</v>
      </c>
    </row>
    <row r="363" spans="1:2">
      <c r="A363">
        <f t="shared" si="10"/>
        <v>0.77594682888350541</v>
      </c>
      <c r="B363">
        <f t="shared" si="11"/>
        <v>-0.60999999999998067</v>
      </c>
    </row>
    <row r="364" spans="1:2">
      <c r="A364">
        <f t="shared" si="10"/>
        <v>0.78325404681998112</v>
      </c>
      <c r="B364">
        <f t="shared" si="11"/>
        <v>-0.61999999999998068</v>
      </c>
    </row>
    <row r="365" spans="1:2">
      <c r="A365">
        <f t="shared" si="10"/>
        <v>0.79059418298366357</v>
      </c>
      <c r="B365">
        <f t="shared" si="11"/>
        <v>-0.62999999999998069</v>
      </c>
    </row>
    <row r="366" spans="1:2">
      <c r="A366">
        <f t="shared" si="10"/>
        <v>0.79796703228063648</v>
      </c>
      <c r="B366">
        <f t="shared" si="11"/>
        <v>-0.6399999999999807</v>
      </c>
    </row>
    <row r="367" spans="1:2">
      <c r="A367">
        <f t="shared" si="10"/>
        <v>0.80537238764408792</v>
      </c>
      <c r="B367">
        <f t="shared" si="11"/>
        <v>-0.6499999999999807</v>
      </c>
    </row>
    <row r="368" spans="1:2">
      <c r="A368">
        <f t="shared" si="10"/>
        <v>0.81281004008807634</v>
      </c>
      <c r="B368">
        <f t="shared" si="11"/>
        <v>-0.65999999999998071</v>
      </c>
    </row>
    <row r="369" spans="1:2">
      <c r="A369">
        <f t="shared" si="10"/>
        <v>0.82027977876152924</v>
      </c>
      <c r="B369">
        <f t="shared" si="11"/>
        <v>-0.66999999999998072</v>
      </c>
    </row>
    <row r="370" spans="1:2">
      <c r="A370">
        <f t="shared" si="10"/>
        <v>0.82778139100245041</v>
      </c>
      <c r="B370">
        <f t="shared" si="11"/>
        <v>-0.67999999999998073</v>
      </c>
    </row>
    <row r="371" spans="1:2">
      <c r="A371">
        <f t="shared" si="10"/>
        <v>0.83531466239230934</v>
      </c>
      <c r="B371">
        <f t="shared" si="11"/>
        <v>-0.68999999999998074</v>
      </c>
    </row>
    <row r="372" spans="1:2">
      <c r="A372">
        <f t="shared" si="10"/>
        <v>0.84287937681059555</v>
      </c>
      <c r="B372">
        <f t="shared" si="11"/>
        <v>-0.69999999999998075</v>
      </c>
    </row>
    <row r="373" spans="1:2">
      <c r="A373">
        <f t="shared" si="10"/>
        <v>0.85047531648951091</v>
      </c>
      <c r="B373">
        <f t="shared" si="11"/>
        <v>-0.70999999999998076</v>
      </c>
    </row>
    <row r="374" spans="1:2">
      <c r="A374">
        <f t="shared" si="10"/>
        <v>0.85810226206877749</v>
      </c>
      <c r="B374">
        <f t="shared" si="11"/>
        <v>-0.71999999999998077</v>
      </c>
    </row>
    <row r="375" spans="1:2">
      <c r="A375">
        <f t="shared" si="10"/>
        <v>0.86575999265054004</v>
      </c>
      <c r="B375">
        <f t="shared" si="11"/>
        <v>-0.72999999999998078</v>
      </c>
    </row>
    <row r="376" spans="1:2">
      <c r="A376">
        <f t="shared" si="10"/>
        <v>0.87344828585434042</v>
      </c>
      <c r="B376">
        <f t="shared" si="11"/>
        <v>-0.73999999999998078</v>
      </c>
    </row>
    <row r="377" spans="1:2">
      <c r="A377">
        <f t="shared" si="10"/>
        <v>0.88116691787213841</v>
      </c>
      <c r="B377">
        <f t="shared" si="11"/>
        <v>-0.74999999999998079</v>
      </c>
    </row>
    <row r="378" spans="1:2">
      <c r="A378">
        <f t="shared" si="10"/>
        <v>0.88891566352336238</v>
      </c>
      <c r="B378">
        <f t="shared" si="11"/>
        <v>-0.7599999999999808</v>
      </c>
    </row>
    <row r="379" spans="1:2">
      <c r="A379">
        <f t="shared" si="10"/>
        <v>0.89669429630996045</v>
      </c>
      <c r="B379">
        <f t="shared" si="11"/>
        <v>-0.76999999999998081</v>
      </c>
    </row>
    <row r="380" spans="1:2">
      <c r="A380">
        <f t="shared" si="10"/>
        <v>0.90450258847143838</v>
      </c>
      <c r="B380">
        <f t="shared" si="11"/>
        <v>-0.77999999999998082</v>
      </c>
    </row>
    <row r="381" spans="1:2">
      <c r="A381">
        <f t="shared" si="10"/>
        <v>0.91234031103985314</v>
      </c>
      <c r="B381">
        <f t="shared" si="11"/>
        <v>-0.78999999999998083</v>
      </c>
    </row>
    <row r="382" spans="1:2">
      <c r="A382">
        <f t="shared" si="10"/>
        <v>0.92020723389475034</v>
      </c>
      <c r="B382">
        <f t="shared" si="11"/>
        <v>-0.79999999999998084</v>
      </c>
    </row>
    <row r="383" spans="1:2">
      <c r="A383">
        <f t="shared" si="10"/>
        <v>0.92810312581801591</v>
      </c>
      <c r="B383">
        <f t="shared" si="11"/>
        <v>-0.80999999999998085</v>
      </c>
    </row>
    <row r="384" spans="1:2">
      <c r="A384">
        <f t="shared" si="10"/>
        <v>0.9360277545486253</v>
      </c>
      <c r="B384">
        <f t="shared" si="11"/>
        <v>-0.81999999999998086</v>
      </c>
    </row>
    <row r="385" spans="1:2">
      <c r="A385">
        <f t="shared" si="10"/>
        <v>0.94398088683726833</v>
      </c>
      <c r="B385">
        <f t="shared" si="11"/>
        <v>-0.82999999999998086</v>
      </c>
    </row>
    <row r="386" spans="1:2">
      <c r="A386">
        <f t="shared" ref="A386:A449" si="12">_xlfn.NORM.S.DIST(B386,FALSE)-B386*(1-_xlfn.NORM.S.DIST(B386,TRUE))</f>
        <v>0.95196228850082765</v>
      </c>
      <c r="B386">
        <f t="shared" si="11"/>
        <v>-0.83999999999998087</v>
      </c>
    </row>
    <row r="387" spans="1:2">
      <c r="A387">
        <f t="shared" si="12"/>
        <v>0.95997172447669255</v>
      </c>
      <c r="B387">
        <f t="shared" si="11"/>
        <v>-0.84999999999998088</v>
      </c>
    </row>
    <row r="388" spans="1:2">
      <c r="A388">
        <f t="shared" si="12"/>
        <v>0.96800895887688609</v>
      </c>
      <c r="B388">
        <f t="shared" ref="B388:B451" si="13">B387-0.01</f>
        <v>-0.85999999999998089</v>
      </c>
    </row>
    <row r="389" spans="1:2">
      <c r="A389">
        <f t="shared" si="12"/>
        <v>0.97607375504198512</v>
      </c>
      <c r="B389">
        <f t="shared" si="13"/>
        <v>-0.8699999999999809</v>
      </c>
    </row>
    <row r="390" spans="1:2">
      <c r="A390">
        <f t="shared" si="12"/>
        <v>0.98416587559481594</v>
      </c>
      <c r="B390">
        <f t="shared" si="13"/>
        <v>-0.87999999999998091</v>
      </c>
    </row>
    <row r="391" spans="1:2">
      <c r="A391">
        <f t="shared" si="12"/>
        <v>0.99228508249390324</v>
      </c>
      <c r="B391">
        <f t="shared" si="13"/>
        <v>-0.88999999999998092</v>
      </c>
    </row>
    <row r="392" spans="1:2">
      <c r="A392">
        <f t="shared" si="12"/>
        <v>1.0004311370866557</v>
      </c>
      <c r="B392">
        <f t="shared" si="13"/>
        <v>-0.89999999999998093</v>
      </c>
    </row>
    <row r="393" spans="1:2">
      <c r="A393">
        <f t="shared" si="12"/>
        <v>1.008603800162267</v>
      </c>
      <c r="B393">
        <f t="shared" si="13"/>
        <v>-0.90999999999998094</v>
      </c>
    </row>
    <row r="394" spans="1:2">
      <c r="A394">
        <f t="shared" si="12"/>
        <v>1.0168028320043154</v>
      </c>
      <c r="B394">
        <f t="shared" si="13"/>
        <v>-0.91999999999998094</v>
      </c>
    </row>
    <row r="395" spans="1:2">
      <c r="A395">
        <f t="shared" si="12"/>
        <v>1.0250279924430432</v>
      </c>
      <c r="B395">
        <f t="shared" si="13"/>
        <v>-0.92999999999998095</v>
      </c>
    </row>
    <row r="396" spans="1:2">
      <c r="A396">
        <f t="shared" si="12"/>
        <v>1.0332790409072976</v>
      </c>
      <c r="B396">
        <f t="shared" si="13"/>
        <v>-0.93999999999998096</v>
      </c>
    </row>
    <row r="397" spans="1:2">
      <c r="A397">
        <f t="shared" si="12"/>
        <v>1.0415557364761154</v>
      </c>
      <c r="B397">
        <f t="shared" si="13"/>
        <v>-0.94999999999998097</v>
      </c>
    </row>
    <row r="398" spans="1:2">
      <c r="A398">
        <f t="shared" si="12"/>
        <v>1.049857837929937</v>
      </c>
      <c r="B398">
        <f t="shared" si="13"/>
        <v>-0.95999999999998098</v>
      </c>
    </row>
    <row r="399" spans="1:2">
      <c r="A399">
        <f t="shared" si="12"/>
        <v>1.0581851038014265</v>
      </c>
      <c r="B399">
        <f t="shared" si="13"/>
        <v>-0.96999999999998099</v>
      </c>
    </row>
    <row r="400" spans="1:2">
      <c r="A400">
        <f t="shared" si="12"/>
        <v>1.0665372924258885</v>
      </c>
      <c r="B400">
        <f t="shared" si="13"/>
        <v>-0.979999999999981</v>
      </c>
    </row>
    <row r="401" spans="1:2">
      <c r="A401">
        <f t="shared" si="12"/>
        <v>1.074914161991261</v>
      </c>
      <c r="B401">
        <f t="shared" si="13"/>
        <v>-0.98999999999998101</v>
      </c>
    </row>
    <row r="402" spans="1:2">
      <c r="A402">
        <f t="shared" si="12"/>
        <v>1.0833154705876704</v>
      </c>
      <c r="B402">
        <f t="shared" si="13"/>
        <v>-0.99999999999998102</v>
      </c>
    </row>
    <row r="403" spans="1:2">
      <c r="A403">
        <f t="shared" si="12"/>
        <v>1.0917409762565302</v>
      </c>
      <c r="B403">
        <f t="shared" si="13"/>
        <v>-1.0099999999999809</v>
      </c>
    </row>
    <row r="404" spans="1:2">
      <c r="A404">
        <f t="shared" si="12"/>
        <v>1.100190437039174</v>
      </c>
      <c r="B404">
        <f t="shared" si="13"/>
        <v>-1.0199999999999809</v>
      </c>
    </row>
    <row r="405" spans="1:2">
      <c r="A405">
        <f t="shared" si="12"/>
        <v>1.1086636110250017</v>
      </c>
      <c r="B405">
        <f t="shared" si="13"/>
        <v>-1.0299999999999809</v>
      </c>
    </row>
    <row r="406" spans="1:2">
      <c r="A406">
        <f t="shared" si="12"/>
        <v>1.1171602563991292</v>
      </c>
      <c r="B406">
        <f t="shared" si="13"/>
        <v>-1.0399999999999809</v>
      </c>
    </row>
    <row r="407" spans="1:2">
      <c r="A407">
        <f t="shared" si="12"/>
        <v>1.1256801314895259</v>
      </c>
      <c r="B407">
        <f t="shared" si="13"/>
        <v>-1.0499999999999809</v>
      </c>
    </row>
    <row r="408" spans="1:2">
      <c r="A408">
        <f t="shared" si="12"/>
        <v>1.1342229948136255</v>
      </c>
      <c r="B408">
        <f t="shared" si="13"/>
        <v>-1.059999999999981</v>
      </c>
    </row>
    <row r="409" spans="1:2">
      <c r="A409">
        <f t="shared" si="12"/>
        <v>1.1427886051243985</v>
      </c>
      <c r="B409">
        <f t="shared" si="13"/>
        <v>-1.069999999999981</v>
      </c>
    </row>
    <row r="410" spans="1:2">
      <c r="A410">
        <f t="shared" si="12"/>
        <v>1.1513767214558743</v>
      </c>
      <c r="B410">
        <f t="shared" si="13"/>
        <v>-1.079999999999981</v>
      </c>
    </row>
    <row r="411" spans="1:2">
      <c r="A411">
        <f t="shared" si="12"/>
        <v>1.1599871031680982</v>
      </c>
      <c r="B411">
        <f t="shared" si="13"/>
        <v>-1.089999999999981</v>
      </c>
    </row>
    <row r="412" spans="1:2">
      <c r="A412">
        <f t="shared" si="12"/>
        <v>1.1686195099915131</v>
      </c>
      <c r="B412">
        <f t="shared" si="13"/>
        <v>-1.099999999999981</v>
      </c>
    </row>
    <row r="413" spans="1:2">
      <c r="A413">
        <f t="shared" si="12"/>
        <v>1.177273702070754</v>
      </c>
      <c r="B413">
        <f t="shared" si="13"/>
        <v>-1.109999999999981</v>
      </c>
    </row>
    <row r="414" spans="1:2">
      <c r="A414">
        <f t="shared" si="12"/>
        <v>1.185949440007843</v>
      </c>
      <c r="B414">
        <f t="shared" si="13"/>
        <v>-1.119999999999981</v>
      </c>
    </row>
    <row r="415" spans="1:2">
      <c r="A415">
        <f t="shared" si="12"/>
        <v>1.1946464849047789</v>
      </c>
      <c r="B415">
        <f t="shared" si="13"/>
        <v>-1.129999999999981</v>
      </c>
    </row>
    <row r="416" spans="1:2">
      <c r="A416">
        <f t="shared" si="12"/>
        <v>1.2033645984055017</v>
      </c>
      <c r="B416">
        <f t="shared" si="13"/>
        <v>-1.139999999999981</v>
      </c>
    </row>
    <row r="417" spans="1:2">
      <c r="A417">
        <f t="shared" si="12"/>
        <v>1.2121035427372355</v>
      </c>
      <c r="B417">
        <f t="shared" si="13"/>
        <v>-1.149999999999981</v>
      </c>
    </row>
    <row r="418" spans="1:2">
      <c r="A418">
        <f t="shared" si="12"/>
        <v>1.2208630807511847</v>
      </c>
      <c r="B418">
        <f t="shared" si="13"/>
        <v>-1.159999999999981</v>
      </c>
    </row>
    <row r="419" spans="1:2">
      <c r="A419">
        <f t="shared" si="12"/>
        <v>1.2296429759625893</v>
      </c>
      <c r="B419">
        <f t="shared" si="13"/>
        <v>-1.1699999999999811</v>
      </c>
    </row>
    <row r="420" spans="1:2">
      <c r="A420">
        <f t="shared" si="12"/>
        <v>1.2384429925901224</v>
      </c>
      <c r="B420">
        <f t="shared" si="13"/>
        <v>-1.1799999999999811</v>
      </c>
    </row>
    <row r="421" spans="1:2">
      <c r="A421">
        <f t="shared" si="12"/>
        <v>1.2472628955946203</v>
      </c>
      <c r="B421">
        <f t="shared" si="13"/>
        <v>-1.1899999999999811</v>
      </c>
    </row>
    <row r="422" spans="1:2">
      <c r="A422">
        <f t="shared" si="12"/>
        <v>1.2561024507171463</v>
      </c>
      <c r="B422">
        <f t="shared" si="13"/>
        <v>-1.1999999999999811</v>
      </c>
    </row>
    <row r="423" spans="1:2">
      <c r="A423">
        <f t="shared" si="12"/>
        <v>1.2649614245163703</v>
      </c>
      <c r="B423">
        <f t="shared" si="13"/>
        <v>-1.2099999999999811</v>
      </c>
    </row>
    <row r="424" spans="1:2">
      <c r="A424">
        <f t="shared" si="12"/>
        <v>1.2738395844052652</v>
      </c>
      <c r="B424">
        <f t="shared" si="13"/>
        <v>-1.2199999999999811</v>
      </c>
    </row>
    <row r="425" spans="1:2">
      <c r="A425">
        <f t="shared" si="12"/>
        <v>1.2827366986871116</v>
      </c>
      <c r="B425">
        <f t="shared" si="13"/>
        <v>-1.2299999999999811</v>
      </c>
    </row>
    <row r="426" spans="1:2">
      <c r="A426">
        <f t="shared" si="12"/>
        <v>1.2916525365908007</v>
      </c>
      <c r="B426">
        <f t="shared" si="13"/>
        <v>-1.2399999999999811</v>
      </c>
    </row>
    <row r="427" spans="1:2">
      <c r="A427">
        <f t="shared" si="12"/>
        <v>1.3005868683054358</v>
      </c>
      <c r="B427">
        <f t="shared" si="13"/>
        <v>-1.2499999999999811</v>
      </c>
    </row>
    <row r="428" spans="1:2">
      <c r="A428">
        <f t="shared" si="12"/>
        <v>1.3095394650142249</v>
      </c>
      <c r="B428">
        <f t="shared" si="13"/>
        <v>-1.2599999999999811</v>
      </c>
    </row>
    <row r="429" spans="1:2">
      <c r="A429">
        <f t="shared" si="12"/>
        <v>1.3185100989276564</v>
      </c>
      <c r="B429">
        <f t="shared" si="13"/>
        <v>-1.2699999999999811</v>
      </c>
    </row>
    <row r="430" spans="1:2">
      <c r="A430">
        <f t="shared" si="12"/>
        <v>1.3274985433159596</v>
      </c>
      <c r="B430">
        <f t="shared" si="13"/>
        <v>-1.2799999999999812</v>
      </c>
    </row>
    <row r="431" spans="1:2">
      <c r="A431">
        <f t="shared" si="12"/>
        <v>1.3365045725408413</v>
      </c>
      <c r="B431">
        <f t="shared" si="13"/>
        <v>-1.2899999999999812</v>
      </c>
    </row>
    <row r="432" spans="1:2">
      <c r="A432">
        <f t="shared" si="12"/>
        <v>1.3455279620864971</v>
      </c>
      <c r="B432">
        <f t="shared" si="13"/>
        <v>-1.2999999999999812</v>
      </c>
    </row>
    <row r="433" spans="1:2">
      <c r="A433">
        <f t="shared" si="12"/>
        <v>1.3545684885898923</v>
      </c>
      <c r="B433">
        <f t="shared" si="13"/>
        <v>-1.3099999999999812</v>
      </c>
    </row>
    <row r="434" spans="1:2">
      <c r="A434">
        <f t="shared" si="12"/>
        <v>1.3636259298703139</v>
      </c>
      <c r="B434">
        <f t="shared" si="13"/>
        <v>-1.3199999999999812</v>
      </c>
    </row>
    <row r="435" spans="1:2">
      <c r="A435">
        <f t="shared" si="12"/>
        <v>1.3727000649581862</v>
      </c>
      <c r="B435">
        <f t="shared" si="13"/>
        <v>-1.3299999999999812</v>
      </c>
    </row>
    <row r="436" spans="1:2">
      <c r="A436">
        <f t="shared" si="12"/>
        <v>1.3817906741231507</v>
      </c>
      <c r="B436">
        <f t="shared" si="13"/>
        <v>-1.3399999999999812</v>
      </c>
    </row>
    <row r="437" spans="1:2">
      <c r="A437">
        <f t="shared" si="12"/>
        <v>1.39089753890141</v>
      </c>
      <c r="B437">
        <f t="shared" si="13"/>
        <v>-1.3499999999999812</v>
      </c>
    </row>
    <row r="438" spans="1:2">
      <c r="A438">
        <f t="shared" si="12"/>
        <v>1.4000204421223301</v>
      </c>
      <c r="B438">
        <f t="shared" si="13"/>
        <v>-1.3599999999999812</v>
      </c>
    </row>
    <row r="439" spans="1:2">
      <c r="A439">
        <f t="shared" si="12"/>
        <v>1.409159167934309</v>
      </c>
      <c r="B439">
        <f t="shared" si="13"/>
        <v>-1.3699999999999812</v>
      </c>
    </row>
    <row r="440" spans="1:2">
      <c r="A440">
        <f t="shared" si="12"/>
        <v>1.4183135018298967</v>
      </c>
      <c r="B440">
        <f t="shared" si="13"/>
        <v>-1.3799999999999812</v>
      </c>
    </row>
    <row r="441" spans="1:2">
      <c r="A441">
        <f t="shared" si="12"/>
        <v>1.4274832306701846</v>
      </c>
      <c r="B441">
        <f t="shared" si="13"/>
        <v>-1.3899999999999813</v>
      </c>
    </row>
    <row r="442" spans="1:2">
      <c r="A442">
        <f t="shared" si="12"/>
        <v>1.4366681427084482</v>
      </c>
      <c r="B442">
        <f t="shared" si="13"/>
        <v>-1.3999999999999813</v>
      </c>
    </row>
    <row r="443" spans="1:2">
      <c r="A443">
        <f t="shared" si="12"/>
        <v>1.4458680276130553</v>
      </c>
      <c r="B443">
        <f t="shared" si="13"/>
        <v>-1.4099999999999813</v>
      </c>
    </row>
    <row r="444" spans="1:2">
      <c r="A444">
        <f t="shared" si="12"/>
        <v>1.4550826764896345</v>
      </c>
      <c r="B444">
        <f t="shared" si="13"/>
        <v>-1.4199999999999813</v>
      </c>
    </row>
    <row r="445" spans="1:2">
      <c r="A445">
        <f t="shared" si="12"/>
        <v>1.4643118819025083</v>
      </c>
      <c r="B445">
        <f t="shared" si="13"/>
        <v>-1.4299999999999813</v>
      </c>
    </row>
    <row r="446" spans="1:2">
      <c r="A446">
        <f t="shared" si="12"/>
        <v>1.4735554378953903</v>
      </c>
      <c r="B446">
        <f t="shared" si="13"/>
        <v>-1.4399999999999813</v>
      </c>
    </row>
    <row r="447" spans="1:2">
      <c r="A447">
        <f t="shared" si="12"/>
        <v>1.4828131400113529</v>
      </c>
      <c r="B447">
        <f t="shared" si="13"/>
        <v>-1.4499999999999813</v>
      </c>
    </row>
    <row r="448" spans="1:2">
      <c r="A448">
        <f t="shared" si="12"/>
        <v>1.4920847853120593</v>
      </c>
      <c r="B448">
        <f t="shared" si="13"/>
        <v>-1.4599999999999813</v>
      </c>
    </row>
    <row r="449" spans="1:2">
      <c r="A449">
        <f t="shared" si="12"/>
        <v>1.5013701723962762</v>
      </c>
      <c r="B449">
        <f t="shared" si="13"/>
        <v>-1.4699999999999813</v>
      </c>
    </row>
    <row r="450" spans="1:2">
      <c r="A450">
        <f t="shared" ref="A450:A513" si="14">_xlfn.NORM.S.DIST(B450,FALSE)-B450*(1-_xlfn.NORM.S.DIST(B450,TRUE))</f>
        <v>1.5106691014176539</v>
      </c>
      <c r="B450">
        <f t="shared" si="13"/>
        <v>-1.4799999999999813</v>
      </c>
    </row>
    <row r="451" spans="1:2">
      <c r="A451">
        <f t="shared" si="14"/>
        <v>1.5199813741017927</v>
      </c>
      <c r="B451">
        <f t="shared" si="13"/>
        <v>-1.4899999999999813</v>
      </c>
    </row>
    <row r="452" spans="1:2">
      <c r="A452">
        <f t="shared" si="14"/>
        <v>1.5293067937625873</v>
      </c>
      <c r="B452">
        <f t="shared" ref="B452:B515" si="15">B451-0.01</f>
        <v>-1.4999999999999813</v>
      </c>
    </row>
    <row r="453" spans="1:2">
      <c r="A453">
        <f t="shared" si="14"/>
        <v>1.5386451653178606</v>
      </c>
      <c r="B453">
        <f t="shared" si="15"/>
        <v>-1.5099999999999814</v>
      </c>
    </row>
    <row r="454" spans="1:2">
      <c r="A454">
        <f t="shared" si="14"/>
        <v>1.5479962953042883</v>
      </c>
      <c r="B454">
        <f t="shared" si="15"/>
        <v>-1.5199999999999814</v>
      </c>
    </row>
    <row r="455" spans="1:2">
      <c r="A455">
        <f t="shared" si="14"/>
        <v>1.5573599918916188</v>
      </c>
      <c r="B455">
        <f t="shared" si="15"/>
        <v>-1.5299999999999814</v>
      </c>
    </row>
    <row r="456" spans="1:2">
      <c r="A456">
        <f t="shared" si="14"/>
        <v>1.5667360648961941</v>
      </c>
      <c r="B456">
        <f t="shared" si="15"/>
        <v>-1.5399999999999814</v>
      </c>
    </row>
    <row r="457" spans="1:2">
      <c r="A457">
        <f t="shared" si="14"/>
        <v>1.5761243257937767</v>
      </c>
      <c r="B457">
        <f t="shared" si="15"/>
        <v>-1.5499999999999814</v>
      </c>
    </row>
    <row r="458" spans="1:2">
      <c r="A458">
        <f t="shared" si="14"/>
        <v>1.5855245877316877</v>
      </c>
      <c r="B458">
        <f t="shared" si="15"/>
        <v>-1.5599999999999814</v>
      </c>
    </row>
    <row r="459" spans="1:2">
      <c r="A459">
        <f t="shared" si="14"/>
        <v>1.5949366655402613</v>
      </c>
      <c r="B459">
        <f t="shared" si="15"/>
        <v>-1.5699999999999814</v>
      </c>
    </row>
    <row r="460" spans="1:2">
      <c r="A460">
        <f t="shared" si="14"/>
        <v>1.6043603757436231</v>
      </c>
      <c r="B460">
        <f t="shared" si="15"/>
        <v>-1.5799999999999814</v>
      </c>
    </row>
    <row r="461" spans="1:2">
      <c r="A461">
        <f t="shared" si="14"/>
        <v>1.6137955365697967</v>
      </c>
      <c r="B461">
        <f t="shared" si="15"/>
        <v>-1.5899999999999814</v>
      </c>
    </row>
    <row r="462" spans="1:2">
      <c r="A462">
        <f t="shared" si="14"/>
        <v>1.6232419679601451</v>
      </c>
      <c r="B462">
        <f t="shared" si="15"/>
        <v>-1.5999999999999814</v>
      </c>
    </row>
    <row r="463" spans="1:2">
      <c r="A463">
        <f t="shared" si="14"/>
        <v>1.632699491578157</v>
      </c>
      <c r="B463">
        <f t="shared" si="15"/>
        <v>-1.6099999999999814</v>
      </c>
    </row>
    <row r="464" spans="1:2">
      <c r="A464">
        <f t="shared" si="14"/>
        <v>1.6421679308175781</v>
      </c>
      <c r="B464">
        <f t="shared" si="15"/>
        <v>-1.6199999999999815</v>
      </c>
    </row>
    <row r="465" spans="1:2">
      <c r="A465">
        <f t="shared" si="14"/>
        <v>1.6516471108099002</v>
      </c>
      <c r="B465">
        <f t="shared" si="15"/>
        <v>-1.6299999999999815</v>
      </c>
    </row>
    <row r="466" spans="1:2">
      <c r="A466">
        <f t="shared" si="14"/>
        <v>1.6611368584312165</v>
      </c>
      <c r="B466">
        <f t="shared" si="15"/>
        <v>-1.6399999999999815</v>
      </c>
    </row>
    <row r="467" spans="1:2">
      <c r="A467">
        <f t="shared" si="14"/>
        <v>1.6706370023084409</v>
      </c>
      <c r="B467">
        <f t="shared" si="15"/>
        <v>-1.6499999999999815</v>
      </c>
    </row>
    <row r="468" spans="1:2">
      <c r="A468">
        <f t="shared" si="14"/>
        <v>1.6801473728249132</v>
      </c>
      <c r="B468">
        <f t="shared" si="15"/>
        <v>-1.6599999999999815</v>
      </c>
    </row>
    <row r="469" spans="1:2">
      <c r="A469">
        <f t="shared" si="14"/>
        <v>1.6896678021253841</v>
      </c>
      <c r="B469">
        <f t="shared" si="15"/>
        <v>-1.6699999999999815</v>
      </c>
    </row>
    <row r="470" spans="1:2">
      <c r="A470">
        <f t="shared" si="14"/>
        <v>1.6991981241204002</v>
      </c>
      <c r="B470">
        <f t="shared" si="15"/>
        <v>-1.6799999999999815</v>
      </c>
    </row>
    <row r="471" spans="1:2">
      <c r="A471">
        <f t="shared" si="14"/>
        <v>1.7087381744900871</v>
      </c>
      <c r="B471">
        <f t="shared" si="15"/>
        <v>-1.6899999999999815</v>
      </c>
    </row>
    <row r="472" spans="1:2">
      <c r="A472">
        <f t="shared" si="14"/>
        <v>1.7182877906873462</v>
      </c>
      <c r="B472">
        <f t="shared" si="15"/>
        <v>-1.6999999999999815</v>
      </c>
    </row>
    <row r="473" spans="1:2">
      <c r="A473">
        <f t="shared" si="14"/>
        <v>1.7278468119404686</v>
      </c>
      <c r="B473">
        <f t="shared" si="15"/>
        <v>-1.7099999999999815</v>
      </c>
    </row>
    <row r="474" spans="1:2">
      <c r="A474">
        <f t="shared" si="14"/>
        <v>1.7374150792551795</v>
      </c>
      <c r="B474">
        <f t="shared" si="15"/>
        <v>-1.7199999999999815</v>
      </c>
    </row>
    <row r="475" spans="1:2">
      <c r="A475">
        <f t="shared" si="14"/>
        <v>1.7469924354161182</v>
      </c>
      <c r="B475">
        <f t="shared" si="15"/>
        <v>-1.7299999999999816</v>
      </c>
    </row>
    <row r="476" spans="1:2">
      <c r="A476">
        <f t="shared" si="14"/>
        <v>1.7565787249877631</v>
      </c>
      <c r="B476">
        <f t="shared" si="15"/>
        <v>-1.7399999999999816</v>
      </c>
    </row>
    <row r="477" spans="1:2">
      <c r="A477">
        <f t="shared" si="14"/>
        <v>1.7661737943148139</v>
      </c>
      <c r="B477">
        <f t="shared" si="15"/>
        <v>-1.7499999999999816</v>
      </c>
    </row>
    <row r="478" spans="1:2">
      <c r="A478">
        <f t="shared" si="14"/>
        <v>1.775777491522035</v>
      </c>
      <c r="B478">
        <f t="shared" si="15"/>
        <v>-1.7599999999999816</v>
      </c>
    </row>
    <row r="479" spans="1:2">
      <c r="A479">
        <f t="shared" si="14"/>
        <v>1.7853896665135747</v>
      </c>
      <c r="B479">
        <f t="shared" si="15"/>
        <v>-1.7699999999999816</v>
      </c>
    </row>
    <row r="480" spans="1:2">
      <c r="A480">
        <f t="shared" si="14"/>
        <v>1.7950101709717652</v>
      </c>
      <c r="B480">
        <f t="shared" si="15"/>
        <v>-1.7799999999999816</v>
      </c>
    </row>
    <row r="481" spans="1:2">
      <c r="A481">
        <f t="shared" si="14"/>
        <v>1.8046388583554165</v>
      </c>
      <c r="B481">
        <f t="shared" si="15"/>
        <v>-1.7899999999999816</v>
      </c>
    </row>
    <row r="482" spans="1:2">
      <c r="A482">
        <f t="shared" si="14"/>
        <v>1.8142755838976099</v>
      </c>
      <c r="B482">
        <f t="shared" si="15"/>
        <v>-1.7999999999999816</v>
      </c>
    </row>
    <row r="483" spans="1:2">
      <c r="A483">
        <f t="shared" si="14"/>
        <v>1.8239202046030061</v>
      </c>
      <c r="B483">
        <f t="shared" si="15"/>
        <v>-1.8099999999999816</v>
      </c>
    </row>
    <row r="484" spans="1:2">
      <c r="A484">
        <f t="shared" si="14"/>
        <v>1.8335725792446698</v>
      </c>
      <c r="B484">
        <f t="shared" si="15"/>
        <v>-1.8199999999999816</v>
      </c>
    </row>
    <row r="485" spans="1:2">
      <c r="A485">
        <f t="shared" si="14"/>
        <v>1.84323256836043</v>
      </c>
      <c r="B485">
        <f t="shared" si="15"/>
        <v>-1.8299999999999816</v>
      </c>
    </row>
    <row r="486" spans="1:2">
      <c r="A486">
        <f t="shared" si="14"/>
        <v>1.8529000342487776</v>
      </c>
      <c r="B486">
        <f t="shared" si="15"/>
        <v>-1.8399999999999817</v>
      </c>
    </row>
    <row r="487" spans="1:2">
      <c r="A487">
        <f t="shared" si="14"/>
        <v>1.862574840964315</v>
      </c>
      <c r="B487">
        <f t="shared" si="15"/>
        <v>-1.8499999999999817</v>
      </c>
    </row>
    <row r="488" spans="1:2">
      <c r="A488">
        <f t="shared" si="14"/>
        <v>1.8722568543127656</v>
      </c>
      <c r="B488">
        <f t="shared" si="15"/>
        <v>-1.8599999999999817</v>
      </c>
    </row>
    <row r="489" spans="1:2">
      <c r="A489">
        <f t="shared" si="14"/>
        <v>1.8819459418455549</v>
      </c>
      <c r="B489">
        <f t="shared" si="15"/>
        <v>-1.8699999999999817</v>
      </c>
    </row>
    <row r="490" spans="1:2">
      <c r="A490">
        <f t="shared" si="14"/>
        <v>1.8916419728539713</v>
      </c>
      <c r="B490">
        <f t="shared" si="15"/>
        <v>-1.8799999999999817</v>
      </c>
    </row>
    <row r="491" spans="1:2">
      <c r="A491">
        <f t="shared" si="14"/>
        <v>1.9013448183629156</v>
      </c>
      <c r="B491">
        <f t="shared" si="15"/>
        <v>-1.8899999999999817</v>
      </c>
    </row>
    <row r="492" spans="1:2">
      <c r="A492">
        <f t="shared" si="14"/>
        <v>1.9110543511242555</v>
      </c>
      <c r="B492">
        <f t="shared" si="15"/>
        <v>-1.8999999999999817</v>
      </c>
    </row>
    <row r="493" spans="1:2">
      <c r="A493">
        <f t="shared" si="14"/>
        <v>1.920770445609786</v>
      </c>
      <c r="B493">
        <f t="shared" si="15"/>
        <v>-1.9099999999999817</v>
      </c>
    </row>
    <row r="494" spans="1:2">
      <c r="A494">
        <f t="shared" si="14"/>
        <v>1.9304929780038143</v>
      </c>
      <c r="B494">
        <f t="shared" si="15"/>
        <v>-1.9199999999999817</v>
      </c>
    </row>
    <row r="495" spans="1:2">
      <c r="A495">
        <f t="shared" si="14"/>
        <v>1.9402218261953714</v>
      </c>
      <c r="B495">
        <f t="shared" si="15"/>
        <v>-1.9299999999999817</v>
      </c>
    </row>
    <row r="496" spans="1:2">
      <c r="A496">
        <f t="shared" si="14"/>
        <v>1.9499568697700687</v>
      </c>
      <c r="B496">
        <f t="shared" si="15"/>
        <v>-1.9399999999999817</v>
      </c>
    </row>
    <row r="497" spans="1:2">
      <c r="A497">
        <f t="shared" si="14"/>
        <v>1.9596979900016032</v>
      </c>
      <c r="B497">
        <f t="shared" si="15"/>
        <v>-1.9499999999999817</v>
      </c>
    </row>
    <row r="498" spans="1:2">
      <c r="A498">
        <f t="shared" si="14"/>
        <v>1.9694450698429216</v>
      </c>
      <c r="B498">
        <f t="shared" si="15"/>
        <v>-1.9599999999999818</v>
      </c>
    </row>
    <row r="499" spans="1:2">
      <c r="A499">
        <f t="shared" si="14"/>
        <v>1.979197993917061</v>
      </c>
      <c r="B499">
        <f t="shared" si="15"/>
        <v>-1.9699999999999818</v>
      </c>
    </row>
    <row r="500" spans="1:2">
      <c r="A500">
        <f t="shared" si="14"/>
        <v>1.9889566485076633</v>
      </c>
      <c r="B500">
        <f t="shared" si="15"/>
        <v>-1.9799999999999818</v>
      </c>
    </row>
    <row r="501" spans="1:2">
      <c r="A501">
        <f t="shared" si="14"/>
        <v>1.9987209215491866</v>
      </c>
      <c r="B501">
        <f t="shared" si="15"/>
        <v>-1.9899999999999818</v>
      </c>
    </row>
    <row r="502" spans="1:2">
      <c r="A502">
        <f t="shared" si="14"/>
        <v>2.008490702616812</v>
      </c>
      <c r="B502">
        <f t="shared" si="15"/>
        <v>-1.9999999999999818</v>
      </c>
    </row>
    <row r="503" spans="1:2">
      <c r="A503">
        <f t="shared" si="14"/>
        <v>2.0182658829160651</v>
      </c>
      <c r="B503">
        <f t="shared" si="15"/>
        <v>-2.0099999999999816</v>
      </c>
    </row>
    <row r="504" spans="1:2">
      <c r="A504">
        <f t="shared" si="14"/>
        <v>2.0280463552721559</v>
      </c>
      <c r="B504">
        <f t="shared" si="15"/>
        <v>-2.0199999999999814</v>
      </c>
    </row>
    <row r="505" spans="1:2">
      <c r="A505">
        <f t="shared" si="14"/>
        <v>2.037832014119048</v>
      </c>
      <c r="B505">
        <f t="shared" si="15"/>
        <v>-2.0299999999999812</v>
      </c>
    </row>
    <row r="506" spans="1:2">
      <c r="A506">
        <f t="shared" si="14"/>
        <v>2.0476227554882693</v>
      </c>
      <c r="B506">
        <f t="shared" si="15"/>
        <v>-2.0399999999999809</v>
      </c>
    </row>
    <row r="507" spans="1:2">
      <c r="A507">
        <f t="shared" si="14"/>
        <v>2.0574184769974697</v>
      </c>
      <c r="B507">
        <f t="shared" si="15"/>
        <v>-2.0499999999999807</v>
      </c>
    </row>
    <row r="508" spans="1:2">
      <c r="A508">
        <f t="shared" si="14"/>
        <v>2.0672190778387414</v>
      </c>
      <c r="B508">
        <f t="shared" si="15"/>
        <v>-2.0599999999999805</v>
      </c>
    </row>
    <row r="509" spans="1:2">
      <c r="A509">
        <f t="shared" si="14"/>
        <v>2.0770244587667031</v>
      </c>
      <c r="B509">
        <f t="shared" si="15"/>
        <v>-2.0699999999999803</v>
      </c>
    </row>
    <row r="510" spans="1:2">
      <c r="A510">
        <f t="shared" si="14"/>
        <v>2.0868345220863649</v>
      </c>
      <c r="B510">
        <f t="shared" si="15"/>
        <v>-2.0799999999999801</v>
      </c>
    </row>
    <row r="511" spans="1:2">
      <c r="A511">
        <f t="shared" si="14"/>
        <v>2.09664917164078</v>
      </c>
      <c r="B511">
        <f t="shared" si="15"/>
        <v>-2.0899999999999799</v>
      </c>
    </row>
    <row r="512" spans="1:2">
      <c r="A512">
        <f t="shared" si="14"/>
        <v>2.1064683127984924</v>
      </c>
      <c r="B512">
        <f t="shared" si="15"/>
        <v>-2.0999999999999797</v>
      </c>
    </row>
    <row r="513" spans="1:2">
      <c r="A513">
        <f t="shared" si="14"/>
        <v>2.116291852440789</v>
      </c>
      <c r="B513">
        <f t="shared" si="15"/>
        <v>-2.1099999999999794</v>
      </c>
    </row>
    <row r="514" spans="1:2">
      <c r="A514">
        <f t="shared" ref="A514:A577" si="16">_xlfn.NORM.S.DIST(B514,FALSE)-B514*(1-_xlfn.NORM.S.DIST(B514,TRUE))</f>
        <v>2.1261196989487683</v>
      </c>
      <c r="B514">
        <f t="shared" si="15"/>
        <v>-2.1199999999999792</v>
      </c>
    </row>
    <row r="515" spans="1:2">
      <c r="A515">
        <f t="shared" si="16"/>
        <v>2.1359517621902313</v>
      </c>
      <c r="B515">
        <f t="shared" si="15"/>
        <v>-2.129999999999979</v>
      </c>
    </row>
    <row r="516" spans="1:2">
      <c r="A516">
        <f t="shared" si="16"/>
        <v>2.1457879535064044</v>
      </c>
      <c r="B516">
        <f t="shared" ref="B516:B579" si="17">B515-0.01</f>
        <v>-2.1399999999999788</v>
      </c>
    </row>
    <row r="517" spans="1:2">
      <c r="A517">
        <f t="shared" si="16"/>
        <v>2.1556281856985047</v>
      </c>
      <c r="B517">
        <f t="shared" si="17"/>
        <v>-2.1499999999999786</v>
      </c>
    </row>
    <row r="518" spans="1:2">
      <c r="A518">
        <f t="shared" si="16"/>
        <v>2.1654723730141554</v>
      </c>
      <c r="B518">
        <f t="shared" si="17"/>
        <v>-2.1599999999999784</v>
      </c>
    </row>
    <row r="519" spans="1:2">
      <c r="A519">
        <f t="shared" si="16"/>
        <v>2.1753204311336569</v>
      </c>
      <c r="B519">
        <f t="shared" si="17"/>
        <v>-2.1699999999999782</v>
      </c>
    </row>
    <row r="520" spans="1:2">
      <c r="A520">
        <f t="shared" si="16"/>
        <v>2.1851722771561284</v>
      </c>
      <c r="B520">
        <f t="shared" si="17"/>
        <v>-2.179999999999978</v>
      </c>
    </row>
    <row r="521" spans="1:2">
      <c r="A521">
        <f t="shared" si="16"/>
        <v>2.1950278295855195</v>
      </c>
      <c r="B521">
        <f t="shared" si="17"/>
        <v>-2.1899999999999777</v>
      </c>
    </row>
    <row r="522" spans="1:2">
      <c r="A522">
        <f t="shared" si="16"/>
        <v>2.2048870083165126</v>
      </c>
      <c r="B522">
        <f t="shared" si="17"/>
        <v>-2.1999999999999775</v>
      </c>
    </row>
    <row r="523" spans="1:2">
      <c r="A523">
        <f t="shared" si="16"/>
        <v>2.214749734620308</v>
      </c>
      <c r="B523">
        <f t="shared" si="17"/>
        <v>-2.2099999999999773</v>
      </c>
    </row>
    <row r="524" spans="1:2">
      <c r="A524">
        <f t="shared" si="16"/>
        <v>2.2246159311303173</v>
      </c>
      <c r="B524">
        <f t="shared" si="17"/>
        <v>-2.2199999999999771</v>
      </c>
    </row>
    <row r="525" spans="1:2">
      <c r="A525">
        <f t="shared" si="16"/>
        <v>2.2344855218277559</v>
      </c>
      <c r="B525">
        <f t="shared" si="17"/>
        <v>-2.2299999999999769</v>
      </c>
    </row>
    <row r="526" spans="1:2">
      <c r="A526">
        <f t="shared" si="16"/>
        <v>2.2443584320271537</v>
      </c>
      <c r="B526">
        <f t="shared" si="17"/>
        <v>-2.2399999999999767</v>
      </c>
    </row>
    <row r="527" spans="1:2">
      <c r="A527">
        <f t="shared" si="16"/>
        <v>2.2542345883617934</v>
      </c>
      <c r="B527">
        <f t="shared" si="17"/>
        <v>-2.2499999999999765</v>
      </c>
    </row>
    <row r="528" spans="1:2">
      <c r="A528">
        <f t="shared" si="16"/>
        <v>2.2641139187690684</v>
      </c>
      <c r="B528">
        <f t="shared" si="17"/>
        <v>-2.2599999999999763</v>
      </c>
    </row>
    <row r="529" spans="1:2">
      <c r="A529">
        <f t="shared" si="16"/>
        <v>2.2739963524757871</v>
      </c>
      <c r="B529">
        <f t="shared" si="17"/>
        <v>-2.269999999999976</v>
      </c>
    </row>
    <row r="530" spans="1:2">
      <c r="A530">
        <f t="shared" si="16"/>
        <v>2.2838818199834172</v>
      </c>
      <c r="B530">
        <f t="shared" si="17"/>
        <v>-2.2799999999999758</v>
      </c>
    </row>
    <row r="531" spans="1:2">
      <c r="A531">
        <f t="shared" si="16"/>
        <v>2.2937702530532831</v>
      </c>
      <c r="B531">
        <f t="shared" si="17"/>
        <v>-2.2899999999999756</v>
      </c>
    </row>
    <row r="532" spans="1:2">
      <c r="A532">
        <f t="shared" si="16"/>
        <v>2.3036615846917226</v>
      </c>
      <c r="B532">
        <f t="shared" si="17"/>
        <v>-2.2999999999999754</v>
      </c>
    </row>
    <row r="533" spans="1:2">
      <c r="A533">
        <f t="shared" si="16"/>
        <v>2.3135557491352055</v>
      </c>
      <c r="B533">
        <f t="shared" si="17"/>
        <v>-2.3099999999999752</v>
      </c>
    </row>
    <row r="534" spans="1:2">
      <c r="A534">
        <f t="shared" si="16"/>
        <v>2.3234526818354273</v>
      </c>
      <c r="B534">
        <f t="shared" si="17"/>
        <v>-2.319999999999975</v>
      </c>
    </row>
    <row r="535" spans="1:2">
      <c r="A535">
        <f t="shared" si="16"/>
        <v>2.3333523194443839</v>
      </c>
      <c r="B535">
        <f t="shared" si="17"/>
        <v>-2.3299999999999748</v>
      </c>
    </row>
    <row r="536" spans="1:2">
      <c r="A536">
        <f t="shared" si="16"/>
        <v>2.3432545997994243</v>
      </c>
      <c r="B536">
        <f t="shared" si="17"/>
        <v>-2.3399999999999745</v>
      </c>
    </row>
    <row r="537" spans="1:2">
      <c r="A537">
        <f t="shared" si="16"/>
        <v>2.3531594619082985</v>
      </c>
      <c r="B537">
        <f t="shared" si="17"/>
        <v>-2.3499999999999743</v>
      </c>
    </row>
    <row r="538" spans="1:2">
      <c r="A538">
        <f t="shared" si="16"/>
        <v>2.3630668459342057</v>
      </c>
      <c r="B538">
        <f t="shared" si="17"/>
        <v>-2.3599999999999741</v>
      </c>
    </row>
    <row r="539" spans="1:2">
      <c r="A539">
        <f t="shared" si="16"/>
        <v>2.3729766931808389</v>
      </c>
      <c r="B539">
        <f t="shared" si="17"/>
        <v>-2.3699999999999739</v>
      </c>
    </row>
    <row r="540" spans="1:2">
      <c r="A540">
        <f t="shared" si="16"/>
        <v>2.3828889460774461</v>
      </c>
      <c r="B540">
        <f t="shared" si="17"/>
        <v>-2.3799999999999737</v>
      </c>
    </row>
    <row r="541" spans="1:2">
      <c r="A541">
        <f t="shared" si="16"/>
        <v>2.3928035481638985</v>
      </c>
      <c r="B541">
        <f t="shared" si="17"/>
        <v>-2.3899999999999735</v>
      </c>
    </row>
    <row r="542" spans="1:2">
      <c r="A542">
        <f t="shared" si="16"/>
        <v>2.4027204440757854</v>
      </c>
      <c r="B542">
        <f t="shared" si="17"/>
        <v>-2.3999999999999733</v>
      </c>
    </row>
    <row r="543" spans="1:2">
      <c r="A543">
        <f t="shared" si="16"/>
        <v>2.4126395795295346</v>
      </c>
      <c r="B543">
        <f t="shared" si="17"/>
        <v>-2.4099999999999731</v>
      </c>
    </row>
    <row r="544" spans="1:2">
      <c r="A544">
        <f t="shared" si="16"/>
        <v>2.422560901307556</v>
      </c>
      <c r="B544">
        <f t="shared" si="17"/>
        <v>-2.4199999999999728</v>
      </c>
    </row>
    <row r="545" spans="1:2">
      <c r="A545">
        <f t="shared" si="16"/>
        <v>2.4324843572434336</v>
      </c>
      <c r="B545">
        <f t="shared" si="17"/>
        <v>-2.4299999999999726</v>
      </c>
    </row>
    <row r="546" spans="1:2">
      <c r="A546">
        <f t="shared" si="16"/>
        <v>2.4424098962071481</v>
      </c>
      <c r="B546">
        <f t="shared" si="17"/>
        <v>-2.4399999999999724</v>
      </c>
    </row>
    <row r="547" spans="1:2">
      <c r="A547">
        <f t="shared" si="16"/>
        <v>2.4523374680903527</v>
      </c>
      <c r="B547">
        <f t="shared" si="17"/>
        <v>-2.4499999999999722</v>
      </c>
    </row>
    <row r="548" spans="1:2">
      <c r="A548">
        <f t="shared" si="16"/>
        <v>2.4622670237916933</v>
      </c>
      <c r="B548">
        <f t="shared" si="17"/>
        <v>-2.459999999999972</v>
      </c>
    </row>
    <row r="549" spans="1:2">
      <c r="A549">
        <f t="shared" si="16"/>
        <v>2.4721985152021908</v>
      </c>
      <c r="B549">
        <f t="shared" si="17"/>
        <v>-2.4699999999999718</v>
      </c>
    </row>
    <row r="550" spans="1:2">
      <c r="A550">
        <f t="shared" si="16"/>
        <v>2.4821318951906779</v>
      </c>
      <c r="B550">
        <f t="shared" si="17"/>
        <v>-2.4799999999999716</v>
      </c>
    </row>
    <row r="551" spans="1:2">
      <c r="A551">
        <f t="shared" si="16"/>
        <v>2.4920671175893028</v>
      </c>
      <c r="B551">
        <f t="shared" si="17"/>
        <v>-2.4899999999999713</v>
      </c>
    </row>
    <row r="552" spans="1:2">
      <c r="A552">
        <f t="shared" si="16"/>
        <v>2.5020041371791</v>
      </c>
      <c r="B552">
        <f t="shared" si="17"/>
        <v>-2.4999999999999711</v>
      </c>
    </row>
    <row r="553" spans="1:2">
      <c r="A553">
        <f t="shared" si="16"/>
        <v>2.5119429096756321</v>
      </c>
      <c r="B553">
        <f t="shared" si="17"/>
        <v>-2.5099999999999709</v>
      </c>
    </row>
    <row r="554" spans="1:2">
      <c r="A554">
        <f t="shared" si="16"/>
        <v>2.5218833917147143</v>
      </c>
      <c r="B554">
        <f t="shared" si="17"/>
        <v>-2.5199999999999707</v>
      </c>
    </row>
    <row r="555" spans="1:2">
      <c r="A555">
        <f t="shared" si="16"/>
        <v>2.5318255408382058</v>
      </c>
      <c r="B555">
        <f t="shared" si="17"/>
        <v>-2.5299999999999705</v>
      </c>
    </row>
    <row r="556" spans="1:2">
      <c r="A556">
        <f t="shared" si="16"/>
        <v>2.5417693154799013</v>
      </c>
      <c r="B556">
        <f t="shared" si="17"/>
        <v>-2.5399999999999703</v>
      </c>
    </row>
    <row r="557" spans="1:2">
      <c r="A557">
        <f t="shared" si="16"/>
        <v>2.5517146749514952</v>
      </c>
      <c r="B557">
        <f t="shared" si="17"/>
        <v>-2.5499999999999701</v>
      </c>
    </row>
    <row r="558" spans="1:2">
      <c r="A558">
        <f t="shared" si="16"/>
        <v>2.5616615794286446</v>
      </c>
      <c r="B558">
        <f t="shared" si="17"/>
        <v>-2.5599999999999699</v>
      </c>
    </row>
    <row r="559" spans="1:2">
      <c r="A559">
        <f t="shared" si="16"/>
        <v>2.571609989937123</v>
      </c>
      <c r="B559">
        <f t="shared" si="17"/>
        <v>-2.5699999999999696</v>
      </c>
    </row>
    <row r="560" spans="1:2">
      <c r="A560">
        <f t="shared" si="16"/>
        <v>2.5815598683390713</v>
      </c>
      <c r="B560">
        <f t="shared" si="17"/>
        <v>-2.5799999999999694</v>
      </c>
    </row>
    <row r="561" spans="1:2">
      <c r="A561">
        <f t="shared" si="16"/>
        <v>2.5915111773193487</v>
      </c>
      <c r="B561">
        <f t="shared" si="17"/>
        <v>-2.5899999999999692</v>
      </c>
    </row>
    <row r="562" spans="1:2">
      <c r="A562">
        <f t="shared" si="16"/>
        <v>2.6014638803719858</v>
      </c>
      <c r="B562">
        <f t="shared" si="17"/>
        <v>-2.599999999999969</v>
      </c>
    </row>
    <row r="563" spans="1:2">
      <c r="A563">
        <f t="shared" si="16"/>
        <v>2.6114179417867458</v>
      </c>
      <c r="B563">
        <f t="shared" si="17"/>
        <v>-2.6099999999999688</v>
      </c>
    </row>
    <row r="564" spans="1:2">
      <c r="A564">
        <f t="shared" si="16"/>
        <v>2.6213733266357866</v>
      </c>
      <c r="B564">
        <f t="shared" si="17"/>
        <v>-2.6199999999999686</v>
      </c>
    </row>
    <row r="565" spans="1:2">
      <c r="A565">
        <f t="shared" si="16"/>
        <v>2.6313300007604417</v>
      </c>
      <c r="B565">
        <f t="shared" si="17"/>
        <v>-2.6299999999999684</v>
      </c>
    </row>
    <row r="566" spans="1:2">
      <c r="A566">
        <f t="shared" si="16"/>
        <v>2.6412879307581112</v>
      </c>
      <c r="B566">
        <f t="shared" si="17"/>
        <v>-2.6399999999999681</v>
      </c>
    </row>
    <row r="567" spans="1:2">
      <c r="A567">
        <f t="shared" si="16"/>
        <v>2.6512470839692637</v>
      </c>
      <c r="B567">
        <f t="shared" si="17"/>
        <v>-2.6499999999999679</v>
      </c>
    </row>
    <row r="568" spans="1:2">
      <c r="A568">
        <f t="shared" si="16"/>
        <v>2.6612074284645617</v>
      </c>
      <c r="B568">
        <f t="shared" si="17"/>
        <v>-2.6599999999999677</v>
      </c>
    </row>
    <row r="569" spans="1:2">
      <c r="A569">
        <f t="shared" si="16"/>
        <v>2.6711689330321033</v>
      </c>
      <c r="B569">
        <f t="shared" si="17"/>
        <v>-2.6699999999999675</v>
      </c>
    </row>
    <row r="570" spans="1:2">
      <c r="A570">
        <f t="shared" si="16"/>
        <v>2.6811315671647842</v>
      </c>
      <c r="B570">
        <f t="shared" si="17"/>
        <v>-2.6799999999999673</v>
      </c>
    </row>
    <row r="571" spans="1:2">
      <c r="A571">
        <f t="shared" si="16"/>
        <v>2.6910953010477838</v>
      </c>
      <c r="B571">
        <f t="shared" si="17"/>
        <v>-2.6899999999999671</v>
      </c>
    </row>
    <row r="572" spans="1:2">
      <c r="A572">
        <f t="shared" si="16"/>
        <v>2.7010601055461798</v>
      </c>
      <c r="B572">
        <f t="shared" si="17"/>
        <v>-2.6999999999999669</v>
      </c>
    </row>
    <row r="573" spans="1:2">
      <c r="A573">
        <f t="shared" si="16"/>
        <v>2.7110259521926801</v>
      </c>
      <c r="B573">
        <f t="shared" si="17"/>
        <v>-2.7099999999999667</v>
      </c>
    </row>
    <row r="574" spans="1:2">
      <c r="A574">
        <f t="shared" si="16"/>
        <v>2.7209928131754935</v>
      </c>
      <c r="B574">
        <f t="shared" si="17"/>
        <v>-2.7199999999999664</v>
      </c>
    </row>
    <row r="575" spans="1:2">
      <c r="A575">
        <f t="shared" si="16"/>
        <v>2.7309606613263191</v>
      </c>
      <c r="B575">
        <f t="shared" si="17"/>
        <v>-2.7299999999999662</v>
      </c>
    </row>
    <row r="576" spans="1:2">
      <c r="A576">
        <f t="shared" si="16"/>
        <v>2.7409294701084761</v>
      </c>
      <c r="B576">
        <f t="shared" si="17"/>
        <v>-2.739999999999966</v>
      </c>
    </row>
    <row r="577" spans="1:2">
      <c r="A577">
        <f t="shared" si="16"/>
        <v>2.7508992136051571</v>
      </c>
      <c r="B577">
        <f t="shared" si="17"/>
        <v>-2.7499999999999658</v>
      </c>
    </row>
    <row r="578" spans="1:2">
      <c r="A578">
        <f t="shared" ref="A578:A602" si="18">_xlfn.NORM.S.DIST(B578,FALSE)-B578*(1-_xlfn.NORM.S.DIST(B578,TRUE))</f>
        <v>2.7608698665078188</v>
      </c>
      <c r="B578">
        <f t="shared" si="17"/>
        <v>-2.7599999999999656</v>
      </c>
    </row>
    <row r="579" spans="1:2">
      <c r="A579">
        <f t="shared" si="18"/>
        <v>2.770841404104706</v>
      </c>
      <c r="B579">
        <f t="shared" si="17"/>
        <v>-2.7699999999999654</v>
      </c>
    </row>
    <row r="580" spans="1:2">
      <c r="A580">
        <f t="shared" si="18"/>
        <v>2.7808138022695088</v>
      </c>
      <c r="B580">
        <f t="shared" ref="B580:B602" si="19">B579-0.01</f>
        <v>-2.7799999999999652</v>
      </c>
    </row>
    <row r="581" spans="1:2">
      <c r="A581">
        <f t="shared" si="18"/>
        <v>2.7907870374501562</v>
      </c>
      <c r="B581">
        <f t="shared" si="19"/>
        <v>-2.789999999999965</v>
      </c>
    </row>
    <row r="582" spans="1:2">
      <c r="A582">
        <f t="shared" si="18"/>
        <v>2.8007610866577468</v>
      </c>
      <c r="B582">
        <f t="shared" si="19"/>
        <v>-2.7999999999999647</v>
      </c>
    </row>
    <row r="583" spans="1:2">
      <c r="A583">
        <f t="shared" si="18"/>
        <v>2.8107359274556138</v>
      </c>
      <c r="B583">
        <f t="shared" si="19"/>
        <v>-2.8099999999999645</v>
      </c>
    </row>
    <row r="584" spans="1:2">
      <c r="A584">
        <f t="shared" si="18"/>
        <v>2.8207115379485312</v>
      </c>
      <c r="B584">
        <f t="shared" si="19"/>
        <v>-2.8199999999999643</v>
      </c>
    </row>
    <row r="585" spans="1:2">
      <c r="A585">
        <f t="shared" si="18"/>
        <v>2.830687896772055</v>
      </c>
      <c r="B585">
        <f t="shared" si="19"/>
        <v>-2.8299999999999641</v>
      </c>
    </row>
    <row r="586" spans="1:2">
      <c r="A586">
        <f t="shared" si="18"/>
        <v>2.8406649830820032</v>
      </c>
      <c r="B586">
        <f t="shared" si="19"/>
        <v>-2.8399999999999639</v>
      </c>
    </row>
    <row r="587" spans="1:2">
      <c r="A587">
        <f t="shared" si="18"/>
        <v>2.8506427765440749</v>
      </c>
      <c r="B587">
        <f t="shared" si="19"/>
        <v>-2.8499999999999637</v>
      </c>
    </row>
    <row r="588" spans="1:2">
      <c r="A588">
        <f t="shared" si="18"/>
        <v>2.8606212573236087</v>
      </c>
      <c r="B588">
        <f t="shared" si="19"/>
        <v>-2.8599999999999635</v>
      </c>
    </row>
    <row r="589" spans="1:2">
      <c r="A589">
        <f t="shared" si="18"/>
        <v>2.8706004060754799</v>
      </c>
      <c r="B589">
        <f t="shared" si="19"/>
        <v>-2.8699999999999632</v>
      </c>
    </row>
    <row r="590" spans="1:2">
      <c r="A590">
        <f t="shared" si="18"/>
        <v>2.8805802039341333</v>
      </c>
      <c r="B590">
        <f t="shared" si="19"/>
        <v>-2.879999999999963</v>
      </c>
    </row>
    <row r="591" spans="1:2">
      <c r="A591">
        <f t="shared" si="18"/>
        <v>2.8905606325037638</v>
      </c>
      <c r="B591">
        <f t="shared" si="19"/>
        <v>-2.8899999999999628</v>
      </c>
    </row>
    <row r="592" spans="1:2">
      <c r="A592">
        <f t="shared" si="18"/>
        <v>2.9005416738486249</v>
      </c>
      <c r="B592">
        <f t="shared" si="19"/>
        <v>-2.8999999999999626</v>
      </c>
    </row>
    <row r="593" spans="1:2">
      <c r="A593">
        <f t="shared" si="18"/>
        <v>2.9105233104834856</v>
      </c>
      <c r="B593">
        <f t="shared" si="19"/>
        <v>-2.9099999999999624</v>
      </c>
    </row>
    <row r="594" spans="1:2">
      <c r="A594">
        <f t="shared" si="18"/>
        <v>2.9205055253642187</v>
      </c>
      <c r="B594">
        <f t="shared" si="19"/>
        <v>-2.9199999999999622</v>
      </c>
    </row>
    <row r="595" spans="1:2">
      <c r="A595">
        <f t="shared" si="18"/>
        <v>2.9304883018785359</v>
      </c>
      <c r="B595">
        <f t="shared" si="19"/>
        <v>-2.929999999999962</v>
      </c>
    </row>
    <row r="596" spans="1:2">
      <c r="A596">
        <f t="shared" si="18"/>
        <v>2.9404716238368516</v>
      </c>
      <c r="B596">
        <f t="shared" si="19"/>
        <v>-2.9399999999999618</v>
      </c>
    </row>
    <row r="597" spans="1:2">
      <c r="A597">
        <f t="shared" si="18"/>
        <v>2.950455475463289</v>
      </c>
      <c r="B597">
        <f t="shared" si="19"/>
        <v>-2.9499999999999615</v>
      </c>
    </row>
    <row r="598" spans="1:2">
      <c r="A598">
        <f t="shared" si="18"/>
        <v>2.9604398413868291</v>
      </c>
      <c r="B598">
        <f t="shared" si="19"/>
        <v>-2.9599999999999613</v>
      </c>
    </row>
    <row r="599" spans="1:2">
      <c r="A599">
        <f t="shared" si="18"/>
        <v>2.9704247066325848</v>
      </c>
      <c r="B599">
        <f t="shared" si="19"/>
        <v>-2.9699999999999611</v>
      </c>
    </row>
    <row r="600" spans="1:2">
      <c r="A600">
        <f t="shared" si="18"/>
        <v>2.9804100566132217</v>
      </c>
      <c r="B600">
        <f t="shared" si="19"/>
        <v>-2.9799999999999609</v>
      </c>
    </row>
    <row r="601" spans="1:2">
      <c r="A601">
        <f t="shared" si="18"/>
        <v>2.990395877120509</v>
      </c>
      <c r="B601">
        <f t="shared" si="19"/>
        <v>-2.9899999999999607</v>
      </c>
    </row>
    <row r="602" spans="1:2">
      <c r="A602">
        <f t="shared" si="18"/>
        <v>3.0003821543170082</v>
      </c>
      <c r="B602">
        <f t="shared" si="19"/>
        <v>-2.9999999999999605</v>
      </c>
    </row>
  </sheetData>
  <pageMargins left="0.75" right="0.75" top="1" bottom="1" header="0.5" footer="0.5"/>
  <pageSetup orientation="portrait" horizontalDpi="4294967292" verticalDpi="429496729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15</vt:i4>
      </vt:variant>
    </vt:vector>
  </HeadingPairs>
  <TitlesOfParts>
    <vt:vector size="18" baseType="lpstr">
      <vt:lpstr>Sheet4</vt:lpstr>
      <vt:lpstr>inventory</vt:lpstr>
      <vt:lpstr>loss function</vt:lpstr>
      <vt:lpstr>BSL</vt:lpstr>
      <vt:lpstr>h</vt:lpstr>
      <vt:lpstr>IOQ</vt:lpstr>
      <vt:lpstr>K</vt:lpstr>
      <vt:lpstr>MOQ</vt:lpstr>
      <vt:lpstr>mu_D</vt:lpstr>
      <vt:lpstr>mu_L</vt:lpstr>
      <vt:lpstr>mu_LTD</vt:lpstr>
      <vt:lpstr>p</vt:lpstr>
      <vt:lpstr>ROP</vt:lpstr>
      <vt:lpstr>RP</vt:lpstr>
      <vt:lpstr>sigma_D</vt:lpstr>
      <vt:lpstr>sigma_L</vt:lpstr>
      <vt:lpstr>sigma_LTD</vt:lpstr>
      <vt:lpstr>SL</vt:lpstr>
    </vt:vector>
  </TitlesOfParts>
  <Company>Lehigh University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Larry Snyder</dc:creator>
  <cp:lastModifiedBy>Lawrence Snyder</cp:lastModifiedBy>
  <dcterms:created xsi:type="dcterms:W3CDTF">2015-05-05T20:27:28Z</dcterms:created>
  <dcterms:modified xsi:type="dcterms:W3CDTF">2020-04-18T02:03:22Z</dcterms:modified>
</cp:coreProperties>
</file>